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예산\outputs\revenue-history\"/>
    </mc:Choice>
  </mc:AlternateContent>
  <xr:revisionPtr revIDLastSave="0" documentId="8_{D74B5D86-975D-49DD-91A4-62EC16DB0BB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시작" sheetId="27" r:id="rId1"/>
    <sheet name="세입" sheetId="4" r:id="rId2"/>
    <sheet name="세출(원안)" sheetId="23" r:id="rId3"/>
    <sheet name="세출(조정안)" sheetId="18" r:id="rId4"/>
    <sheet name="업무추진비" sheetId="19" r:id="rId5"/>
    <sheet name="참고자료(통합교부비목록)" sheetId="25" r:id="rId6"/>
    <sheet name="참고자료(개별운영비목록)" sheetId="26" r:id="rId7"/>
  </sheets>
  <definedNames>
    <definedName name="_xlnm.Print_Area" localSheetId="0">시작!$B$2:$H$26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" i="4" l="1"/>
  <c r="J25" i="4"/>
  <c r="K27" i="19"/>
  <c r="G27" i="19"/>
  <c r="I27" i="19" s="1"/>
  <c r="J27" i="19" s="1"/>
  <c r="F27" i="19"/>
  <c r="E27" i="19"/>
  <c r="D27" i="19"/>
  <c r="C27" i="19"/>
  <c r="B27" i="19"/>
  <c r="A27" i="19"/>
  <c r="K26" i="19"/>
  <c r="G26" i="19"/>
  <c r="I26" i="19" s="1"/>
  <c r="J26" i="19" s="1"/>
  <c r="F26" i="19"/>
  <c r="E26" i="19"/>
  <c r="D26" i="19"/>
  <c r="C26" i="19"/>
  <c r="B26" i="19"/>
  <c r="A26" i="19"/>
  <c r="K25" i="19"/>
  <c r="G25" i="19"/>
  <c r="I25" i="19" s="1"/>
  <c r="J25" i="19" s="1"/>
  <c r="F25" i="19"/>
  <c r="E25" i="19"/>
  <c r="D25" i="19"/>
  <c r="C25" i="19"/>
  <c r="B25" i="19"/>
  <c r="A25" i="19"/>
  <c r="K24" i="19"/>
  <c r="I24" i="19"/>
  <c r="J24" i="19" s="1"/>
  <c r="G24" i="19"/>
  <c r="F24" i="19"/>
  <c r="E24" i="19"/>
  <c r="D24" i="19"/>
  <c r="C24" i="19"/>
  <c r="B24" i="19"/>
  <c r="A24" i="19"/>
  <c r="K23" i="19"/>
  <c r="G23" i="19"/>
  <c r="I23" i="19" s="1"/>
  <c r="J23" i="19" s="1"/>
  <c r="F23" i="19"/>
  <c r="E23" i="19"/>
  <c r="D23" i="19"/>
  <c r="C23" i="19"/>
  <c r="B23" i="19"/>
  <c r="A23" i="19"/>
  <c r="K22" i="19"/>
  <c r="G22" i="19"/>
  <c r="I22" i="19" s="1"/>
  <c r="J22" i="19" s="1"/>
  <c r="F22" i="19"/>
  <c r="E22" i="19"/>
  <c r="D22" i="19"/>
  <c r="C22" i="19"/>
  <c r="B22" i="19"/>
  <c r="A22" i="19"/>
  <c r="K21" i="19"/>
  <c r="G21" i="19"/>
  <c r="I21" i="19" s="1"/>
  <c r="J21" i="19" s="1"/>
  <c r="F21" i="19"/>
  <c r="E21" i="19"/>
  <c r="D21" i="19"/>
  <c r="C21" i="19"/>
  <c r="B21" i="19"/>
  <c r="A21" i="19"/>
  <c r="K20" i="19"/>
  <c r="G20" i="19"/>
  <c r="I20" i="19" s="1"/>
  <c r="J20" i="19" s="1"/>
  <c r="F20" i="19"/>
  <c r="E20" i="19"/>
  <c r="D20" i="19"/>
  <c r="C20" i="19"/>
  <c r="B20" i="19"/>
  <c r="A20" i="19"/>
  <c r="K19" i="19"/>
  <c r="G19" i="19"/>
  <c r="I19" i="19" s="1"/>
  <c r="J19" i="19" s="1"/>
  <c r="F19" i="19"/>
  <c r="E19" i="19"/>
  <c r="D19" i="19"/>
  <c r="C19" i="19"/>
  <c r="B19" i="19"/>
  <c r="A19" i="19"/>
  <c r="K18" i="19"/>
  <c r="G18" i="19"/>
  <c r="I18" i="19" s="1"/>
  <c r="J18" i="19" s="1"/>
  <c r="F18" i="19"/>
  <c r="E18" i="19"/>
  <c r="D18" i="19"/>
  <c r="C18" i="19"/>
  <c r="B18" i="19"/>
  <c r="A18" i="19"/>
  <c r="K17" i="19"/>
  <c r="G17" i="19"/>
  <c r="I17" i="19" s="1"/>
  <c r="J17" i="19" s="1"/>
  <c r="F17" i="19"/>
  <c r="E17" i="19"/>
  <c r="D17" i="19"/>
  <c r="C17" i="19"/>
  <c r="B17" i="19"/>
  <c r="A17" i="19"/>
  <c r="K16" i="19"/>
  <c r="G16" i="19"/>
  <c r="I16" i="19" s="1"/>
  <c r="J16" i="19" s="1"/>
  <c r="F16" i="19"/>
  <c r="E16" i="19"/>
  <c r="D16" i="19"/>
  <c r="C16" i="19"/>
  <c r="B16" i="19"/>
  <c r="A16" i="19"/>
  <c r="K15" i="19"/>
  <c r="G15" i="19"/>
  <c r="I15" i="19" s="1"/>
  <c r="J15" i="19" s="1"/>
  <c r="F15" i="19"/>
  <c r="E15" i="19"/>
  <c r="D15" i="19"/>
  <c r="C15" i="19"/>
  <c r="B15" i="19"/>
  <c r="A15" i="19"/>
  <c r="K14" i="19"/>
  <c r="G14" i="19"/>
  <c r="I14" i="19" s="1"/>
  <c r="J14" i="19" s="1"/>
  <c r="F14" i="19"/>
  <c r="E14" i="19"/>
  <c r="D14" i="19"/>
  <c r="C14" i="19"/>
  <c r="B14" i="19"/>
  <c r="A14" i="19"/>
  <c r="K13" i="19"/>
  <c r="G13" i="19"/>
  <c r="I13" i="19" s="1"/>
  <c r="J13" i="19" s="1"/>
  <c r="F13" i="19"/>
  <c r="E13" i="19"/>
  <c r="D13" i="19"/>
  <c r="C13" i="19"/>
  <c r="B13" i="19"/>
  <c r="A13" i="19"/>
  <c r="K12" i="19"/>
  <c r="G12" i="19"/>
  <c r="I12" i="19" s="1"/>
  <c r="J12" i="19" s="1"/>
  <c r="F12" i="19"/>
  <c r="E12" i="19"/>
  <c r="D12" i="19"/>
  <c r="C12" i="19"/>
  <c r="B12" i="19"/>
  <c r="A12" i="19"/>
  <c r="K11" i="19"/>
  <c r="G11" i="19"/>
  <c r="I11" i="19" s="1"/>
  <c r="J11" i="19" s="1"/>
  <c r="F11" i="19"/>
  <c r="E11" i="19"/>
  <c r="D11" i="19"/>
  <c r="C11" i="19"/>
  <c r="B11" i="19"/>
  <c r="A11" i="19"/>
  <c r="K10" i="19"/>
  <c r="G10" i="19"/>
  <c r="I10" i="19" s="1"/>
  <c r="J10" i="19" s="1"/>
  <c r="F10" i="19"/>
  <c r="E10" i="19"/>
  <c r="D10" i="19"/>
  <c r="C10" i="19"/>
  <c r="B10" i="19"/>
  <c r="A10" i="19"/>
  <c r="K9" i="19"/>
  <c r="G9" i="19"/>
  <c r="I9" i="19" s="1"/>
  <c r="J9" i="19" s="1"/>
  <c r="F9" i="19"/>
  <c r="E9" i="19"/>
  <c r="D9" i="19"/>
  <c r="C9" i="19"/>
  <c r="B9" i="19"/>
  <c r="A9" i="19"/>
  <c r="K8" i="19"/>
  <c r="G8" i="19"/>
  <c r="I8" i="19" s="1"/>
  <c r="J8" i="19" s="1"/>
  <c r="F8" i="19"/>
  <c r="E8" i="19"/>
  <c r="D8" i="19"/>
  <c r="C8" i="19"/>
  <c r="B8" i="19"/>
  <c r="A8" i="19"/>
  <c r="K7" i="19"/>
  <c r="G7" i="19"/>
  <c r="I7" i="19" s="1"/>
  <c r="J7" i="19" s="1"/>
  <c r="F7" i="19"/>
  <c r="E7" i="19"/>
  <c r="D7" i="19"/>
  <c r="C7" i="19"/>
  <c r="B7" i="19"/>
  <c r="A7" i="19"/>
  <c r="K6" i="19"/>
  <c r="G6" i="19"/>
  <c r="I6" i="19" s="1"/>
  <c r="J6" i="19" s="1"/>
  <c r="F6" i="19"/>
  <c r="E6" i="19"/>
  <c r="D6" i="19"/>
  <c r="C6" i="19"/>
  <c r="B6" i="19"/>
  <c r="A6" i="19"/>
  <c r="K5" i="19"/>
  <c r="G5" i="19"/>
  <c r="I5" i="19" s="1"/>
  <c r="J5" i="19" s="1"/>
  <c r="F5" i="19"/>
  <c r="E5" i="19"/>
  <c r="D5" i="19"/>
  <c r="C5" i="19"/>
  <c r="B5" i="19"/>
  <c r="A5" i="19"/>
  <c r="K4" i="19"/>
  <c r="G4" i="19"/>
  <c r="I4" i="19" s="1"/>
  <c r="J4" i="19" s="1"/>
  <c r="F4" i="19"/>
  <c r="E4" i="19"/>
  <c r="D4" i="19"/>
  <c r="C4" i="19"/>
  <c r="B4" i="19"/>
  <c r="A4" i="19"/>
  <c r="K3" i="19"/>
  <c r="G3" i="19"/>
  <c r="I3" i="19" s="1"/>
  <c r="J3" i="19" s="1"/>
  <c r="F3" i="19"/>
  <c r="E3" i="19"/>
  <c r="D3" i="19"/>
  <c r="C3" i="19"/>
  <c r="B3" i="19"/>
  <c r="A3" i="19"/>
  <c r="J202" i="23"/>
  <c r="G202" i="23"/>
  <c r="H25" i="4"/>
  <c r="J5" i="23"/>
  <c r="G5" i="23"/>
  <c r="D4" i="4"/>
  <c r="B7" i="4"/>
  <c r="B6" i="4"/>
  <c r="B5" i="4"/>
  <c r="K201" i="23"/>
  <c r="K200" i="23"/>
  <c r="K199" i="23"/>
  <c r="K198" i="23"/>
  <c r="K197" i="23"/>
  <c r="K196" i="23"/>
  <c r="K195" i="23"/>
  <c r="K194" i="23"/>
  <c r="K193" i="23"/>
  <c r="K192" i="23"/>
  <c r="K191" i="23"/>
  <c r="K190" i="23"/>
  <c r="K189" i="23"/>
  <c r="K188" i="23"/>
  <c r="K187" i="23"/>
  <c r="K186" i="23"/>
  <c r="K185" i="23"/>
  <c r="K184" i="23"/>
  <c r="K183" i="23"/>
  <c r="K182" i="23"/>
  <c r="K181" i="23"/>
  <c r="K180" i="23"/>
  <c r="K179" i="23"/>
  <c r="K178" i="23"/>
  <c r="K177" i="23"/>
  <c r="K176" i="23"/>
  <c r="K175" i="23"/>
  <c r="K174" i="23"/>
  <c r="K173" i="23"/>
  <c r="K172" i="23"/>
  <c r="K171" i="23"/>
  <c r="K170" i="23"/>
  <c r="K169" i="23"/>
  <c r="K168" i="23"/>
  <c r="K167" i="23"/>
  <c r="K166" i="23"/>
  <c r="K165" i="23"/>
  <c r="K164" i="23"/>
  <c r="K163" i="23"/>
  <c r="K162" i="23"/>
  <c r="K161" i="23"/>
  <c r="K160" i="23"/>
  <c r="K159" i="23"/>
  <c r="K158" i="23"/>
  <c r="K157" i="23"/>
  <c r="K156" i="23"/>
  <c r="K155" i="23"/>
  <c r="K154" i="23"/>
  <c r="K153" i="23"/>
  <c r="K152" i="23"/>
  <c r="K151" i="23"/>
  <c r="K150" i="23"/>
  <c r="K149" i="23"/>
  <c r="K148" i="23"/>
  <c r="K147" i="23"/>
  <c r="K146" i="23"/>
  <c r="K145" i="23"/>
  <c r="K144" i="23"/>
  <c r="K143" i="23"/>
  <c r="K142" i="23"/>
  <c r="K141" i="23"/>
  <c r="K140" i="23"/>
  <c r="K139" i="23"/>
  <c r="K138" i="23"/>
  <c r="K137" i="23"/>
  <c r="K136" i="23"/>
  <c r="K135" i="23"/>
  <c r="K134" i="23"/>
  <c r="K133" i="23"/>
  <c r="K132" i="23"/>
  <c r="K131" i="23"/>
  <c r="K130" i="23"/>
  <c r="K129" i="23"/>
  <c r="K128" i="23"/>
  <c r="K127" i="23"/>
  <c r="K126" i="23"/>
  <c r="K125" i="23"/>
  <c r="K124" i="23"/>
  <c r="K123" i="23"/>
  <c r="K122" i="23"/>
  <c r="K121" i="23"/>
  <c r="K120" i="23"/>
  <c r="K119" i="23"/>
  <c r="K118" i="23"/>
  <c r="K117" i="23"/>
  <c r="K116" i="23"/>
  <c r="K115" i="23"/>
  <c r="K114" i="23"/>
  <c r="K113" i="23"/>
  <c r="K112" i="23"/>
  <c r="K111" i="23"/>
  <c r="K110" i="23"/>
  <c r="K109" i="23"/>
  <c r="K108" i="23"/>
  <c r="K107" i="23"/>
  <c r="K106" i="23"/>
  <c r="K105" i="23"/>
  <c r="K104" i="23"/>
  <c r="K103" i="23"/>
  <c r="K102" i="23"/>
  <c r="K101" i="23"/>
  <c r="K100" i="23"/>
  <c r="K99" i="23"/>
  <c r="K98" i="23"/>
  <c r="K97" i="23"/>
  <c r="K96" i="23"/>
  <c r="K95" i="23"/>
  <c r="K94" i="23"/>
  <c r="K93" i="23"/>
  <c r="K92" i="23"/>
  <c r="K91" i="23"/>
  <c r="K90" i="23"/>
  <c r="K89" i="23"/>
  <c r="K88" i="23"/>
  <c r="K87" i="23"/>
  <c r="K86" i="23"/>
  <c r="K85" i="23"/>
  <c r="K84" i="23"/>
  <c r="K83" i="23"/>
  <c r="K82" i="23"/>
  <c r="K81" i="23"/>
  <c r="K80" i="23"/>
  <c r="K79" i="23"/>
  <c r="K78" i="23"/>
  <c r="K77" i="23"/>
  <c r="K76" i="23"/>
  <c r="K75" i="23"/>
  <c r="K74" i="23"/>
  <c r="K73" i="23"/>
  <c r="K72" i="23"/>
  <c r="K71" i="23"/>
  <c r="K70" i="23"/>
  <c r="K69" i="23"/>
  <c r="K68" i="23"/>
  <c r="K67" i="23"/>
  <c r="K66" i="23"/>
  <c r="K65" i="23"/>
  <c r="K64" i="23"/>
  <c r="K63" i="23"/>
  <c r="K62" i="23"/>
  <c r="K61" i="23"/>
  <c r="K60" i="23"/>
  <c r="K59" i="23"/>
  <c r="K58" i="23"/>
  <c r="K57" i="23"/>
  <c r="K56" i="23"/>
  <c r="K55" i="23"/>
  <c r="K54" i="23"/>
  <c r="K53" i="23"/>
  <c r="K52" i="23"/>
  <c r="K51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K26" i="23"/>
  <c r="K25" i="23"/>
  <c r="K24" i="23"/>
  <c r="K23" i="23"/>
  <c r="K22" i="23"/>
  <c r="K21" i="23"/>
  <c r="K20" i="23"/>
  <c r="K19" i="23"/>
  <c r="K18" i="23"/>
  <c r="K17" i="23"/>
  <c r="K16" i="23"/>
  <c r="K15" i="23"/>
  <c r="K14" i="23"/>
  <c r="K13" i="23"/>
  <c r="K12" i="23"/>
  <c r="K11" i="23"/>
  <c r="K202" i="23" l="1"/>
  <c r="F4" i="4"/>
  <c r="D6" i="4"/>
</calcChain>
</file>

<file path=xl/sharedStrings.xml><?xml version="1.0" encoding="utf-8"?>
<sst xmlns="http://schemas.openxmlformats.org/spreadsheetml/2006/main" count="1413" uniqueCount="665">
  <si>
    <t>세입 예산액</t>
  </si>
  <si>
    <t>세출 요구액</t>
  </si>
  <si>
    <t>세입-세출 차액(조정필요액)</t>
  </si>
  <si>
    <t>공통경상운영비</t>
  </si>
  <si>
    <t>업무추진비조정필요액</t>
  </si>
  <si>
    <t>통합교부비</t>
  </si>
  <si>
    <t>일반(사용료+수수료등)</t>
  </si>
  <si>
    <t>수익자부담경비(세입)</t>
  </si>
  <si>
    <t>수익자부담경비 (세출)</t>
  </si>
  <si>
    <t>`</t>
  </si>
  <si>
    <t>장</t>
  </si>
  <si>
    <t>관</t>
  </si>
  <si>
    <t>항</t>
  </si>
  <si>
    <t>목</t>
  </si>
  <si>
    <t>원가통계목</t>
  </si>
  <si>
    <t>산출내역</t>
  </si>
  <si>
    <t>산출식</t>
  </si>
  <si>
    <t>예산액</t>
  </si>
  <si>
    <t>예산성격</t>
  </si>
  <si>
    <t>비고</t>
  </si>
  <si>
    <t>혁신학교 운영비</t>
  </si>
  <si>
    <t>부서명</t>
  </si>
  <si>
    <t>세부사업명</t>
  </si>
  <si>
    <t>세부항목명</t>
  </si>
  <si>
    <t>원가통계비목명</t>
  </si>
  <si>
    <t>요구금액</t>
  </si>
  <si>
    <t>사업담당자</t>
  </si>
  <si>
    <t>전년산출식</t>
  </si>
  <si>
    <t>전년요구금액</t>
  </si>
  <si>
    <t>증감</t>
  </si>
  <si>
    <t>학생맞춤통합지원 운영</t>
  </si>
  <si>
    <t>초등예술하나</t>
  </si>
  <si>
    <t>Wee클래스운영</t>
  </si>
  <si>
    <t>제출부서</t>
  </si>
  <si>
    <t>세부사업</t>
  </si>
  <si>
    <t>세부항목</t>
  </si>
  <si>
    <t>원가통계비목</t>
  </si>
  <si>
    <t>요구금액(A)</t>
  </si>
  <si>
    <t>조정금액(B)</t>
  </si>
  <si>
    <t>증감금액(B-A)</t>
  </si>
  <si>
    <t>전년도 대비 증감액</t>
  </si>
  <si>
    <t>조정금액(최종)</t>
  </si>
  <si>
    <t>전년도예산</t>
  </si>
  <si>
    <t>통합교부운영비 목록</t>
  </si>
  <si>
    <t>연번</t>
  </si>
  <si>
    <t>사업명</t>
  </si>
  <si>
    <t>유</t>
  </si>
  <si>
    <t>초</t>
  </si>
  <si>
    <t>중</t>
  </si>
  <si>
    <t>일반고</t>
  </si>
  <si>
    <t>특성화고(공업)</t>
  </si>
  <si>
    <t>특성화고(상업)</t>
  </si>
  <si>
    <t>특목고</t>
  </si>
  <si>
    <t>특수</t>
  </si>
  <si>
    <t>각종</t>
  </si>
  <si>
    <t>산업안전보건관리</t>
  </si>
  <si>
    <t>○</t>
  </si>
  <si>
    <t>학생안전체험교육 및 기자재 지원</t>
  </si>
  <si>
    <t>교육지원팀 소속 교사 수업시수 경감 강사비 지원</t>
  </si>
  <si>
    <t>교육과정 자율운영 영역 지원</t>
  </si>
  <si>
    <t>학교 학부모회 운영 지원</t>
  </si>
  <si>
    <t>과학실 안전장비 및 실험기자재 구입 지원</t>
  </si>
  <si>
    <t>정보(SW,AI)교육실습비 지원</t>
  </si>
  <si>
    <t>유치원 학습자료 구입 및 현장학습 지원</t>
  </si>
  <si>
    <t>학생 참여형 수업 지원</t>
  </si>
  <si>
    <t>학습준비물 지원</t>
  </si>
  <si>
    <t>중학교 자유학기 운영</t>
  </si>
  <si>
    <t>학교자치 활성화 지원</t>
  </si>
  <si>
    <t>학교 안 교원학습공동체 운영</t>
  </si>
  <si>
    <t>배움터지킴이 운영</t>
  </si>
  <si>
    <t>학교폭력 책임교사 수업시수 경감 지원</t>
  </si>
  <si>
    <t>학생자치참여예산제</t>
  </si>
  <si>
    <t>중학교로 찾아가는 직업계고 진학설명회</t>
  </si>
  <si>
    <t>취업기능강화 운영</t>
  </si>
  <si>
    <t>중학교 교육과정 내 학교스포츠클럽활동 강사비 지원</t>
  </si>
  <si>
    <t>초등 수영교육 지원</t>
  </si>
  <si>
    <t>협력종합예술활동 운영비</t>
  </si>
  <si>
    <t>학교예술동아리지원</t>
  </si>
  <si>
    <t>생활습관질환 진단비 지원</t>
  </si>
  <si>
    <t>특수학교 자유학기 및 고교학점제 운영</t>
  </si>
  <si>
    <t>청소용역비 지원</t>
  </si>
  <si>
    <t>개별교부운영비 목록</t>
  </si>
  <si>
    <t>지원 대상</t>
  </si>
  <si>
    <t>소관부서</t>
  </si>
  <si>
    <t>전화번호</t>
  </si>
  <si>
    <t>개교경비 및 개축학교이전경비지원</t>
  </si>
  <si>
    <t>개교 및 개축이전학교(유·초·중·고 6교)</t>
  </si>
  <si>
    <t>예산담당관</t>
  </si>
  <si>
    <t>2282-8639</t>
  </si>
  <si>
    <t>특수학교통학버스운영비지원</t>
  </si>
  <si>
    <t>특수학교 11교</t>
  </si>
  <si>
    <t>항공소음피해학교운영비지원</t>
  </si>
  <si>
    <t>항공소음피해학교(초·중 11교)</t>
  </si>
  <si>
    <t>교육복지학교사업비</t>
  </si>
  <si>
    <t>초·중·고 968교</t>
  </si>
  <si>
    <t>학생맞춤지원담당관</t>
  </si>
  <si>
    <t>399-9376</t>
  </si>
  <si>
    <t>과학교원영재학교운영</t>
  </si>
  <si>
    <t>과학고 2교·영재학교 1교</t>
  </si>
  <si>
    <t>창의미래교육과</t>
  </si>
  <si>
    <t>2282-8427 / 2282-8428</t>
  </si>
  <si>
    <t>과학교육센터운영</t>
  </si>
  <si>
    <t>초 10교</t>
  </si>
  <si>
    <t>2282-8429</t>
  </si>
  <si>
    <t>미래융합형수학교실운영</t>
  </si>
  <si>
    <t>초 3교, 중 2교, 고 1교</t>
  </si>
  <si>
    <t>2282-8430</t>
  </si>
  <si>
    <t>수학과학융합교육센터운영</t>
  </si>
  <si>
    <t>초 1교, 중 3교</t>
  </si>
  <si>
    <t>방송통신중고운영</t>
  </si>
  <si>
    <t>방송통신 중·고 6교</t>
  </si>
  <si>
    <t>중등교육과</t>
  </si>
  <si>
    <t>399-9373</t>
  </si>
  <si>
    <t>일반고교육역점제운영지원</t>
  </si>
  <si>
    <t>일반고 94교</t>
  </si>
  <si>
    <t>399-9095</t>
  </si>
  <si>
    <t>교육과정·평가지원센터구축</t>
  </si>
  <si>
    <t>청덕여자중학교</t>
  </si>
  <si>
    <t>학생역량·혁신교육과</t>
  </si>
  <si>
    <t>2282-8475</t>
  </si>
  <si>
    <t>2026학년도 혁신학교 지정 공립학교</t>
  </si>
  <si>
    <t>2282-8403</t>
  </si>
  <si>
    <t>마이스터고운영비</t>
  </si>
  <si>
    <t>마이스터고 2교</t>
  </si>
  <si>
    <t>진로직업교육과</t>
  </si>
  <si>
    <t>399-9565</t>
  </si>
  <si>
    <t>미래기술교육센터활성화</t>
  </si>
  <si>
    <t>미래기술교육센터 지정 특성화고 2교</t>
  </si>
  <si>
    <t>실험실습재료비지원확대</t>
  </si>
  <si>
    <t>특성화고 15교, 마이스터고 2교, 산업·문화예술정보학교 6교</t>
  </si>
  <si>
    <t>399-9560</t>
  </si>
  <si>
    <t>특수운영직미화원인건비</t>
  </si>
  <si>
    <t>초·중·고·특수학교 176교</t>
  </si>
  <si>
    <t>체육건강예술교육과</t>
  </si>
  <si>
    <t>399-9079</t>
  </si>
  <si>
    <t>통합학급인교육거점학교</t>
  </si>
  <si>
    <t>지정 고 6교</t>
  </si>
  <si>
    <t>특수교육과</t>
  </si>
  <si>
    <t>2282-8396</t>
  </si>
  <si>
    <t>특수교육지원센터운영</t>
  </si>
  <si>
    <t>특수교육지원센터 소재학교 10교</t>
  </si>
  <si>
    <t>399-9535</t>
  </si>
  <si>
    <t>특수돌봄교실지원</t>
  </si>
  <si>
    <t>특수학교 11교, 특수학급 돌봄교실 운영 유치원 87개원</t>
  </si>
  <si>
    <t>399-9598</t>
  </si>
  <si>
    <t>특수학급방과후활동지원</t>
  </si>
  <si>
    <t>특수학교 11교, 초·중·고 특수학급 설치교</t>
  </si>
  <si>
    <t>특수학급운영비 및 유아교육비</t>
  </si>
  <si>
    <t>특수학급 설치 유·초·중·고 967교</t>
  </si>
  <si>
    <t>399-9293</t>
  </si>
  <si>
    <t>가고싶은학교마을교실운영학교</t>
  </si>
  <si>
    <t>선정교 10교</t>
  </si>
  <si>
    <t>학교지원과</t>
  </si>
  <si>
    <t>399-9769</t>
  </si>
  <si>
    <t>통합운영학교운영</t>
  </si>
  <si>
    <t>통합운영교 3교</t>
  </si>
  <si>
    <t>399-9608</t>
  </si>
  <si>
    <t>기계설비유지관리</t>
  </si>
  <si>
    <t>연면적 1만㎡이상 초·중·고·특수학교 537교</t>
  </si>
  <si>
    <t>교육시설안전과</t>
  </si>
  <si>
    <t>399-9111</t>
  </si>
  <si>
    <t>학교공기청정기유지관리비</t>
  </si>
  <si>
    <t>유·초·중·고·특수·각종학교 517교</t>
  </si>
  <si>
    <t>보건안전진흥원 환경지원과</t>
  </si>
  <si>
    <t>724-1426</t>
  </si>
  <si>
    <t>업무추진비 편성한도</t>
    <phoneticPr fontId="2" type="noConversion"/>
  </si>
  <si>
    <t>업무추진비요구예산</t>
    <phoneticPr fontId="2" type="noConversion"/>
  </si>
  <si>
    <t>다음 연도 본예산 편성 기초자료 자동화</t>
  </si>
  <si>
    <t>작년도 본예산서를 선택하면 다음해 편성 기초자료가 자동으로 만들어집니다.</t>
  </si>
  <si>
    <t>사용 방법</t>
  </si>
  <si>
    <t>1. 아래 ① 버튼을 눌러 작년도 본예산서를 선택합니다.</t>
  </si>
  <si>
    <t>2. 자동 변환 후 세입·세출 시트의 내용을 확인합니다.</t>
  </si>
  <si>
    <t>4. 필요하면 ③ 결과 저장 버튼으로 매크로 없는 결과 파일(.xlsx)을 저장합니다.</t>
  </si>
  <si>
    <t>자라나 · 열리미와 함께 차근차근!</t>
  </si>
  <si>
    <t>중요: 자동화 원본 파일은 그대로 두고, 생성 결과는 별도 파일로 저장됩니다.</t>
  </si>
  <si>
    <t>준비 완료 - ① 버튼을 눌러 시작하세요.</t>
  </si>
  <si>
    <t>이전수입</t>
  </si>
  <si>
    <t>지방교육행정기관이전수입</t>
  </si>
  <si>
    <t>교육비특별회계전입금수입</t>
  </si>
  <si>
    <t>교육비특별회계전입금</t>
  </si>
  <si>
    <t>학교운영비전입금</t>
  </si>
  <si>
    <t>667,348,000*1교</t>
  </si>
  <si>
    <t>667,348,000원 * 1개교 =</t>
  </si>
  <si>
    <t>일</t>
  </si>
  <si>
    <t>8,945000*1교</t>
  </si>
  <si>
    <t>8,945,000원 * 1개교 =</t>
  </si>
  <si>
    <t>2,000,000*1교</t>
  </si>
  <si>
    <t>2,000,000원 * 1개교 =</t>
  </si>
  <si>
    <t>6,000,000*1교</t>
  </si>
  <si>
    <t>6,000,000원 * 1개교 =</t>
  </si>
  <si>
    <t>자체수입</t>
  </si>
  <si>
    <t>행정활동수입</t>
  </si>
  <si>
    <t>사용료및수수료</t>
  </si>
  <si>
    <t>사용료</t>
  </si>
  <si>
    <t>체육관사용료</t>
  </si>
  <si>
    <t>29,660,000*1건 =</t>
  </si>
  <si>
    <t>교실대관</t>
  </si>
  <si>
    <t>100,000*1건 =</t>
  </si>
  <si>
    <t>기타행정활동수입</t>
  </si>
  <si>
    <t>이자수입</t>
  </si>
  <si>
    <t>예금이자</t>
  </si>
  <si>
    <t>4,000,000 =</t>
  </si>
  <si>
    <t>폐식용유 매각대금</t>
  </si>
  <si>
    <t>1,000,000 =</t>
  </si>
  <si>
    <t>공사관련공과금</t>
  </si>
  <si>
    <t>500,000 =</t>
  </si>
  <si>
    <t>유치원공과금</t>
  </si>
  <si>
    <t>5,000,000 =</t>
  </si>
  <si>
    <t>문화관수도사용료</t>
  </si>
  <si>
    <t>폐품매각대금</t>
  </si>
  <si>
    <t>600,000 =</t>
  </si>
  <si>
    <t>기타수입</t>
  </si>
  <si>
    <t>전년도이월금</t>
  </si>
  <si>
    <t>순세계잉여금</t>
  </si>
  <si>
    <t>15,700,000 =</t>
  </si>
  <si>
    <t>교직원역량강화</t>
  </si>
  <si>
    <t>자율연수</t>
  </si>
  <si>
    <t>운영수당</t>
  </si>
  <si>
    <t>교원연수지원</t>
  </si>
  <si>
    <t>400000*2회</t>
  </si>
  <si>
    <t>교직원복지비</t>
  </si>
  <si>
    <t>자비부담연수지원</t>
  </si>
  <si>
    <t>150000*47회</t>
  </si>
  <si>
    <t>교육운영비</t>
  </si>
  <si>
    <t>(통합)교원학습공동체지원위크숍운영</t>
  </si>
  <si>
    <t>100000*10회</t>
  </si>
  <si>
    <t>(통합)교원학습공동체지원도서및자료구입</t>
  </si>
  <si>
    <t>일반업무추진비</t>
  </si>
  <si>
    <t>(통합)교원학습공동체지원협의회비</t>
  </si>
  <si>
    <t>교육과정평가워크숍</t>
  </si>
  <si>
    <t>일반수용비</t>
  </si>
  <si>
    <t>워크숍운영비</t>
  </si>
  <si>
    <t>1500000*2회</t>
  </si>
  <si>
    <t>협의회비</t>
  </si>
  <si>
    <t>450000*2회</t>
  </si>
  <si>
    <t>학교급식운영</t>
  </si>
  <si>
    <t>급식운영비</t>
  </si>
  <si>
    <t>음식물쓰레기처리용역료</t>
  </si>
  <si>
    <t>700,000원 * 10월</t>
  </si>
  <si>
    <t>청소용역비</t>
  </si>
  <si>
    <t>42,000원 * 2명* 192회</t>
  </si>
  <si>
    <t>산업안전보건교육비</t>
  </si>
  <si>
    <t>100,000원*6명*4회</t>
  </si>
  <si>
    <t>급식기구수리수선비</t>
  </si>
  <si>
    <t>500,000원 *5회</t>
  </si>
  <si>
    <t>급식실소모품구매</t>
  </si>
  <si>
    <t>600,000원 * 2회</t>
  </si>
  <si>
    <t>조리도구구매</t>
  </si>
  <si>
    <t>500,000원* 5회</t>
  </si>
  <si>
    <t>연수비및영양교육자료 구매</t>
  </si>
  <si>
    <t>45,000원 * 4회</t>
  </si>
  <si>
    <t>업무협의회비</t>
  </si>
  <si>
    <t>25,000원*7명 *2회</t>
  </si>
  <si>
    <t>학생및교직원보건안전관리</t>
  </si>
  <si>
    <t>응급학생후송비</t>
  </si>
  <si>
    <t>부상학생응급치료비</t>
  </si>
  <si>
    <t>100000원×2회</t>
  </si>
  <si>
    <t>학생건강검사</t>
  </si>
  <si>
    <t>소변검사(2,3,5,6학년)</t>
  </si>
  <si>
    <t>800원×465명</t>
  </si>
  <si>
    <t>건강검진(1,4학년)</t>
  </si>
  <si>
    <t>12000원×225명</t>
  </si>
  <si>
    <t>학생복지비</t>
  </si>
  <si>
    <t>구강검사(1~6학년)</t>
  </si>
  <si>
    <t>8150원×672명</t>
  </si>
  <si>
    <t>보건실운영</t>
  </si>
  <si>
    <t>보건실운영비</t>
  </si>
  <si>
    <t>500000원×2회</t>
  </si>
  <si>
    <t>(코로나)감염병관리물품구입</t>
  </si>
  <si>
    <t>600000원×1회</t>
  </si>
  <si>
    <t>(통합)월경권사업</t>
  </si>
  <si>
    <t>800000원×1회</t>
  </si>
  <si>
    <t>의무연수강사비</t>
  </si>
  <si>
    <t>10000×70명+400000원</t>
  </si>
  <si>
    <t>교직원결핵검사</t>
  </si>
  <si>
    <t>30000원×20명</t>
  </si>
  <si>
    <t>의료인보수교육비</t>
  </si>
  <si>
    <t>108000원×1회</t>
  </si>
  <si>
    <t>약품및기구구입</t>
  </si>
  <si>
    <t>1750000원×2회</t>
  </si>
  <si>
    <t>산업(중대)재해 예방 체계 구축</t>
  </si>
  <si>
    <t>(통합)급식실환기시설 점검</t>
  </si>
  <si>
    <t>1,200,000*1회 =</t>
  </si>
  <si>
    <t>(통합)안전보건정밀점검</t>
  </si>
  <si>
    <t>1,100,000*1회 =</t>
  </si>
  <si>
    <t>(통합)위험성평가 근골격계부담작업 유해요인조사</t>
  </si>
  <si>
    <t>900,000*1회 =</t>
  </si>
  <si>
    <t>(통합)안전보건관리 운영실태점검 및 현장점검</t>
  </si>
  <si>
    <t>2,500,000*1회 =</t>
  </si>
  <si>
    <t>교육복지우선</t>
  </si>
  <si>
    <t>교육복지(우선지원)학교지원사업비</t>
  </si>
  <si>
    <t>(개별)교육복지프로그램운영</t>
  </si>
  <si>
    <t>사제멘토링 프로그램 멘티 약 17명*활동비 88,000원=1,496,000원</t>
  </si>
  <si>
    <t>(개별)학생맞춤형지원</t>
  </si>
  <si>
    <t>심리정서프로그램 약 12회*100,000원=1,200,000원 경제취약학생 맞춤형 꾸러미 지원 약 2명*105,000원=210,000원</t>
  </si>
  <si>
    <t>(개별)협의회비</t>
  </si>
  <si>
    <t>협의회 1회*멘티교사 약 9명*10,000원=90,000원</t>
  </si>
  <si>
    <t>학생복지운영</t>
  </si>
  <si>
    <t>졸업앨범제작</t>
  </si>
  <si>
    <t>졸업앨범추가구매</t>
  </si>
  <si>
    <t>70,000원x2부</t>
  </si>
  <si>
    <t>학생교과서구입</t>
  </si>
  <si>
    <t>(통합)교과용도서구입및배부지원</t>
  </si>
  <si>
    <t>600000*1회</t>
  </si>
  <si>
    <t>교과활동지원</t>
  </si>
  <si>
    <t>학습준비물구입</t>
  </si>
  <si>
    <t>학습준비물</t>
  </si>
  <si>
    <t>교수학습자료구매</t>
  </si>
  <si>
    <t>(통합)학습준비물구입</t>
  </si>
  <si>
    <t>30000*700명</t>
  </si>
  <si>
    <t>(통합)신입생학습준비물구입</t>
  </si>
  <si>
    <t>30000*120명</t>
  </si>
  <si>
    <t>교과협의회운영</t>
  </si>
  <si>
    <t>교육과정운영협의회</t>
  </si>
  <si>
    <t>1000000*2회</t>
  </si>
  <si>
    <t>동료장학협의회</t>
  </si>
  <si>
    <t>30000*50명</t>
  </si>
  <si>
    <t>자율장학협의회</t>
  </si>
  <si>
    <t>150000*1회</t>
  </si>
  <si>
    <t>교육과정운영</t>
  </si>
  <si>
    <t>교육과정제작인쇄</t>
  </si>
  <si>
    <t>500000*1회</t>
  </si>
  <si>
    <t>(통합)교육과정 자율운영 영역 지원(1학년)</t>
  </si>
  <si>
    <t>3000000*1회</t>
  </si>
  <si>
    <t>(통합)교육과정 자율운영 영역 지원(2학년)</t>
  </si>
  <si>
    <t>(통합)교육과정 자율운영 영역 지원(3학년)</t>
  </si>
  <si>
    <t>2000000*1회</t>
  </si>
  <si>
    <t>(통합)교육과정 자율운영 영역 지원(4학년)</t>
  </si>
  <si>
    <t>(통합)교육과정 자율운영 영역 지원(5학년)</t>
  </si>
  <si>
    <t>(통합)교육과정 자율운영 영역 지원(6학년)</t>
  </si>
  <si>
    <t>학습준비물실운영</t>
  </si>
  <si>
    <t>학습준비물자원봉사자수당</t>
  </si>
  <si>
    <t>6510000*1년*2명</t>
  </si>
  <si>
    <t>학교참여형수업지원</t>
  </si>
  <si>
    <t>꿈잼 운영 지원(1학년)</t>
  </si>
  <si>
    <t>500000*5학급</t>
  </si>
  <si>
    <t>꿈잼 운영 지원(2학년)</t>
  </si>
  <si>
    <t>꿈실 운영 지원(3학년)</t>
  </si>
  <si>
    <t>꿈실 운영 지원(4학년)</t>
  </si>
  <si>
    <t>꿈실 운영 지원(5학년)</t>
  </si>
  <si>
    <t>꿈실 운영 지원(6학년)</t>
  </si>
  <si>
    <t>교육협력실습학교운영</t>
  </si>
  <si>
    <t>실습운영물품지원</t>
  </si>
  <si>
    <t>2,000,000*2회 =</t>
  </si>
  <si>
    <t>지도강화외부강사수당</t>
  </si>
  <si>
    <t>200,000*4회 =</t>
  </si>
  <si>
    <t>교수학습자료구입</t>
  </si>
  <si>
    <t>600,000*2회 =</t>
  </si>
  <si>
    <t>지도교원역량강화지원</t>
  </si>
  <si>
    <t>100,000*10명 =</t>
  </si>
  <si>
    <t>교육실습평가협의회비</t>
  </si>
  <si>
    <t>30,000*50명*1회 =</t>
  </si>
  <si>
    <t>과학 교과활동</t>
  </si>
  <si>
    <t>교과운영</t>
  </si>
  <si>
    <t>기자재유지비</t>
  </si>
  <si>
    <t>200,000x1회</t>
  </si>
  <si>
    <t>과학교구구입</t>
  </si>
  <si>
    <t>2,000,000x2회</t>
  </si>
  <si>
    <t>과학실험실습비</t>
  </si>
  <si>
    <t>1,000,000x4회</t>
  </si>
  <si>
    <t>(통합)과학실안전장비및설비구축지원</t>
  </si>
  <si>
    <t>2,000,000x1회</t>
  </si>
  <si>
    <t>[국고]체육 교과활동</t>
  </si>
  <si>
    <t>6학년체육동아리운영비</t>
  </si>
  <si>
    <t>250,000원x2회</t>
  </si>
  <si>
    <t>학습준비물지원</t>
  </si>
  <si>
    <t>체육및놀이교구구매</t>
  </si>
  <si>
    <t>400,000원X6학년</t>
  </si>
  <si>
    <t>초등수영교육</t>
  </si>
  <si>
    <t>3학년 수영교육비</t>
  </si>
  <si>
    <t>50,000*120명 =</t>
  </si>
  <si>
    <t>4학년 수영교육비</t>
  </si>
  <si>
    <t>생활습관질환진단</t>
  </si>
  <si>
    <t>생활습관질환 및 건강체력교실 운영비</t>
  </si>
  <si>
    <t>4,000,000원X1회</t>
  </si>
  <si>
    <t>예술 교과활동</t>
  </si>
  <si>
    <t>기간제근로자인건비</t>
  </si>
  <si>
    <t>초등예술하나강사비</t>
  </si>
  <si>
    <t>30개 반*15시간*30,000원 =</t>
  </si>
  <si>
    <t>초등예술하나악기및교재구입비</t>
  </si>
  <si>
    <t>1,050,000원 =</t>
  </si>
  <si>
    <t>초등예술하나업무협의회비</t>
  </si>
  <si>
    <t>담임교사 30명*협의회비 15,000원</t>
  </si>
  <si>
    <t>학예회지원</t>
  </si>
  <si>
    <t>외국어 교과활동</t>
  </si>
  <si>
    <t>영어교육내실화</t>
  </si>
  <si>
    <t>(기타)초3영어교구</t>
  </si>
  <si>
    <t>1000000*1회</t>
  </si>
  <si>
    <t>선택 교과활동</t>
  </si>
  <si>
    <t>실과교과용품구입</t>
  </si>
  <si>
    <t>1,000,000x1회</t>
  </si>
  <si>
    <t>특수교육교과활동</t>
  </si>
  <si>
    <t>(개별)창의적체험활동비</t>
  </si>
  <si>
    <t>100,000*10회</t>
  </si>
  <si>
    <t>(개별)통합교육지원활동비</t>
  </si>
  <si>
    <t>200,000*5회</t>
  </si>
  <si>
    <t>(개별)통합교육지원협의회비</t>
  </si>
  <si>
    <t>100,000*3회</t>
  </si>
  <si>
    <t>비품구입비</t>
  </si>
  <si>
    <t>(개별)특수학급비품구입비</t>
  </si>
  <si>
    <t>(개별)학습교재교구구입</t>
  </si>
  <si>
    <t>100,000*17회</t>
  </si>
  <si>
    <t>(개별)교육용소모품구입</t>
  </si>
  <si>
    <t>100,000*20회</t>
  </si>
  <si>
    <t>자율활동</t>
  </si>
  <si>
    <t>교직원체육연수비</t>
  </si>
  <si>
    <t>연수운영비</t>
  </si>
  <si>
    <t>30,000원X60명</t>
  </si>
  <si>
    <t>동아리활동</t>
  </si>
  <si>
    <t>학교스포츠클럽활동</t>
  </si>
  <si>
    <t>지도수당</t>
  </si>
  <si>
    <t>420,000*1년</t>
  </si>
  <si>
    <t>학생간식비</t>
  </si>
  <si>
    <t>1280000*1년</t>
  </si>
  <si>
    <t>독서활동운영</t>
  </si>
  <si>
    <t>도서구입</t>
  </si>
  <si>
    <t>정기간행물</t>
  </si>
  <si>
    <t>240000*2</t>
  </si>
  <si>
    <t>도서구입비</t>
  </si>
  <si>
    <t>3500000*4회</t>
  </si>
  <si>
    <t>도서관운영</t>
  </si>
  <si>
    <t>운영프로그램</t>
  </si>
  <si>
    <t>120000*10회</t>
  </si>
  <si>
    <t>사무용품구매</t>
  </si>
  <si>
    <t>300000*2회</t>
  </si>
  <si>
    <t>명예교사업무협의회</t>
  </si>
  <si>
    <t>50000*2회</t>
  </si>
  <si>
    <t>서가등비품구매</t>
  </si>
  <si>
    <t>300000*5회</t>
  </si>
  <si>
    <t>독서교육</t>
  </si>
  <si>
    <t>독서록제작</t>
  </si>
  <si>
    <t>4000000*1회</t>
  </si>
  <si>
    <t>독서교육프로그램</t>
  </si>
  <si>
    <t>책읽어주기학생참여용품</t>
  </si>
  <si>
    <t>250000*1회</t>
  </si>
  <si>
    <t>교기운영</t>
  </si>
  <si>
    <t>수영부운영</t>
  </si>
  <si>
    <t>수영대회출전비</t>
  </si>
  <si>
    <t>2,000,000원X1회</t>
  </si>
  <si>
    <t>수영부운영비품구입</t>
  </si>
  <si>
    <t>500,000원X1회</t>
  </si>
  <si>
    <t>교무학사운영</t>
  </si>
  <si>
    <t>각종인쇄</t>
  </si>
  <si>
    <t>1,000,000*1년</t>
  </si>
  <si>
    <t>각종소모품구매</t>
  </si>
  <si>
    <t>1,500,000*1년</t>
  </si>
  <si>
    <t>알림서비스</t>
  </si>
  <si>
    <t>1,584,000*1년</t>
  </si>
  <si>
    <t>옥정통신</t>
  </si>
  <si>
    <t>3,000,000*1년</t>
  </si>
  <si>
    <t>청소용품구입</t>
  </si>
  <si>
    <t>30,000원*34학급</t>
  </si>
  <si>
    <t>학급운영비</t>
  </si>
  <si>
    <t>300,000*36학급 (특수,교과포함)</t>
  </si>
  <si>
    <t>청소기 구입</t>
  </si>
  <si>
    <t>200,000*7대</t>
  </si>
  <si>
    <t>교무실문화체험연수비</t>
  </si>
  <si>
    <t>300,000*1년</t>
  </si>
  <si>
    <t>보결수당</t>
  </si>
  <si>
    <t>3,000,000*1년 =</t>
  </si>
  <si>
    <t>(통합)교육지원팀수업시수경감강사비</t>
  </si>
  <si>
    <t>4,500,000*1년</t>
  </si>
  <si>
    <t>(통합)학생참여예산제</t>
  </si>
  <si>
    <t>(통합)학생자치영역운영</t>
  </si>
  <si>
    <t>부장연수업무추진비</t>
  </si>
  <si>
    <t>650,000*2회 =</t>
  </si>
  <si>
    <t>업무추진비</t>
  </si>
  <si>
    <t>졸업식협의회비</t>
  </si>
  <si>
    <t>300,000* 1년</t>
  </si>
  <si>
    <t>접대용품구입</t>
  </si>
  <si>
    <t>교무실협의회비</t>
  </si>
  <si>
    <t>30,000*2회*10명</t>
  </si>
  <si>
    <t>학년,부서별협의회비</t>
  </si>
  <si>
    <t>1,250,000*2회 =</t>
  </si>
  <si>
    <t>커피원두 및 차 구입</t>
  </si>
  <si>
    <t>2,000,000*1년 =</t>
  </si>
  <si>
    <t>입학식 및 졸업식</t>
  </si>
  <si>
    <t>입학행사용품구입</t>
  </si>
  <si>
    <t>졸업행사용품구입</t>
  </si>
  <si>
    <t>2,900,000*1년</t>
  </si>
  <si>
    <t>학생생활상담지도</t>
  </si>
  <si>
    <t>녹색어머니회</t>
  </si>
  <si>
    <t>녹색어머니회개최행사용품구매</t>
  </si>
  <si>
    <t>200000*1회</t>
  </si>
  <si>
    <t>녹색어머니회업무협의회</t>
  </si>
  <si>
    <t>100000*1회</t>
  </si>
  <si>
    <t>상담교육</t>
  </si>
  <si>
    <t>프로그램운영및각종용품구매</t>
  </si>
  <si>
    <t>(통합)wee클래스운영</t>
  </si>
  <si>
    <t>2,200,000*1회 =</t>
  </si>
  <si>
    <t>학교폭력예방</t>
  </si>
  <si>
    <t>안전한학교환경구축</t>
  </si>
  <si>
    <t>(통합)교통안전지도활성화</t>
  </si>
  <si>
    <t>학교폭력예방교육</t>
  </si>
  <si>
    <t>(통합)학교폭력책임교사수업시수경감지원</t>
  </si>
  <si>
    <t>3,625,000 =</t>
  </si>
  <si>
    <t>(통합)학교폭력예방교육</t>
  </si>
  <si>
    <t>700,000*1회 =</t>
  </si>
  <si>
    <t>[국고]학생안전교육</t>
  </si>
  <si>
    <t>안전교육</t>
  </si>
  <si>
    <t>(통합)학생안전체험교육비</t>
  </si>
  <si>
    <t>1,200,000원X1회 =</t>
  </si>
  <si>
    <t>방송실운영</t>
  </si>
  <si>
    <t>기자재유지및소모품구매</t>
  </si>
  <si>
    <t>음원구입비</t>
  </si>
  <si>
    <t>정보화실운영</t>
  </si>
  <si>
    <t>학교정보화지원</t>
  </si>
  <si>
    <t>프린터토너구매</t>
  </si>
  <si>
    <t>1,200,000×4회</t>
  </si>
  <si>
    <t>학내망유지보수비</t>
  </si>
  <si>
    <t>286,000×12회</t>
  </si>
  <si>
    <t>정보화기기유지보수비</t>
  </si>
  <si>
    <t>500,000×4회</t>
  </si>
  <si>
    <t>인터넷통신비</t>
  </si>
  <si>
    <t>500,000×12회</t>
  </si>
  <si>
    <t>SW라이선스구매</t>
  </si>
  <si>
    <t>1,000,000×1회</t>
  </si>
  <si>
    <t>(개별)정보화기기보급(교원용PC)</t>
  </si>
  <si>
    <t>8,495,000 =</t>
  </si>
  <si>
    <t>정보화기기구입</t>
  </si>
  <si>
    <t>1,500,000×2회</t>
  </si>
  <si>
    <t>부서기본운영</t>
  </si>
  <si>
    <t>교장실운영</t>
  </si>
  <si>
    <t>기관운영업무추진비</t>
  </si>
  <si>
    <t>174,000*10회 =</t>
  </si>
  <si>
    <t>직책급업무수행경비</t>
  </si>
  <si>
    <t>330,000원*12월 =</t>
  </si>
  <si>
    <t>행정실운영</t>
  </si>
  <si>
    <t>500,000원*4회</t>
  </si>
  <si>
    <t>복사기및등사용품구매</t>
  </si>
  <si>
    <t>500,000원*12월</t>
  </si>
  <si>
    <t>신문및업무용간행물구매</t>
  </si>
  <si>
    <t>100,000원*4회</t>
  </si>
  <si>
    <t>각종수수료및수용비</t>
  </si>
  <si>
    <t>250,000원*12월</t>
  </si>
  <si>
    <t>당직실침구류세탁비</t>
  </si>
  <si>
    <t>150,000원*2회</t>
  </si>
  <si>
    <t>정보화물품구매</t>
  </si>
  <si>
    <t>500,000원*2회</t>
  </si>
  <si>
    <t>행정실현장연수비</t>
  </si>
  <si>
    <t>30,000원*5명*2회</t>
  </si>
  <si>
    <t>여비</t>
  </si>
  <si>
    <t>관내외출장여비</t>
  </si>
  <si>
    <t>1,200,000원*12월</t>
  </si>
  <si>
    <t>지방공무원훈련비</t>
  </si>
  <si>
    <t>50,000원*6회</t>
  </si>
  <si>
    <t>지방공무원자기개발비</t>
  </si>
  <si>
    <t>150,000원*5명</t>
  </si>
  <si>
    <t>시설관리직원피복비</t>
  </si>
  <si>
    <t>150,000원*1명</t>
  </si>
  <si>
    <t>특근매식비</t>
  </si>
  <si>
    <t>40,000원*12월</t>
  </si>
  <si>
    <t>교직원생일기념소액경비</t>
  </si>
  <si>
    <t>30,000원*100명</t>
  </si>
  <si>
    <t>접대용물품구매</t>
  </si>
  <si>
    <t>200,000원*4회</t>
  </si>
  <si>
    <t>행정실업무협의회</t>
  </si>
  <si>
    <t>250,000*4회 =</t>
  </si>
  <si>
    <t>행정지원인력운용</t>
  </si>
  <si>
    <t>교육공무직대체인건비</t>
  </si>
  <si>
    <t>기간제직원법정부담금</t>
  </si>
  <si>
    <t>2,000,000원*1년</t>
  </si>
  <si>
    <t>학교시설장비유지</t>
  </si>
  <si>
    <t>공공요금및제세공과금</t>
  </si>
  <si>
    <t>기타공공요금</t>
  </si>
  <si>
    <t>전화요금</t>
  </si>
  <si>
    <t>420,000원*12월</t>
  </si>
  <si>
    <t>케이블방송수신료</t>
  </si>
  <si>
    <t>35,000원*12월</t>
  </si>
  <si>
    <t>각종보험료</t>
  </si>
  <si>
    <t>100,000원*1회</t>
  </si>
  <si>
    <t>전기요금</t>
  </si>
  <si>
    <t>7,500,000원*12월</t>
  </si>
  <si>
    <t>상하수도료</t>
  </si>
  <si>
    <t>상하수도요금</t>
  </si>
  <si>
    <t>4,500,000원*12월</t>
  </si>
  <si>
    <t>연료비</t>
  </si>
  <si>
    <t>도시가스요금</t>
  </si>
  <si>
    <t>2,200,000원*12월</t>
  </si>
  <si>
    <t>시설관리용역</t>
  </si>
  <si>
    <t>옥정문화관BTL운영비</t>
  </si>
  <si>
    <t>2,959,000원*12월</t>
  </si>
  <si>
    <t>소방시설유지관리용역료</t>
  </si>
  <si>
    <t>50,000원*12월</t>
  </si>
  <si>
    <t>전기시설유지관리용역료</t>
  </si>
  <si>
    <t>160,000*12월</t>
  </si>
  <si>
    <t>각종안전검사수수료</t>
  </si>
  <si>
    <t>200,000원*10회</t>
  </si>
  <si>
    <t>어린이놀이시설유지관리용역료</t>
  </si>
  <si>
    <t>90,000원*12월</t>
  </si>
  <si>
    <t>아리수유지관리용역료</t>
  </si>
  <si>
    <t>256,000원*12월</t>
  </si>
  <si>
    <t>물품관리 시스템 유지관리비</t>
  </si>
  <si>
    <t>100,000원*12월</t>
  </si>
  <si>
    <t>각실복사기(복합기)렌탈료</t>
  </si>
  <si>
    <t>660,000원*12월</t>
  </si>
  <si>
    <t>공기질측정</t>
  </si>
  <si>
    <t>1,000,000원*1회</t>
  </si>
  <si>
    <t>정화조청소</t>
  </si>
  <si>
    <t>725,000원*1회</t>
  </si>
  <si>
    <t>알리미서비스</t>
  </si>
  <si>
    <t>체육관청소</t>
  </si>
  <si>
    <t>2,000,000원*1회</t>
  </si>
  <si>
    <t>교사동대청소</t>
  </si>
  <si>
    <t>20,000,000원*1회</t>
  </si>
  <si>
    <t>산업안전보건업무컨설팅위탁</t>
  </si>
  <si>
    <t>434,000*12월</t>
  </si>
  <si>
    <t>공기청정기렌탈비</t>
  </si>
  <si>
    <t>21,000원*12월</t>
  </si>
  <si>
    <t>비데렌탈</t>
  </si>
  <si>
    <t>42,000원*12월</t>
  </si>
  <si>
    <t>공기정화장치유지관리</t>
  </si>
  <si>
    <t>1,528,000원*12월</t>
  </si>
  <si>
    <t>본관출입시설유지보수(지문)</t>
  </si>
  <si>
    <t>250,000*12월</t>
  </si>
  <si>
    <t>본관출입시설유지보수(안면)</t>
  </si>
  <si>
    <t>170,000*12월</t>
  </si>
  <si>
    <t>문화관엘리베이터유지보수비</t>
  </si>
  <si>
    <t>200,000*12월</t>
  </si>
  <si>
    <t>기계설비유지관리용역비</t>
  </si>
  <si>
    <t>2,000,000*12월 =</t>
  </si>
  <si>
    <t>시설일반관리</t>
  </si>
  <si>
    <t>화초구매및보수</t>
  </si>
  <si>
    <t>1,200,000원*1회</t>
  </si>
  <si>
    <t>폐기물처리비</t>
  </si>
  <si>
    <t>2,892,000원*1회 =</t>
  </si>
  <si>
    <t>시설관리소모품구매</t>
  </si>
  <si>
    <t>1,100,000원*12회 =</t>
  </si>
  <si>
    <t>종량제봉투구매</t>
  </si>
  <si>
    <t>250,000원*3회</t>
  </si>
  <si>
    <t>화장실용품구매</t>
  </si>
  <si>
    <t>300,000원*10회</t>
  </si>
  <si>
    <t>비품구매</t>
  </si>
  <si>
    <t>1,000,000원*4회</t>
  </si>
  <si>
    <t>소규모시설보수</t>
  </si>
  <si>
    <t>34,305,000*1식 =</t>
  </si>
  <si>
    <t>학교운영위원회운영</t>
  </si>
  <si>
    <t>학교운영위원회간담회</t>
  </si>
  <si>
    <t>440,000*1회 =</t>
  </si>
  <si>
    <t>학교운영위원회물품구매</t>
  </si>
  <si>
    <t>학부모협력</t>
  </si>
  <si>
    <t>학부모회운영</t>
  </si>
  <si>
    <t>(통합)학부모회운영비</t>
  </si>
  <si>
    <t>(통합)학부모단체연수비</t>
  </si>
  <si>
    <t>300,000*4회</t>
  </si>
  <si>
    <t>(통합)학부모단체활동비행사지원</t>
  </si>
  <si>
    <t>300,000 =</t>
  </si>
  <si>
    <t>시설확충및개선</t>
  </si>
  <si>
    <t>시설적립금</t>
  </si>
  <si>
    <t>체육관시설보수적립금</t>
  </si>
  <si>
    <t>6,000,000*1년</t>
  </si>
  <si>
    <t>2025학년도 학교예산 편성 현황</t>
    <phoneticPr fontId="2" type="noConversion"/>
  </si>
  <si>
    <t>2025학년도 세출 편성 기초자료</t>
    <phoneticPr fontId="2" type="noConversion"/>
  </si>
  <si>
    <t>2025학년도 세출 조정안</t>
    <phoneticPr fontId="2" type="noConversion"/>
  </si>
  <si>
    <t>2025학년도 업무추진비 편성 현황</t>
    <phoneticPr fontId="2" type="noConversion"/>
  </si>
  <si>
    <t>※ 2024 예산서의 세출 산출기초를 전년도 산출식·요구금액으로 변환했습니다. F~H열은 사용자가 직접 작성하세요.</t>
    <phoneticPr fontId="2" type="noConversion"/>
  </si>
  <si>
    <t>요구금액 합계</t>
  </si>
  <si>
    <t>전년요구금액 합계</t>
  </si>
  <si>
    <t>합계</t>
  </si>
  <si>
    <t>전년합계</t>
  </si>
  <si>
    <t>전년도 산출식</t>
    <phoneticPr fontId="2" type="noConversion"/>
  </si>
  <si>
    <t>전년도 예산</t>
    <phoneticPr fontId="2" type="noConversion"/>
  </si>
  <si>
    <t>전년도 합계</t>
  </si>
  <si>
    <t>3. 세입의 전년도 산출식·전년도 예산을 참고하여 올해 산출식·예산액을 작성합니다.</t>
    <phoneticPr fontId="2" type="noConversion"/>
  </si>
  <si>
    <t>세입 작성 안내
G열 산출식 · H열 예산액: 올해 작성
I열 전년도 산출식 · J열 전년도 예산: 불러온 값 보관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</si>
</sst>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#,##0_ ;[Red]\-#,##0\ "/>
    <numFmt numFmtId="178" formatCode="0.0%"/>
  </numFmts>
  <fonts count="19">
    <font>
      <sz val="11"/>
      <name val="돋움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theme="1"/>
      <name val="돋움"/>
      <family val="3"/>
      <charset val="129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rgb="FF222222"/>
      <name val="맑은 고딕"/>
      <family val="3"/>
      <charset val="129"/>
    </font>
    <font>
      <sz val="10"/>
      <color rgb="FF222222"/>
      <name val="맑은 고딕"/>
      <family val="3"/>
      <charset val="129"/>
    </font>
    <font>
      <b/>
      <sz val="16"/>
      <color rgb="FF222222"/>
      <name val="맑은 고딕"/>
      <family val="3"/>
      <charset val="129"/>
    </font>
    <font>
      <i/>
      <sz val="9"/>
      <color rgb="FF222222"/>
      <name val="맑은 고딕"/>
      <family val="3"/>
      <charset val="129"/>
    </font>
    <font>
      <b/>
      <sz val="8"/>
      <color rgb="FF222222"/>
      <name val="맑은 고딕"/>
      <family val="3"/>
      <charset val="129"/>
    </font>
    <font>
      <b/>
      <sz val="18"/>
      <color rgb="FF222222"/>
      <name val="맑은 고딕"/>
      <family val="3"/>
      <charset val="129"/>
    </font>
    <font>
      <sz val="11"/>
      <name val="맑은 고딕"/>
      <family val="3"/>
      <charset val="129"/>
    </font>
    <font>
      <b/>
      <sz val="20"/>
      <color rgb="FFFFFFFF"/>
      <name val="맑은 고딕"/>
      <family val="3"/>
      <charset val="129"/>
    </font>
    <font>
      <sz val="11"/>
      <color rgb="FF41211C"/>
      <name val="맑은 고딕"/>
      <family val="3"/>
      <charset val="129"/>
    </font>
    <font>
      <b/>
      <sz val="13"/>
      <name val="맑은 고딕"/>
      <family val="3"/>
      <charset val="129"/>
    </font>
    <font>
      <b/>
      <sz val="11"/>
      <color rgb="FF4CABAB"/>
      <name val="맑은 고딕"/>
      <family val="3"/>
      <charset val="129"/>
    </font>
    <font>
      <b/>
      <sz val="11"/>
      <color rgb="FF7F6000"/>
      <name val="맑은 고딕"/>
      <family val="3"/>
      <charset val="129"/>
    </font>
    <font>
      <b/>
      <sz val="10"/>
      <color rgb="FFFFFFFF"/>
      <name val="맑은 고딕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D9EA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FBFA"/>
        <bgColor indexed="64"/>
      </patternFill>
    </fill>
    <fill>
      <patternFill patternType="solid">
        <fgColor rgb="FF4CABA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1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auto="1"/>
      </patternFill>
    </fill>
    <fill>
      <patternFill patternType="solid">
        <fgColor rgb="FF1F4E79"/>
        <bgColor indexed="64"/>
      </patternFill>
    </fill>
    <fill>
      <patternFill patternType="solid">
        <fgColor rgb="FFADD8E6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BFC8D1"/>
      </bottom>
      <diagonal/>
    </border>
    <border>
      <left style="thin">
        <color indexed="64"/>
      </left>
      <right/>
      <top/>
      <bottom/>
      <diagonal/>
    </border>
    <border>
      <left style="thin">
        <color rgb="FFBFC8D1"/>
      </left>
      <right style="thin">
        <color rgb="FFBFC8D1"/>
      </right>
      <top style="thin">
        <color rgb="FFBFC8D1"/>
      </top>
      <bottom style="thin">
        <color rgb="FFBFC8D1"/>
      </bottom>
      <diagonal/>
    </border>
    <border>
      <left style="thin">
        <color rgb="FFBFC8D1"/>
      </left>
      <right/>
      <top style="thin">
        <color rgb="FFBFC8D1"/>
      </top>
      <bottom style="thin">
        <color rgb="FFBFC8D1"/>
      </bottom>
      <diagonal/>
    </border>
    <border>
      <left style="thin">
        <color rgb="FFBFC8D1"/>
      </left>
      <right style="thin">
        <color rgb="FFBFC8D1"/>
      </right>
      <top style="thin">
        <color rgb="FFBFC8D1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E8E4"/>
      </left>
      <right style="thin">
        <color rgb="FFC8E8E4"/>
      </right>
      <top style="thin">
        <color rgb="FFC8E8E4"/>
      </top>
      <bottom style="thin">
        <color rgb="FFC8E8E4"/>
      </bottom>
      <diagonal/>
    </border>
    <border>
      <left style="thin">
        <color rgb="FFBFC8D1"/>
      </left>
      <right style="thin">
        <color rgb="FFBFC8D1"/>
      </right>
      <top style="thin">
        <color rgb="FFBFC8D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rgb="FF1F4E79"/>
      </left>
      <right style="thin">
        <color rgb="FF1F4E79"/>
      </right>
      <top style="thin">
        <color rgb="FF1F4E79"/>
      </top>
      <bottom style="thin">
        <color rgb="FF1F4E79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0">
    <xf numFmtId="0" fontId="0" fillId="0" borderId="0" xfId="0">
      <alignment vertical="center"/>
    </xf>
    <xf numFmtId="41" fontId="0" fillId="0" borderId="0" xfId="1" applyFont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4" fillId="0" borderId="2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176" fontId="4" fillId="0" borderId="1" xfId="0" applyNumberFormat="1" applyFont="1" applyFill="1" applyBorder="1" applyAlignment="1">
      <alignment vertical="center"/>
    </xf>
    <xf numFmtId="3" fontId="4" fillId="0" borderId="0" xfId="0" applyNumberFormat="1" applyFont="1" applyFill="1" applyBorder="1" applyAlignment="1">
      <alignment vertical="center"/>
    </xf>
    <xf numFmtId="0" fontId="0" fillId="0" borderId="0" xfId="0" applyFill="1">
      <alignment vertical="center"/>
    </xf>
    <xf numFmtId="0" fontId="5" fillId="0" borderId="0" xfId="0" applyNumberFormat="1" applyFont="1" applyFill="1" applyBorder="1" applyAlignment="1">
      <alignment vertical="center"/>
    </xf>
    <xf numFmtId="0" fontId="3" fillId="0" borderId="0" xfId="0" applyFont="1" applyFill="1">
      <alignment vertical="center"/>
    </xf>
    <xf numFmtId="0" fontId="7" fillId="2" borderId="0" xfId="0" applyNumberFormat="1" applyFont="1" applyFill="1" applyBorder="1" applyAlignment="1">
      <alignment vertical="center"/>
    </xf>
    <xf numFmtId="3" fontId="7" fillId="2" borderId="0" xfId="0" applyNumberFormat="1" applyFont="1" applyFill="1" applyBorder="1" applyAlignment="1">
      <alignment vertical="center"/>
    </xf>
    <xf numFmtId="3" fontId="7" fillId="2" borderId="0" xfId="0" applyNumberFormat="1" applyFont="1" applyFill="1" applyBorder="1" applyAlignment="1">
      <alignment horizontal="right" vertical="center" wrapText="1"/>
    </xf>
    <xf numFmtId="3" fontId="7" fillId="2" borderId="0" xfId="0" applyNumberFormat="1" applyFont="1" applyFill="1" applyBorder="1" applyAlignment="1">
      <alignment horizontal="right" vertical="center"/>
    </xf>
    <xf numFmtId="3" fontId="7" fillId="2" borderId="6" xfId="0" applyNumberFormat="1" applyFont="1" applyFill="1" applyBorder="1" applyAlignment="1">
      <alignment horizontal="right" vertical="center"/>
    </xf>
    <xf numFmtId="3" fontId="7" fillId="2" borderId="5" xfId="0" applyNumberFormat="1" applyFont="1" applyFill="1" applyBorder="1" applyAlignment="1">
      <alignment horizontal="right" vertical="center" wrapText="1"/>
    </xf>
    <xf numFmtId="3" fontId="7" fillId="2" borderId="5" xfId="0" applyNumberFormat="1" applyFont="1" applyFill="1" applyBorder="1" applyAlignment="1">
      <alignment horizontal="right" vertical="center"/>
    </xf>
    <xf numFmtId="3" fontId="7" fillId="2" borderId="7" xfId="0" applyNumberFormat="1" applyFont="1" applyFill="1" applyBorder="1" applyAlignment="1">
      <alignment horizontal="right" vertical="center"/>
    </xf>
    <xf numFmtId="0" fontId="7" fillId="2" borderId="0" xfId="0" applyNumberFormat="1" applyFont="1" applyFill="1" applyBorder="1" applyAlignment="1">
      <alignment horizontal="left" vertical="center" wrapText="1"/>
    </xf>
    <xf numFmtId="0" fontId="7" fillId="2" borderId="6" xfId="0" applyNumberFormat="1" applyFont="1" applyFill="1" applyBorder="1" applyAlignment="1">
      <alignment horizontal="left" vertical="center" wrapText="1"/>
    </xf>
    <xf numFmtId="0" fontId="7" fillId="2" borderId="4" xfId="0" applyNumberFormat="1" applyFont="1" applyFill="1" applyBorder="1" applyAlignment="1">
      <alignment horizontal="left" vertical="center" wrapText="1"/>
    </xf>
    <xf numFmtId="0" fontId="7" fillId="2" borderId="4" xfId="0" applyNumberFormat="1" applyFont="1" applyFill="1" applyBorder="1" applyAlignment="1">
      <alignment horizontal="left" vertical="center"/>
    </xf>
    <xf numFmtId="0" fontId="7" fillId="2" borderId="8" xfId="0" applyNumberFormat="1" applyFont="1" applyFill="1" applyBorder="1" applyAlignment="1">
      <alignment horizontal="left" vertical="center"/>
    </xf>
    <xf numFmtId="3" fontId="7" fillId="3" borderId="9" xfId="0" applyNumberFormat="1" applyFont="1" applyFill="1" applyBorder="1" applyAlignment="1">
      <alignment horizontal="right" vertical="center" wrapText="1"/>
    </xf>
    <xf numFmtId="0" fontId="6" fillId="4" borderId="10" xfId="0" applyNumberFormat="1" applyFont="1" applyFill="1" applyBorder="1" applyAlignment="1">
      <alignment horizontal="center" vertical="center" wrapText="1"/>
    </xf>
    <xf numFmtId="41" fontId="6" fillId="4" borderId="10" xfId="0" applyNumberFormat="1" applyFont="1" applyFill="1" applyBorder="1" applyAlignment="1">
      <alignment horizontal="center" vertical="center" wrapText="1"/>
    </xf>
    <xf numFmtId="0" fontId="7" fillId="3" borderId="9" xfId="0" applyNumberFormat="1" applyFont="1" applyFill="1" applyBorder="1" applyAlignment="1">
      <alignment horizontal="center" vertical="center" wrapText="1"/>
    </xf>
    <xf numFmtId="0" fontId="7" fillId="3" borderId="9" xfId="0" applyNumberFormat="1" applyFont="1" applyFill="1" applyBorder="1" applyAlignment="1">
      <alignment horizontal="left" vertical="center" wrapText="1"/>
    </xf>
    <xf numFmtId="176" fontId="6" fillId="4" borderId="10" xfId="0" applyNumberFormat="1" applyFont="1" applyFill="1" applyBorder="1" applyAlignment="1">
      <alignment horizontal="center" vertical="center" wrapText="1"/>
    </xf>
    <xf numFmtId="41" fontId="7" fillId="3" borderId="9" xfId="0" applyNumberFormat="1" applyFont="1" applyFill="1" applyBorder="1" applyAlignment="1">
      <alignment horizontal="left" vertical="center" wrapText="1"/>
    </xf>
    <xf numFmtId="0" fontId="7" fillId="3" borderId="9" xfId="0" applyNumberFormat="1" applyFont="1" applyFill="1" applyBorder="1" applyAlignment="1">
      <alignment vertical="center" wrapText="1"/>
    </xf>
    <xf numFmtId="177" fontId="6" fillId="4" borderId="10" xfId="0" applyNumberFormat="1" applyFont="1" applyFill="1" applyBorder="1" applyAlignment="1">
      <alignment horizontal="center" vertical="center" wrapText="1"/>
    </xf>
    <xf numFmtId="0" fontId="6" fillId="3" borderId="3" xfId="0" applyNumberFormat="1" applyFont="1" applyFill="1" applyBorder="1" applyAlignment="1">
      <alignment horizontal="left" vertical="center" wrapText="1"/>
    </xf>
    <xf numFmtId="3" fontId="6" fillId="3" borderId="3" xfId="0" applyNumberFormat="1" applyFont="1" applyFill="1" applyBorder="1" applyAlignment="1">
      <alignment horizontal="left" vertical="center" wrapText="1"/>
    </xf>
    <xf numFmtId="0" fontId="10" fillId="3" borderId="3" xfId="0" applyNumberFormat="1" applyFont="1" applyFill="1" applyBorder="1" applyAlignment="1">
      <alignment horizontal="left" vertical="center" wrapText="1"/>
    </xf>
    <xf numFmtId="0" fontId="0" fillId="0" borderId="0" xfId="0">
      <alignment vertical="center"/>
    </xf>
    <xf numFmtId="3" fontId="6" fillId="5" borderId="3" xfId="0" applyNumberFormat="1" applyFont="1" applyFill="1" applyBorder="1" applyAlignment="1">
      <alignment horizontal="right" vertical="center" wrapText="1"/>
    </xf>
    <xf numFmtId="3" fontId="7" fillId="5" borderId="3" xfId="0" applyNumberFormat="1" applyFont="1" applyFill="1" applyBorder="1" applyAlignment="1">
      <alignment horizontal="right" vertical="center" wrapText="1"/>
    </xf>
    <xf numFmtId="3" fontId="6" fillId="6" borderId="3" xfId="0" applyNumberFormat="1" applyFont="1" applyFill="1" applyBorder="1" applyAlignment="1">
      <alignment horizontal="right" vertical="center" wrapText="1"/>
    </xf>
    <xf numFmtId="0" fontId="0" fillId="0" borderId="3" xfId="0" applyBorder="1">
      <alignment vertical="center"/>
    </xf>
    <xf numFmtId="0" fontId="0" fillId="6" borderId="3" xfId="0" applyFill="1" applyBorder="1">
      <alignment vertical="center"/>
    </xf>
    <xf numFmtId="0" fontId="0" fillId="0" borderId="11" xfId="0" applyBorder="1">
      <alignment vertical="center"/>
    </xf>
    <xf numFmtId="178" fontId="6" fillId="3" borderId="11" xfId="0" applyNumberFormat="1" applyFont="1" applyFill="1" applyBorder="1" applyAlignment="1">
      <alignment horizontal="left" vertical="center" wrapText="1"/>
    </xf>
    <xf numFmtId="3" fontId="6" fillId="3" borderId="11" xfId="0" applyNumberFormat="1" applyFont="1" applyFill="1" applyBorder="1" applyAlignment="1">
      <alignment horizontal="left" vertical="center" wrapText="1"/>
    </xf>
    <xf numFmtId="41" fontId="0" fillId="0" borderId="9" xfId="1" applyFont="1" applyFill="1" applyBorder="1">
      <alignment vertical="center"/>
    </xf>
    <xf numFmtId="3" fontId="6" fillId="0" borderId="9" xfId="0" applyNumberFormat="1" applyFont="1" applyFill="1" applyBorder="1" applyAlignment="1">
      <alignment horizontal="right" vertical="center" wrapText="1"/>
    </xf>
    <xf numFmtId="3" fontId="7" fillId="0" borderId="9" xfId="0" applyNumberFormat="1" applyFont="1" applyFill="1" applyBorder="1" applyAlignment="1">
      <alignment horizontal="right" vertical="center" wrapText="1"/>
    </xf>
    <xf numFmtId="0" fontId="7" fillId="3" borderId="12" xfId="0" applyNumberFormat="1" applyFont="1" applyFill="1" applyBorder="1" applyAlignment="1">
      <alignment horizontal="center" vertical="center" wrapText="1"/>
    </xf>
    <xf numFmtId="0" fontId="7" fillId="3" borderId="12" xfId="0" applyNumberFormat="1" applyFont="1" applyFill="1" applyBorder="1" applyAlignment="1">
      <alignment horizontal="left" vertical="center" wrapText="1"/>
    </xf>
    <xf numFmtId="3" fontId="7" fillId="3" borderId="12" xfId="0" applyNumberFormat="1" applyFont="1" applyFill="1" applyBorder="1" applyAlignment="1">
      <alignment horizontal="right" vertical="center" wrapText="1"/>
    </xf>
    <xf numFmtId="41" fontId="7" fillId="3" borderId="12" xfId="0" applyNumberFormat="1" applyFont="1" applyFill="1" applyBorder="1" applyAlignment="1">
      <alignment horizontal="center" vertical="center" wrapText="1"/>
    </xf>
    <xf numFmtId="176" fontId="7" fillId="3" borderId="12" xfId="0" applyNumberFormat="1" applyFont="1" applyFill="1" applyBorder="1" applyAlignment="1">
      <alignment horizontal="center" vertical="center" wrapText="1"/>
    </xf>
    <xf numFmtId="176" fontId="7" fillId="3" borderId="12" xfId="0" applyNumberFormat="1" applyFont="1" applyFill="1" applyBorder="1" applyAlignment="1">
      <alignment horizontal="left" vertical="center" wrapText="1"/>
    </xf>
    <xf numFmtId="3" fontId="7" fillId="3" borderId="12" xfId="0" applyNumberFormat="1" applyFont="1" applyFill="1" applyBorder="1" applyAlignment="1">
      <alignment vertical="center" wrapText="1"/>
    </xf>
    <xf numFmtId="0" fontId="7" fillId="3" borderId="12" xfId="0" applyNumberFormat="1" applyFont="1" applyFill="1" applyBorder="1" applyAlignment="1">
      <alignment vertical="center" wrapText="1"/>
    </xf>
    <xf numFmtId="0" fontId="4" fillId="0" borderId="12" xfId="0" applyNumberFormat="1" applyFont="1" applyFill="1" applyBorder="1" applyAlignment="1">
      <alignment vertical="center"/>
    </xf>
    <xf numFmtId="3" fontId="4" fillId="0" borderId="12" xfId="0" applyNumberFormat="1" applyFont="1" applyFill="1" applyBorder="1" applyAlignment="1">
      <alignment vertical="center"/>
    </xf>
    <xf numFmtId="0" fontId="11" fillId="2" borderId="0" xfId="0" applyNumberFormat="1" applyFont="1" applyFill="1" applyBorder="1" applyAlignment="1">
      <alignment vertical="center"/>
    </xf>
    <xf numFmtId="0" fontId="11" fillId="2" borderId="9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vertical="center"/>
    </xf>
    <xf numFmtId="0" fontId="7" fillId="2" borderId="14" xfId="0" applyNumberFormat="1" applyFont="1" applyFill="1" applyBorder="1" applyAlignment="1">
      <alignment horizontal="left" vertical="center" wrapText="1"/>
    </xf>
    <xf numFmtId="3" fontId="7" fillId="2" borderId="14" xfId="0" applyNumberFormat="1" applyFont="1" applyFill="1" applyBorder="1" applyAlignment="1">
      <alignment horizontal="right" vertical="center" wrapText="1"/>
    </xf>
    <xf numFmtId="0" fontId="12" fillId="0" borderId="0" xfId="0" applyFont="1">
      <alignment vertical="center"/>
    </xf>
    <xf numFmtId="0" fontId="12" fillId="7" borderId="0" xfId="0" applyFont="1" applyFill="1">
      <alignment vertical="center"/>
    </xf>
    <xf numFmtId="0" fontId="7" fillId="2" borderId="0" xfId="0" applyNumberFormat="1" applyFont="1" applyFill="1" applyBorder="1" applyAlignment="1">
      <alignment vertical="center"/>
    </xf>
    <xf numFmtId="0" fontId="6" fillId="9" borderId="18" xfId="0" applyNumberFormat="1" applyFont="1" applyFill="1" applyBorder="1" applyAlignment="1">
      <alignment vertical="center"/>
    </xf>
    <xf numFmtId="3" fontId="6" fillId="9" borderId="18" xfId="0" applyNumberFormat="1" applyFont="1" applyFill="1" applyBorder="1" applyAlignment="1">
      <alignment vertical="center"/>
    </xf>
    <xf numFmtId="0" fontId="18" fillId="14" borderId="19" xfId="0" applyNumberFormat="1" applyFont="1" applyFill="1" applyBorder="1" applyAlignment="1">
      <alignment horizontal="center" vertical="center" wrapText="1"/>
    </xf>
    <xf numFmtId="0" fontId="18" fillId="14" borderId="19" xfId="0" applyNumberFormat="1" applyFont="1" applyFill="1" applyBorder="1" applyAlignment="1">
      <alignment horizontal="left" vertical="center" wrapText="1"/>
    </xf>
    <xf numFmtId="3" fontId="18" fillId="14" borderId="19" xfId="0" applyNumberFormat="1" applyFont="1" applyFill="1" applyBorder="1" applyAlignment="1">
      <alignment horizontal="right" vertical="center" wrapText="1"/>
    </xf>
    <xf numFmtId="41" fontId="18" fillId="14" borderId="19" xfId="0" applyNumberFormat="1" applyFont="1" applyFill="1" applyBorder="1" applyAlignment="1">
      <alignment horizontal="center" vertical="center" wrapText="1"/>
    </xf>
    <xf numFmtId="3" fontId="18" fillId="14" borderId="19" xfId="0" applyNumberFormat="1" applyFont="1" applyFill="1" applyBorder="1" applyAlignment="1">
      <alignment vertical="center" wrapText="1"/>
    </xf>
    <xf numFmtId="0" fontId="18" fillId="14" borderId="19" xfId="0" applyNumberFormat="1" applyFont="1" applyFill="1" applyBorder="1" applyAlignment="1">
      <alignment vertical="center" wrapText="1"/>
    </xf>
    <xf numFmtId="0" fontId="7" fillId="3" borderId="12" xfId="0" applyNumberFormat="1" applyFont="1" applyFill="1" applyBorder="1" applyAlignment="1">
      <alignment horizontal="center" vertical="center"/>
    </xf>
    <xf numFmtId="0" fontId="7" fillId="3" borderId="12" xfId="0" applyNumberFormat="1" applyFont="1" applyFill="1" applyBorder="1" applyAlignment="1" applyProtection="1">
      <alignment horizontal="left" vertical="center"/>
      <protection locked="0"/>
    </xf>
    <xf numFmtId="3" fontId="7" fillId="3" borderId="12" xfId="0" applyNumberFormat="1" applyFont="1" applyFill="1" applyBorder="1" applyAlignment="1" applyProtection="1">
      <alignment horizontal="right" vertical="center"/>
      <protection locked="0"/>
    </xf>
    <xf numFmtId="41" fontId="7" fillId="3" borderId="12" xfId="0" applyNumberFormat="1" applyFont="1" applyFill="1" applyBorder="1" applyAlignment="1">
      <alignment horizontal="center" vertical="center"/>
    </xf>
    <xf numFmtId="0" fontId="7" fillId="3" borderId="12" xfId="0" applyNumberFormat="1" applyFont="1" applyFill="1" applyBorder="1" applyAlignment="1">
      <alignment horizontal="left" vertical="center"/>
    </xf>
    <xf numFmtId="3" fontId="7" fillId="3" borderId="12" xfId="0" applyNumberFormat="1" applyFont="1" applyFill="1" applyBorder="1" applyAlignment="1">
      <alignment horizontal="right" vertical="center"/>
    </xf>
    <xf numFmtId="3" fontId="7" fillId="3" borderId="12" xfId="0" applyNumberFormat="1" applyFont="1" applyFill="1" applyBorder="1" applyAlignment="1">
      <alignment vertical="center"/>
    </xf>
    <xf numFmtId="176" fontId="7" fillId="3" borderId="12" xfId="0" applyNumberFormat="1" applyFont="1" applyFill="1" applyBorder="1" applyAlignment="1">
      <alignment vertical="center"/>
    </xf>
    <xf numFmtId="0" fontId="5" fillId="13" borderId="17" xfId="0" applyNumberFormat="1" applyFont="1" applyFill="1" applyBorder="1" applyAlignment="1">
      <alignment horizontal="left" vertical="center"/>
    </xf>
    <xf numFmtId="3" fontId="5" fillId="13" borderId="17" xfId="0" applyNumberFormat="1" applyFont="1" applyFill="1" applyBorder="1" applyAlignment="1">
      <alignment horizontal="right" vertical="center"/>
    </xf>
    <xf numFmtId="3" fontId="5" fillId="13" borderId="17" xfId="0" applyNumberFormat="1" applyFont="1" applyFill="1" applyBorder="1" applyAlignment="1">
      <alignment vertical="center"/>
    </xf>
    <xf numFmtId="176" fontId="5" fillId="13" borderId="17" xfId="0" applyNumberFormat="1" applyFont="1" applyFill="1" applyBorder="1" applyAlignment="1">
      <alignment vertical="center"/>
    </xf>
    <xf numFmtId="3" fontId="7" fillId="3" borderId="13" xfId="0" applyNumberFormat="1" applyFont="1" applyFill="1" applyBorder="1" applyAlignment="1">
      <alignment horizontal="right" vertical="center"/>
    </xf>
    <xf numFmtId="49" fontId="7" fillId="3" borderId="12" xfId="0" applyNumberFormat="1" applyFont="1" applyFill="1" applyBorder="1" applyAlignment="1" applyProtection="1">
      <alignment horizontal="left" vertical="center"/>
      <protection locked="0"/>
    </xf>
    <xf numFmtId="0" fontId="6" fillId="15" borderId="10" xfId="0" applyNumberFormat="1" applyFont="1" applyFill="1" applyBorder="1" applyAlignment="1">
      <alignment horizontal="center" vertical="center" wrapText="1"/>
    </xf>
    <xf numFmtId="41" fontId="6" fillId="15" borderId="10" xfId="0" applyNumberFormat="1" applyFont="1" applyFill="1" applyBorder="1" applyAlignment="1">
      <alignment horizontal="center" vertical="center" wrapText="1"/>
    </xf>
    <xf numFmtId="3" fontId="7" fillId="3" borderId="12" xfId="0" applyNumberFormat="1" applyFont="1" applyFill="1" applyBorder="1" applyAlignment="1">
      <alignment horizontal="center" vertical="center" wrapText="1"/>
    </xf>
    <xf numFmtId="3" fontId="7" fillId="3" borderId="9" xfId="0" applyNumberFormat="1" applyFont="1" applyFill="1" applyBorder="1" applyAlignment="1">
      <alignment horizontal="center" vertical="center" wrapText="1"/>
    </xf>
    <xf numFmtId="0" fontId="18" fillId="14" borderId="19" xfId="0" applyNumberFormat="1" applyFont="1" applyFill="1" applyBorder="1" applyAlignment="1" applyProtection="1">
      <alignment horizontal="left" vertical="center" wrapText="1"/>
      <protection locked="0"/>
    </xf>
    <xf numFmtId="3" fontId="18" fillId="14" borderId="19" xfId="0" applyNumberFormat="1" applyFont="1" applyFill="1" applyBorder="1" applyAlignment="1" applyProtection="1">
      <alignment horizontal="right" vertical="center" wrapText="1"/>
      <protection locked="0"/>
    </xf>
    <xf numFmtId="0" fontId="7" fillId="3" borderId="12" xfId="0" applyNumberFormat="1" applyFont="1" applyFill="1" applyBorder="1" applyAlignment="1" applyProtection="1">
      <alignment horizontal="left" vertical="center" wrapText="1"/>
      <protection locked="0"/>
    </xf>
    <xf numFmtId="3" fontId="7" fillId="3" borderId="12" xfId="0" applyNumberFormat="1" applyFont="1" applyFill="1" applyBorder="1" applyAlignment="1" applyProtection="1">
      <alignment horizontal="right" vertical="center" wrapText="1"/>
      <protection locked="0"/>
    </xf>
    <xf numFmtId="176" fontId="7" fillId="3" borderId="12" xfId="0" applyNumberFormat="1" applyFont="1" applyFill="1" applyBorder="1" applyAlignment="1" applyProtection="1">
      <alignment horizontal="left" vertical="center" wrapText="1"/>
      <protection locked="0"/>
    </xf>
    <xf numFmtId="0" fontId="7" fillId="3" borderId="9" xfId="0" applyNumberFormat="1" applyFont="1" applyFill="1" applyBorder="1" applyAlignment="1" applyProtection="1">
      <alignment horizontal="left" vertical="center" wrapText="1"/>
      <protection locked="0"/>
    </xf>
    <xf numFmtId="3" fontId="7" fillId="3" borderId="9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3" fontId="4" fillId="0" borderId="0" xfId="0" applyNumberFormat="1" applyFont="1" applyFill="1" applyBorder="1" applyAlignment="1" applyProtection="1">
      <alignment vertical="center"/>
      <protection locked="0"/>
    </xf>
    <xf numFmtId="0" fontId="12" fillId="7" borderId="15" xfId="0" applyFont="1" applyFill="1" applyBorder="1" applyAlignment="1">
      <alignment vertical="center" wrapText="1"/>
    </xf>
    <xf numFmtId="0" fontId="16" fillId="7" borderId="0" xfId="0" applyFont="1" applyFill="1" applyAlignment="1">
      <alignment horizontal="center" vertical="center"/>
    </xf>
    <xf numFmtId="0" fontId="17" fillId="10" borderId="0" xfId="0" applyFont="1" applyFill="1" applyAlignment="1">
      <alignment vertical="center" wrapText="1"/>
    </xf>
    <xf numFmtId="0" fontId="14" fillId="11" borderId="0" xfId="0" applyFont="1" applyFill="1" applyAlignment="1">
      <alignment horizontal="center" vertical="center"/>
    </xf>
    <xf numFmtId="0" fontId="12" fillId="12" borderId="16" xfId="0" applyFont="1" applyFill="1" applyBorder="1" applyAlignment="1">
      <alignment vertical="center" wrapText="1"/>
    </xf>
    <xf numFmtId="0" fontId="13" fillId="8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5" fillId="9" borderId="0" xfId="0" applyFont="1" applyFill="1">
      <alignment vertical="center"/>
    </xf>
    <xf numFmtId="0" fontId="6" fillId="2" borderId="0" xfId="0" applyNumberFormat="1" applyFont="1" applyFill="1" applyBorder="1" applyAlignment="1">
      <alignment horizontal="left" vertical="center"/>
    </xf>
    <xf numFmtId="0" fontId="8" fillId="2" borderId="0" xfId="0" applyNumberFormat="1" applyFont="1" applyFill="1" applyBorder="1" applyAlignment="1">
      <alignment horizontal="center" vertical="center"/>
    </xf>
    <xf numFmtId="0" fontId="6" fillId="2" borderId="0" xfId="0" applyNumberFormat="1" applyFont="1" applyFill="1" applyBorder="1" applyAlignment="1">
      <alignment horizontal="center" vertical="center"/>
    </xf>
    <xf numFmtId="0" fontId="7" fillId="2" borderId="0" xfId="0" applyNumberFormat="1" applyFont="1" applyFill="1" applyBorder="1" applyAlignment="1">
      <alignment vertical="center" wrapText="1"/>
    </xf>
    <xf numFmtId="0" fontId="7" fillId="2" borderId="0" xfId="0" applyNumberFormat="1" applyFont="1" applyFill="1" applyBorder="1" applyAlignment="1">
      <alignment vertical="center"/>
    </xf>
    <xf numFmtId="0" fontId="7" fillId="2" borderId="14" xfId="0" applyNumberFormat="1" applyFont="1" applyFill="1" applyBorder="1" applyAlignment="1">
      <alignment horizontal="left" vertical="center" wrapText="1"/>
    </xf>
    <xf numFmtId="0" fontId="9" fillId="2" borderId="0" xfId="0" applyNumberFormat="1" applyFont="1" applyFill="1" applyBorder="1" applyAlignment="1">
      <alignment vertical="center" wrapText="1"/>
    </xf>
    <xf numFmtId="0" fontId="0" fillId="0" borderId="0" xfId="0">
      <alignment vertical="center"/>
    </xf>
    <xf numFmtId="0" fontId="11" fillId="2" borderId="0" xfId="0" applyNumberFormat="1" applyFont="1" applyFill="1" applyBorder="1" applyAlignment="1">
      <alignment horizontal="center" vertical="center"/>
    </xf>
  </cellXfs>
  <cellStyles count="2">
    <cellStyle name="쉼표 [0]" xfId="1" xr:uid="{00000000-0005-0000-0000-000000000000}"/>
    <cellStyle name="표준" xfId="0" builtinId="0"/>
  </cellStyles>
  <dxfs count="49">
    <dxf>
      <font>
        <sz val="10"/>
        <color rgb="FF222222"/>
        <name val="맑은 고딕"/>
        <family val="3"/>
        <charset val="129"/>
      </font>
      <numFmt numFmtId="3" formatCode="#,##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BFC8D1"/>
        </left>
        <right/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3" formatCode="#,##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3" formatCode="#,##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3" formatCode="#,##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3" formatCode="#,##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sz val="10"/>
        <color rgb="FF222222"/>
        <name val="맑은 고딕"/>
        <family val="3"/>
        <charset val="129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0"/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ill>
        <patternFill>
          <bgColor auto="1"/>
        </patternFill>
      </fill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numFmt numFmtId="3" formatCode="#,##0"/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numFmt numFmtId="3" formatCode="#,##0"/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numFmt numFmtId="3" formatCode="#,##0"/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u val="none"/>
        <color theme="1"/>
      </font>
      <fill>
        <patternFill>
          <bgColor auto="1"/>
        </patternFill>
      </fill>
      <alignment vertical="center" textRotation="0" wrapText="0" indent="0" justifyLastLine="0" shrinkToFit="0" readingOrder="0"/>
    </dxf>
    <dxf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맑은 고딕"/>
        <family val="3"/>
        <charset val="129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맑은 고딕"/>
        <family val="3"/>
        <charset val="129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</dxf>
    <dxf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  <protection locked="0" hidden="0"/>
    </dxf>
    <dxf>
      <border diagonalUp="0" diagonalDown="0" outline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</border>
      <protection locked="0" hidden="0"/>
    </dxf>
    <dxf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border diagonalUp="0" diagonalDown="0">
        <left style="thin">
          <color rgb="FFBFC8D1"/>
        </left>
        <right style="thin">
          <color rgb="FFBFC8D1"/>
        </right>
        <top style="thin">
          <color rgb="FFBFC8D1"/>
        </top>
        <bottom style="thin">
          <color rgb="FFBFC8D1"/>
        </bottom>
        <vertical style="thin">
          <color rgb="FFBFC8D1"/>
        </vertical>
        <horizontal style="thin">
          <color rgb="FFBFC8D1"/>
        </horizontal>
      </border>
    </dxf>
    <dxf>
      <font>
        <b/>
        <color rgb="FF9C0006"/>
      </font>
      <fill>
        <patternFill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8</xdr:col>
      <xdr:colOff>0</xdr:colOff>
      <xdr:row>9</xdr:row>
      <xdr:rowOff>381000</xdr:rowOff>
    </xdr:to>
    <xdr:sp macro="" textlink="">
      <xdr:nvSpPr>
        <xdr:cNvPr id="2" name="heroPanel">
          <a:extLst>
            <a:ext uri="{FF2B5EF4-FFF2-40B4-BE49-F238E27FC236}">
              <a16:creationId xmlns:a16="http://schemas.microsoft.com/office/drawing/2014/main" id="{3374B771-6F58-4E90-A78C-EFCE7EFC39EC}"/>
            </a:ext>
          </a:extLst>
        </xdr:cNvPr>
        <xdr:cNvSpPr/>
      </xdr:nvSpPr>
      <xdr:spPr>
        <a:xfrm>
          <a:off x="6286500" y="1752600"/>
          <a:ext cx="3131820" cy="1905000"/>
        </a:xfrm>
        <a:prstGeom prst="roundRect">
          <a:avLst/>
        </a:prstGeom>
        <a:solidFill>
          <a:srgbClr val="FFFFFF"/>
        </a:solidFill>
        <a:ln w="15875">
          <a:solidFill>
            <a:srgbClr val="C8E8E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5</xdr:col>
      <xdr:colOff>76200</xdr:colOff>
      <xdr:row>5</xdr:row>
      <xdr:rowOff>101600</xdr:rowOff>
    </xdr:from>
    <xdr:to>
      <xdr:col>6</xdr:col>
      <xdr:colOff>403860</xdr:colOff>
      <xdr:row>8</xdr:row>
      <xdr:rowOff>241300</xdr:rowOff>
    </xdr:to>
    <xdr:pic>
      <xdr:nvPicPr>
        <xdr:cNvPr id="4" name="imgHeroJarana">
          <a:extLst>
            <a:ext uri="{FF2B5EF4-FFF2-40B4-BE49-F238E27FC236}">
              <a16:creationId xmlns:a16="http://schemas.microsoft.com/office/drawing/2014/main" id="{E34BC700-F968-4577-B030-AAD752B04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854200"/>
          <a:ext cx="1371600" cy="13589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228600</xdr:colOff>
      <xdr:row>7</xdr:row>
      <xdr:rowOff>63500</xdr:rowOff>
    </xdr:from>
    <xdr:to>
      <xdr:col>7</xdr:col>
      <xdr:colOff>137160</xdr:colOff>
      <xdr:row>9</xdr:row>
      <xdr:rowOff>546100</xdr:rowOff>
    </xdr:to>
    <xdr:pic>
      <xdr:nvPicPr>
        <xdr:cNvPr id="6" name="imgHeroYeollimi">
          <a:extLst>
            <a:ext uri="{FF2B5EF4-FFF2-40B4-BE49-F238E27FC236}">
              <a16:creationId xmlns:a16="http://schemas.microsoft.com/office/drawing/2014/main" id="{7FAF151F-96BC-49CA-89A2-F5DF8AD19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9040" y="2730500"/>
          <a:ext cx="952500" cy="1092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0</xdr:rowOff>
    </xdr:from>
    <xdr:to>
      <xdr:col>5</xdr:col>
      <xdr:colOff>0</xdr:colOff>
      <xdr:row>14</xdr:row>
      <xdr:rowOff>228600</xdr:rowOff>
    </xdr:to>
    <xdr:sp macro="예산편성기초자료_자동생성" textlink="">
      <xdr:nvSpPr>
        <xdr:cNvPr id="7" name="btnCreate">
          <a:extLst>
            <a:ext uri="{FF2B5EF4-FFF2-40B4-BE49-F238E27FC236}">
              <a16:creationId xmlns:a16="http://schemas.microsoft.com/office/drawing/2014/main" id="{0D3DE2E6-89B4-41FA-A4D0-ACCD274CA54C}"/>
            </a:ext>
          </a:extLst>
        </xdr:cNvPr>
        <xdr:cNvSpPr/>
      </xdr:nvSpPr>
      <xdr:spPr>
        <a:xfrm>
          <a:off x="281940" y="4800600"/>
          <a:ext cx="6004560" cy="533400"/>
        </a:xfrm>
        <a:prstGeom prst="roundRect">
          <a:avLst/>
        </a:prstGeom>
        <a:solidFill>
          <a:srgbClr val="FFFFFF"/>
        </a:solidFill>
        <a:ln w="25400">
          <a:solidFill>
            <a:srgbClr val="4CABA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87400" rtlCol="0" anchor="ctr"/>
        <a:lstStyle/>
        <a:p>
          <a:pPr algn="l"/>
          <a:r>
            <a:rPr lang="ko-KR" altLang="en-US" sz="1300" b="1">
              <a:solidFill>
                <a:srgbClr val="41211C"/>
              </a:solidFill>
              <a:latin typeface="맑은 고딕" panose="020B0503020000020004" pitchFamily="50" charset="-127"/>
            </a:rPr>
            <a:t>① 본예산서 불러오기 </a:t>
          </a:r>
          <a:r>
            <a:rPr lang="en-US" altLang="ko-KR" sz="1300" b="1">
              <a:solidFill>
                <a:srgbClr val="41211C"/>
              </a:solidFill>
              <a:latin typeface="맑은 고딕" panose="020B0503020000020004" pitchFamily="50" charset="-127"/>
            </a:rPr>
            <a:t>/ </a:t>
          </a:r>
          <a:r>
            <a:rPr lang="ko-KR" altLang="en-US" sz="1300" b="1">
              <a:solidFill>
                <a:srgbClr val="41211C"/>
              </a:solidFill>
              <a:latin typeface="맑은 고딕" panose="020B0503020000020004" pitchFamily="50" charset="-127"/>
            </a:rPr>
            <a:t>자동생성</a:t>
          </a:r>
        </a:p>
      </xdr:txBody>
    </xdr:sp>
    <xdr:clientData/>
  </xdr:twoCellAnchor>
  <xdr:twoCellAnchor editAs="oneCell">
    <xdr:from>
      <xdr:col>1</xdr:col>
      <xdr:colOff>88900</xdr:colOff>
      <xdr:row>13</xdr:row>
      <xdr:rowOff>38100</xdr:rowOff>
    </xdr:from>
    <xdr:to>
      <xdr:col>1</xdr:col>
      <xdr:colOff>571500</xdr:colOff>
      <xdr:row>14</xdr:row>
      <xdr:rowOff>215900</xdr:rowOff>
    </xdr:to>
    <xdr:pic macro="예산편성기초자료_자동생성">
      <xdr:nvPicPr>
        <xdr:cNvPr id="9" name="iconCreate">
          <a:extLst>
            <a:ext uri="{FF2B5EF4-FFF2-40B4-BE49-F238E27FC236}">
              <a16:creationId xmlns:a16="http://schemas.microsoft.com/office/drawing/2014/main" id="{2F2B6A2B-E090-43D3-B7CE-AE6638C83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840" y="4838700"/>
          <a:ext cx="482600" cy="482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</xdr:row>
      <xdr:rowOff>0</xdr:rowOff>
    </xdr:from>
    <xdr:to>
      <xdr:col>5</xdr:col>
      <xdr:colOff>0</xdr:colOff>
      <xdr:row>16</xdr:row>
      <xdr:rowOff>228600</xdr:rowOff>
    </xdr:to>
    <xdr:sp macro="초기화" textlink="">
      <xdr:nvSpPr>
        <xdr:cNvPr id="10" name="btnReset">
          <a:extLst>
            <a:ext uri="{FF2B5EF4-FFF2-40B4-BE49-F238E27FC236}">
              <a16:creationId xmlns:a16="http://schemas.microsoft.com/office/drawing/2014/main" id="{04A539A0-7628-45AC-A900-471CEC938A65}"/>
            </a:ext>
          </a:extLst>
        </xdr:cNvPr>
        <xdr:cNvSpPr/>
      </xdr:nvSpPr>
      <xdr:spPr>
        <a:xfrm>
          <a:off x="281940" y="5410200"/>
          <a:ext cx="6004560" cy="533400"/>
        </a:xfrm>
        <a:prstGeom prst="roundRect">
          <a:avLst/>
        </a:prstGeom>
        <a:solidFill>
          <a:srgbClr val="FFFFFF"/>
        </a:solidFill>
        <a:ln w="25400">
          <a:solidFill>
            <a:srgbClr val="9DDD0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87400" rtlCol="0" anchor="ctr"/>
        <a:lstStyle/>
        <a:p>
          <a:pPr algn="l"/>
          <a:r>
            <a:rPr lang="ko-KR" altLang="en-US" sz="1300" b="1">
              <a:solidFill>
                <a:srgbClr val="41211C"/>
              </a:solidFill>
              <a:latin typeface="맑은 고딕" panose="020B0503020000020004" pitchFamily="50" charset="-127"/>
            </a:rPr>
            <a:t>② 초기화</a:t>
          </a:r>
        </a:p>
      </xdr:txBody>
    </xdr:sp>
    <xdr:clientData/>
  </xdr:twoCellAnchor>
  <xdr:twoCellAnchor editAs="oneCell">
    <xdr:from>
      <xdr:col>1</xdr:col>
      <xdr:colOff>88900</xdr:colOff>
      <xdr:row>15</xdr:row>
      <xdr:rowOff>38100</xdr:rowOff>
    </xdr:from>
    <xdr:to>
      <xdr:col>1</xdr:col>
      <xdr:colOff>571500</xdr:colOff>
      <xdr:row>16</xdr:row>
      <xdr:rowOff>215900</xdr:rowOff>
    </xdr:to>
    <xdr:pic macro="초기화">
      <xdr:nvPicPr>
        <xdr:cNvPr id="12" name="iconReset">
          <a:extLst>
            <a:ext uri="{FF2B5EF4-FFF2-40B4-BE49-F238E27FC236}">
              <a16:creationId xmlns:a16="http://schemas.microsoft.com/office/drawing/2014/main" id="{DEC26FD6-E5FC-4716-AA86-10A966DB1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840" y="5448300"/>
          <a:ext cx="482600" cy="482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17</xdr:row>
      <xdr:rowOff>0</xdr:rowOff>
    </xdr:from>
    <xdr:to>
      <xdr:col>5</xdr:col>
      <xdr:colOff>0</xdr:colOff>
      <xdr:row>18</xdr:row>
      <xdr:rowOff>228600</xdr:rowOff>
    </xdr:to>
    <xdr:sp macro="결과저장" textlink="">
      <xdr:nvSpPr>
        <xdr:cNvPr id="13" name="btnSave">
          <a:extLst>
            <a:ext uri="{FF2B5EF4-FFF2-40B4-BE49-F238E27FC236}">
              <a16:creationId xmlns:a16="http://schemas.microsoft.com/office/drawing/2014/main" id="{44007DEF-932D-477B-8270-E331B1593955}"/>
            </a:ext>
          </a:extLst>
        </xdr:cNvPr>
        <xdr:cNvSpPr/>
      </xdr:nvSpPr>
      <xdr:spPr>
        <a:xfrm>
          <a:off x="281940" y="6019800"/>
          <a:ext cx="6004560" cy="533400"/>
        </a:xfrm>
        <a:prstGeom prst="roundRect">
          <a:avLst/>
        </a:prstGeom>
        <a:solidFill>
          <a:srgbClr val="FFFFFF"/>
        </a:solidFill>
        <a:ln w="25400">
          <a:solidFill>
            <a:srgbClr val="2F6BB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87400" rtlCol="0" anchor="ctr"/>
        <a:lstStyle/>
        <a:p>
          <a:pPr algn="l"/>
          <a:r>
            <a:rPr lang="ko-KR" altLang="en-US" sz="1300" b="1">
              <a:solidFill>
                <a:srgbClr val="41211C"/>
              </a:solidFill>
              <a:latin typeface="맑은 고딕" panose="020B0503020000020004" pitchFamily="50" charset="-127"/>
            </a:rPr>
            <a:t>③ 결과 저장</a:t>
          </a:r>
        </a:p>
      </xdr:txBody>
    </xdr:sp>
    <xdr:clientData/>
  </xdr:twoCellAnchor>
  <xdr:twoCellAnchor editAs="oneCell">
    <xdr:from>
      <xdr:col>1</xdr:col>
      <xdr:colOff>88900</xdr:colOff>
      <xdr:row>17</xdr:row>
      <xdr:rowOff>38100</xdr:rowOff>
    </xdr:from>
    <xdr:to>
      <xdr:col>1</xdr:col>
      <xdr:colOff>571500</xdr:colOff>
      <xdr:row>18</xdr:row>
      <xdr:rowOff>215900</xdr:rowOff>
    </xdr:to>
    <xdr:pic macro="결과저장">
      <xdr:nvPicPr>
        <xdr:cNvPr id="15" name="iconSave">
          <a:extLst>
            <a:ext uri="{FF2B5EF4-FFF2-40B4-BE49-F238E27FC236}">
              <a16:creationId xmlns:a16="http://schemas.microsoft.com/office/drawing/2014/main" id="{2DAE4234-BAC8-4A29-8F37-B36612297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840" y="6057900"/>
          <a:ext cx="482600" cy="4826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5</xdr:col>
      <xdr:colOff>0</xdr:colOff>
      <xdr:row>20</xdr:row>
      <xdr:rowOff>228600</xdr:rowOff>
    </xdr:to>
    <xdr:sp macro="통합문서종료" textlink="">
      <xdr:nvSpPr>
        <xdr:cNvPr id="16" name="btnExit">
          <a:extLst>
            <a:ext uri="{FF2B5EF4-FFF2-40B4-BE49-F238E27FC236}">
              <a16:creationId xmlns:a16="http://schemas.microsoft.com/office/drawing/2014/main" id="{19043D49-768A-43AA-9B09-8F10FBF00328}"/>
            </a:ext>
          </a:extLst>
        </xdr:cNvPr>
        <xdr:cNvSpPr/>
      </xdr:nvSpPr>
      <xdr:spPr>
        <a:xfrm>
          <a:off x="281940" y="6629400"/>
          <a:ext cx="6004560" cy="533400"/>
        </a:xfrm>
        <a:prstGeom prst="roundRect">
          <a:avLst/>
        </a:prstGeom>
        <a:solidFill>
          <a:srgbClr val="FFFFFF"/>
        </a:solidFill>
        <a:ln w="25400">
          <a:solidFill>
            <a:srgbClr val="FF812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87400" rtlCol="0" anchor="ctr"/>
        <a:lstStyle/>
        <a:p>
          <a:pPr algn="l"/>
          <a:r>
            <a:rPr lang="ko-KR" altLang="en-US" sz="1300" b="1">
              <a:solidFill>
                <a:srgbClr val="41211C"/>
              </a:solidFill>
              <a:latin typeface="맑은 고딕" panose="020B0503020000020004" pitchFamily="50" charset="-127"/>
            </a:rPr>
            <a:t>④ 종료</a:t>
          </a:r>
        </a:p>
      </xdr:txBody>
    </xdr:sp>
    <xdr:clientData/>
  </xdr:twoCellAnchor>
  <xdr:twoCellAnchor editAs="oneCell">
    <xdr:from>
      <xdr:col>1</xdr:col>
      <xdr:colOff>88900</xdr:colOff>
      <xdr:row>19</xdr:row>
      <xdr:rowOff>38100</xdr:rowOff>
    </xdr:from>
    <xdr:to>
      <xdr:col>1</xdr:col>
      <xdr:colOff>571500</xdr:colOff>
      <xdr:row>20</xdr:row>
      <xdr:rowOff>215900</xdr:rowOff>
    </xdr:to>
    <xdr:pic macro="통합문서종료">
      <xdr:nvPicPr>
        <xdr:cNvPr id="18" name="iconExit">
          <a:extLst>
            <a:ext uri="{FF2B5EF4-FFF2-40B4-BE49-F238E27FC236}">
              <a16:creationId xmlns:a16="http://schemas.microsoft.com/office/drawing/2014/main" id="{D894A763-3ADD-42ED-8571-3CAB004F0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840" y="6667500"/>
          <a:ext cx="482600" cy="482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_Revenue" displayName="Tbl_Revenue" ref="A11:L24" totalsRowShown="0">
  <autoFilter ref="A11:L24" xr:uid="{00000000-000C-0000-FFFF-FFFF00000000}"/>
  <tableColumns count="12">
    <tableColumn id="1" xr3:uid="{00000000-0010-0000-0000-000001000000}" name="장" dataDxfId="47"/>
    <tableColumn id="2" xr3:uid="{00000000-0010-0000-0000-000002000000}" name="관" dataDxfId="46"/>
    <tableColumn id="3" xr3:uid="{00000000-0010-0000-0000-000003000000}" name="항" dataDxfId="45"/>
    <tableColumn id="4" xr3:uid="{00000000-0010-0000-0000-000004000000}" name="목" dataDxfId="44"/>
    <tableColumn id="5" xr3:uid="{00000000-0010-0000-0000-000005000000}" name="원가통계목" dataDxfId="43"/>
    <tableColumn id="6" xr3:uid="{00000000-0010-0000-0000-000006000000}" name="산출내역" dataDxfId="42"/>
    <tableColumn id="7" xr3:uid="{00000000-0010-0000-0000-000007000000}" name="산출식" dataDxfId="41"/>
    <tableColumn id="8" xr3:uid="{00000000-0010-0000-0000-000008000000}" name="예산액" dataDxfId="40"/>
    <tableColumn id="11" xr3:uid="{D710120C-E749-4D98-96C8-61DB44E01DEF}" name="전년도 산출식" dataDxfId="39"/>
    <tableColumn id="12" xr3:uid="{872CA21A-2955-4A77-A5E0-0C1D74914D3A}" name="전년도 예산" dataDxfId="38"/>
    <tableColumn id="9" xr3:uid="{00000000-0010-0000-0000-000009000000}" name="예산성격" dataDxfId="37"/>
    <tableColumn id="10" xr3:uid="{00000000-0010-0000-0000-00000A000000}" name="비고" dataDxfId="3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OriginalBudget" displayName="Tbl_OriginalBudget" ref="A10:L201" totalsRowShown="0" dataDxfId="35">
  <autoFilter ref="A10:L201" xr:uid="{00000000-0009-0000-0100-000003000000}"/>
  <tableColumns count="12">
    <tableColumn id="1" xr3:uid="{00000000-0010-0000-0100-000001000000}" name="부서명" dataDxfId="34"/>
    <tableColumn id="2" xr3:uid="{00000000-0010-0000-0100-000002000000}" name="세부사업명" dataDxfId="33"/>
    <tableColumn id="3" xr3:uid="{00000000-0010-0000-0100-000003000000}" name="세부항목명" dataDxfId="32"/>
    <tableColumn id="4" xr3:uid="{00000000-0010-0000-0100-000004000000}" name="원가통계비목명" dataDxfId="31"/>
    <tableColumn id="5" xr3:uid="{00000000-0010-0000-0100-000005000000}" name="산출내역" dataDxfId="30"/>
    <tableColumn id="6" xr3:uid="{00000000-0010-0000-0100-000006000000}" name="산출식" dataDxfId="29"/>
    <tableColumn id="7" xr3:uid="{00000000-0010-0000-0100-000007000000}" name="요구금액" dataDxfId="28"/>
    <tableColumn id="8" xr3:uid="{00000000-0010-0000-0100-000008000000}" name="사업담당자" dataDxfId="27"/>
    <tableColumn id="9" xr3:uid="{00000000-0010-0000-0100-000009000000}" name="전년산출식" dataDxfId="26"/>
    <tableColumn id="10" xr3:uid="{00000000-0010-0000-0100-00000A000000}" name="전년요구금액" dataDxfId="25"/>
    <tableColumn id="11" xr3:uid="{00000000-0010-0000-0100-00000B000000}" name="증감" dataDxfId="24">
      <calculatedColumnFormula>IF(AND(ISNUMBER(G11),ISNUMBER(J11)),G11-J11,"")</calculatedColumnFormula>
    </tableColumn>
    <tableColumn id="12" xr3:uid="{00000000-0010-0000-0100-00000C000000}" name="비고" dataDxfId="23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l_AdjustedBudget" displayName="Tbl_AdjustedBudget" ref="A2:J191" totalsRowShown="0" dataDxfId="22">
  <autoFilter ref="A2:J191" xr:uid="{00000000-0009-0000-0100-000004000000}"/>
  <tableColumns count="10">
    <tableColumn id="1" xr3:uid="{00000000-0010-0000-0200-000001000000}" name="제출부서" dataDxfId="21"/>
    <tableColumn id="2" xr3:uid="{00000000-0010-0000-0200-000002000000}" name="세부사업" dataDxfId="20"/>
    <tableColumn id="3" xr3:uid="{00000000-0010-0000-0200-000003000000}" name="세부항목" dataDxfId="19"/>
    <tableColumn id="4" xr3:uid="{00000000-0010-0000-0200-000004000000}" name="원가통계비목" dataDxfId="18"/>
    <tableColumn id="5" xr3:uid="{00000000-0010-0000-0200-000005000000}" name="산출내역" dataDxfId="17"/>
    <tableColumn id="6" xr3:uid="{00000000-0010-0000-0200-000006000000}" name="산출식" dataDxfId="16"/>
    <tableColumn id="7" xr3:uid="{00000000-0010-0000-0200-000007000000}" name="요구금액(A)" dataDxfId="15"/>
    <tableColumn id="8" xr3:uid="{00000000-0010-0000-0200-000008000000}" name="조정금액(B)" dataDxfId="14"/>
    <tableColumn id="9" xr3:uid="{00000000-0010-0000-0200-000009000000}" name="증감금액(B-A)" dataDxfId="13"/>
    <tableColumn id="10" xr3:uid="{00000000-0010-0000-0200-00000A000000}" name="전년도 대비 증감액" dataDxfId="12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BizExpense" displayName="Tbl_BizExpense" ref="A2:K27" totalsRowShown="0" dataDxfId="11">
  <autoFilter ref="A2:K27" xr:uid="{00000000-000C-0000-FFFF-FFFF03000000}"/>
  <tableColumns count="11">
    <tableColumn id="1" xr3:uid="{00000000-0010-0000-0300-000001000000}" name="제출부서" dataDxfId="10"/>
    <tableColumn id="2" xr3:uid="{00000000-0010-0000-0300-000002000000}" name="세부사업" dataDxfId="9"/>
    <tableColumn id="3" xr3:uid="{00000000-0010-0000-0300-000003000000}" name="세부항목" dataDxfId="8"/>
    <tableColumn id="4" xr3:uid="{00000000-0010-0000-0300-000004000000}" name="원가통계비목" dataDxfId="7"/>
    <tableColumn id="5" xr3:uid="{00000000-0010-0000-0300-000005000000}" name="산출내역" dataDxfId="6"/>
    <tableColumn id="6" xr3:uid="{00000000-0010-0000-0300-000006000000}" name="산출식" dataDxfId="5"/>
    <tableColumn id="7" xr3:uid="{00000000-0010-0000-0300-000007000000}" name="요구금액(A)" dataDxfId="4"/>
    <tableColumn id="8" xr3:uid="{00000000-0010-0000-0300-000008000000}" name="조정금액(B)" dataDxfId="3"/>
    <tableColumn id="9" xr3:uid="{00000000-0010-0000-0300-000009000000}" name="조정금액(최종)" dataDxfId="2"/>
    <tableColumn id="10" xr3:uid="{00000000-0010-0000-0300-00000A000000}" name="증감금액(B-A)" dataDxfId="1"/>
    <tableColumn id="11" xr3:uid="{00000000-0010-0000-0300-00000B000000}" name="전년도예산" dataDxfId="0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IntegratedGrantList" displayName="IntegratedGrantList" ref="A3:K31" totalsRowShown="0">
  <tableColumns count="11">
    <tableColumn id="1" xr3:uid="{00000000-0010-0000-0400-000001000000}" name="연번"/>
    <tableColumn id="2" xr3:uid="{00000000-0010-0000-0400-000002000000}" name="사업명"/>
    <tableColumn id="3" xr3:uid="{00000000-0010-0000-0400-000003000000}" name="유"/>
    <tableColumn id="4" xr3:uid="{00000000-0010-0000-0400-000004000000}" name="초"/>
    <tableColumn id="5" xr3:uid="{00000000-0010-0000-0400-000005000000}" name="중"/>
    <tableColumn id="6" xr3:uid="{00000000-0010-0000-0400-000006000000}" name="일반고"/>
    <tableColumn id="7" xr3:uid="{00000000-0010-0000-0400-000007000000}" name="특성화고(공업)"/>
    <tableColumn id="8" xr3:uid="{00000000-0010-0000-0400-000008000000}" name="특성화고(상업)"/>
    <tableColumn id="9" xr3:uid="{00000000-0010-0000-0400-000009000000}" name="특목고"/>
    <tableColumn id="10" xr3:uid="{00000000-0010-0000-0400-00000A000000}" name="특수"/>
    <tableColumn id="11" xr3:uid="{00000000-0010-0000-0400-00000B000000}" name="각종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IndividualGrantList" displayName="IndividualGrantList" ref="A4:E29" totalsRowShown="0">
  <tableColumns count="5">
    <tableColumn id="1" xr3:uid="{00000000-0010-0000-0500-000001000000}" name="연번"/>
    <tableColumn id="2" xr3:uid="{00000000-0010-0000-0500-000002000000}" name="사업명"/>
    <tableColumn id="3" xr3:uid="{00000000-0010-0000-0500-000003000000}" name="지원 대상"/>
    <tableColumn id="4" xr3:uid="{00000000-0010-0000-0500-000004000000}" name="소관부서"/>
    <tableColumn id="5" xr3:uid="{00000000-0010-0000-0500-000005000000}" name="전화번호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2C344-CA77-441A-9B7E-D7758086FEC7}">
  <sheetPr codeName="Sheet1">
    <pageSetUpPr fitToPage="1"/>
  </sheetPr>
  <dimension ref="B1:H28"/>
  <sheetViews>
    <sheetView showGridLines="0" topLeftCell="A7" zoomScale="90" zoomScaleNormal="90" workbookViewId="0">
      <selection activeCell="B10" sqref="B10:E10"/>
    </sheetView>
  </sheetViews>
  <sheetFormatPr defaultRowHeight="17.399999999999999"/>
  <cols>
    <col min="1" max="1" width="3.69921875" style="64" customWidth="1"/>
    <col min="2" max="5" width="19.69921875" style="64" customWidth="1"/>
    <col min="6" max="8" width="13.69921875" style="64" customWidth="1"/>
    <col min="9" max="16384" width="8.796875" style="64"/>
  </cols>
  <sheetData>
    <row r="1" spans="2:8" ht="24" customHeight="1"/>
    <row r="2" spans="2:8" ht="42" customHeight="1">
      <c r="B2" s="107" t="s">
        <v>167</v>
      </c>
      <c r="C2" s="107"/>
      <c r="D2" s="107"/>
      <c r="E2" s="107"/>
      <c r="F2" s="108"/>
      <c r="G2" s="108"/>
      <c r="H2" s="108"/>
    </row>
    <row r="3" spans="2:8" ht="24" customHeight="1">
      <c r="B3" s="65"/>
      <c r="C3" s="65"/>
      <c r="D3" s="65"/>
      <c r="E3" s="65"/>
      <c r="F3" s="65"/>
      <c r="G3" s="65"/>
      <c r="H3" s="65"/>
    </row>
    <row r="4" spans="2:8" ht="24" customHeight="1">
      <c r="B4" s="109" t="s">
        <v>168</v>
      </c>
      <c r="C4" s="109"/>
      <c r="D4" s="109"/>
      <c r="E4" s="109"/>
      <c r="F4" s="109"/>
      <c r="G4" s="109"/>
      <c r="H4" s="109"/>
    </row>
    <row r="5" spans="2:8" ht="24" customHeight="1">
      <c r="B5" s="65"/>
      <c r="C5" s="65"/>
      <c r="D5" s="65"/>
      <c r="E5" s="65"/>
      <c r="F5" s="65"/>
      <c r="G5" s="65"/>
      <c r="H5" s="65"/>
    </row>
    <row r="6" spans="2:8" ht="24" customHeight="1">
      <c r="B6" s="110" t="s">
        <v>169</v>
      </c>
      <c r="C6" s="110"/>
      <c r="D6" s="110"/>
      <c r="E6" s="110"/>
      <c r="F6" s="65"/>
      <c r="G6" s="65"/>
      <c r="H6" s="65"/>
    </row>
    <row r="7" spans="2:8" ht="48" customHeight="1">
      <c r="B7" s="102" t="s">
        <v>170</v>
      </c>
      <c r="C7" s="102"/>
      <c r="D7" s="102"/>
      <c r="E7" s="102"/>
      <c r="F7" s="65"/>
      <c r="G7" s="65"/>
      <c r="H7" s="65"/>
    </row>
    <row r="8" spans="2:8" ht="24" customHeight="1">
      <c r="B8" s="102" t="s">
        <v>171</v>
      </c>
      <c r="C8" s="102"/>
      <c r="D8" s="102"/>
      <c r="E8" s="102"/>
      <c r="F8" s="65"/>
      <c r="G8" s="65"/>
      <c r="H8" s="65"/>
    </row>
    <row r="9" spans="2:8" ht="24" customHeight="1">
      <c r="B9" s="102" t="s">
        <v>663</v>
      </c>
      <c r="C9" s="102"/>
      <c r="D9" s="102"/>
      <c r="E9" s="102"/>
      <c r="F9" s="65"/>
      <c r="G9" s="65"/>
      <c r="H9" s="65"/>
    </row>
    <row r="10" spans="2:8" ht="48" customHeight="1">
      <c r="B10" s="102" t="s">
        <v>172</v>
      </c>
      <c r="C10" s="102"/>
      <c r="D10" s="102"/>
      <c r="E10" s="102"/>
      <c r="F10" s="65"/>
      <c r="G10" s="65"/>
      <c r="H10" s="65"/>
    </row>
    <row r="11" spans="2:8" ht="24" customHeight="1">
      <c r="B11" s="65"/>
      <c r="C11" s="65"/>
      <c r="D11" s="65"/>
      <c r="E11" s="65"/>
      <c r="F11" s="65"/>
      <c r="G11" s="65"/>
      <c r="H11" s="65"/>
    </row>
    <row r="12" spans="2:8" ht="24" customHeight="1">
      <c r="B12" s="104" t="s">
        <v>174</v>
      </c>
      <c r="C12" s="104"/>
      <c r="D12" s="104"/>
      <c r="E12" s="104"/>
      <c r="F12" s="103" t="s">
        <v>173</v>
      </c>
      <c r="G12" s="103"/>
      <c r="H12" s="103"/>
    </row>
    <row r="13" spans="2:8" ht="24" customHeight="1">
      <c r="B13" s="65"/>
      <c r="C13" s="65"/>
      <c r="D13" s="65"/>
      <c r="E13" s="65"/>
      <c r="F13" s="65"/>
      <c r="G13" s="65"/>
      <c r="H13" s="65"/>
    </row>
    <row r="14" spans="2:8" ht="24" customHeight="1">
      <c r="B14" s="65"/>
      <c r="C14" s="65"/>
      <c r="D14" s="65"/>
      <c r="E14" s="65"/>
      <c r="F14" s="65"/>
      <c r="G14" s="65"/>
      <c r="H14" s="65"/>
    </row>
    <row r="15" spans="2:8" ht="24" customHeight="1">
      <c r="B15" s="65"/>
      <c r="C15" s="65"/>
      <c r="D15" s="65"/>
      <c r="E15" s="65"/>
      <c r="F15" s="65"/>
      <c r="G15" s="65"/>
      <c r="H15" s="65"/>
    </row>
    <row r="16" spans="2:8" ht="24" customHeight="1">
      <c r="B16" s="65"/>
      <c r="C16" s="65"/>
      <c r="D16" s="65"/>
      <c r="E16" s="65"/>
      <c r="F16" s="65"/>
      <c r="G16" s="65"/>
      <c r="H16" s="65"/>
    </row>
    <row r="17" spans="2:8" ht="24" customHeight="1">
      <c r="B17" s="65"/>
      <c r="C17" s="65"/>
      <c r="D17" s="65"/>
      <c r="E17" s="65"/>
      <c r="F17" s="65"/>
      <c r="G17" s="65"/>
      <c r="H17" s="65"/>
    </row>
    <row r="18" spans="2:8" ht="24" customHeight="1">
      <c r="B18" s="65"/>
      <c r="C18" s="65"/>
      <c r="D18" s="65"/>
      <c r="E18" s="65"/>
      <c r="F18" s="65"/>
      <c r="G18" s="65"/>
      <c r="H18" s="65"/>
    </row>
    <row r="19" spans="2:8" ht="24" customHeight="1">
      <c r="B19" s="65"/>
      <c r="C19" s="65"/>
      <c r="D19" s="65"/>
      <c r="E19" s="65"/>
      <c r="F19" s="65"/>
      <c r="G19" s="65"/>
      <c r="H19" s="65"/>
    </row>
    <row r="20" spans="2:8" ht="24" customHeight="1">
      <c r="B20" s="65"/>
      <c r="C20" s="65"/>
      <c r="D20" s="65"/>
      <c r="E20" s="65"/>
      <c r="F20" s="65"/>
      <c r="G20" s="65"/>
      <c r="H20" s="65"/>
    </row>
    <row r="21" spans="2:8" ht="24" customHeight="1">
      <c r="B21" s="65"/>
      <c r="C21" s="65"/>
      <c r="D21" s="65"/>
      <c r="E21" s="65"/>
      <c r="F21" s="65"/>
      <c r="G21" s="65"/>
      <c r="H21" s="65"/>
    </row>
    <row r="22" spans="2:8" ht="24" customHeight="1">
      <c r="B22" s="105" t="s">
        <v>175</v>
      </c>
      <c r="C22" s="105"/>
      <c r="D22" s="105"/>
      <c r="E22" s="105"/>
      <c r="F22" s="105"/>
      <c r="G22" s="105"/>
      <c r="H22" s="105"/>
    </row>
    <row r="23" spans="2:8" ht="24" customHeight="1">
      <c r="B23" s="65"/>
      <c r="C23" s="65"/>
      <c r="D23" s="65"/>
      <c r="E23" s="65"/>
      <c r="F23" s="65"/>
      <c r="G23" s="65"/>
      <c r="H23" s="65"/>
    </row>
    <row r="24" spans="2:8" ht="24" customHeight="1">
      <c r="B24" s="106" t="s">
        <v>664</v>
      </c>
      <c r="C24" s="106"/>
      <c r="D24" s="106"/>
      <c r="E24" s="106"/>
      <c r="F24" s="106"/>
      <c r="G24" s="106"/>
      <c r="H24" s="106"/>
    </row>
    <row r="25" spans="2:8" ht="24" customHeight="1">
      <c r="B25" s="106"/>
      <c r="C25" s="106"/>
      <c r="D25" s="106"/>
      <c r="E25" s="106"/>
      <c r="F25" s="106"/>
      <c r="G25" s="106"/>
      <c r="H25" s="106"/>
    </row>
    <row r="26" spans="2:8" ht="24" customHeight="1">
      <c r="B26" s="106"/>
      <c r="C26" s="106"/>
      <c r="D26" s="106"/>
      <c r="E26" s="106"/>
      <c r="F26" s="106"/>
      <c r="G26" s="106"/>
      <c r="H26" s="106"/>
    </row>
    <row r="27" spans="2:8" ht="24" customHeight="1">
      <c r="B27" s="65"/>
      <c r="C27" s="65"/>
      <c r="D27" s="65"/>
      <c r="E27" s="65"/>
      <c r="F27" s="65"/>
      <c r="G27" s="65"/>
      <c r="H27" s="65"/>
    </row>
    <row r="28" spans="2:8" ht="24" customHeight="1"/>
  </sheetData>
  <mergeCells count="11">
    <mergeCell ref="B9:E9"/>
    <mergeCell ref="B2:H2"/>
    <mergeCell ref="B4:H4"/>
    <mergeCell ref="B6:E6"/>
    <mergeCell ref="B7:E7"/>
    <mergeCell ref="B8:E8"/>
    <mergeCell ref="B10:E10"/>
    <mergeCell ref="F12:H12"/>
    <mergeCell ref="B12:E12"/>
    <mergeCell ref="B22:H22"/>
    <mergeCell ref="B24:H26"/>
  </mergeCells>
  <phoneticPr fontId="2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403"/>
  <sheetViews>
    <sheetView tabSelected="1" topLeftCell="G1" workbookViewId="0">
      <selection activeCell="I11" sqref="I11:J38"/>
    </sheetView>
  </sheetViews>
  <sheetFormatPr defaultRowHeight="14.4"/>
  <cols>
    <col min="1" max="1" width="14.19921875" customWidth="1"/>
    <col min="2" max="2" width="22" customWidth="1"/>
    <col min="3" max="3" width="24" customWidth="1"/>
    <col min="4" max="4" width="20" customWidth="1"/>
    <col min="5" max="5" width="22" customWidth="1"/>
    <col min="6" max="6" width="31" customWidth="1"/>
    <col min="7" max="7" width="23" customWidth="1"/>
    <col min="8" max="8" width="15" style="1" customWidth="1"/>
    <col min="9" max="9" width="23.69921875" style="1" customWidth="1"/>
    <col min="10" max="10" width="17.69921875" customWidth="1"/>
    <col min="11" max="11" width="12.69921875" customWidth="1"/>
    <col min="12" max="12" width="18.69921875" customWidth="1"/>
  </cols>
  <sheetData>
    <row r="1" spans="1:28" ht="22.35" customHeight="1">
      <c r="A1" s="112" t="s">
        <v>651</v>
      </c>
      <c r="B1" s="112"/>
      <c r="C1" s="112"/>
      <c r="D1" s="112"/>
      <c r="E1" s="112"/>
      <c r="F1" s="112"/>
      <c r="G1" s="112"/>
      <c r="H1" s="112"/>
      <c r="I1" s="112"/>
      <c r="J1" s="112"/>
    </row>
    <row r="2" spans="1:28" ht="6.45" customHeight="1">
      <c r="A2" s="112"/>
      <c r="B2" s="112"/>
      <c r="C2" s="112"/>
      <c r="D2" s="112"/>
      <c r="E2" s="112"/>
      <c r="F2" s="112"/>
      <c r="G2" s="112"/>
      <c r="H2" s="112"/>
      <c r="I2" s="112"/>
      <c r="J2" s="112"/>
    </row>
    <row r="3" spans="1:28" ht="6.45" customHeight="1">
      <c r="A3" s="111"/>
      <c r="B3" s="111"/>
      <c r="C3" s="111"/>
      <c r="D3" s="111"/>
      <c r="E3" s="111"/>
      <c r="F3" s="111"/>
      <c r="G3" s="111"/>
      <c r="H3" s="111"/>
      <c r="I3" s="111"/>
      <c r="J3" s="111"/>
    </row>
    <row r="4" spans="1:28" ht="15.6">
      <c r="A4" s="34" t="s">
        <v>0</v>
      </c>
      <c r="B4" s="38">
        <f>SUBTOTAL(109,Tbl_Revenue[예산액])</f>
        <v>0</v>
      </c>
      <c r="C4" s="35" t="s">
        <v>1</v>
      </c>
      <c r="D4" s="38">
        <f>SUBTOTAL(109,Tbl_OriginalBudget[요구금액])</f>
        <v>0</v>
      </c>
      <c r="E4" s="35" t="s">
        <v>2</v>
      </c>
      <c r="F4" s="40">
        <f>B4-D4</f>
        <v>0</v>
      </c>
      <c r="G4" s="44"/>
      <c r="H4" s="46"/>
      <c r="I4" s="12"/>
      <c r="J4" s="13"/>
    </row>
    <row r="5" spans="1:28" ht="15.6">
      <c r="A5" s="34" t="s">
        <v>3</v>
      </c>
      <c r="B5" s="38">
        <f>SUMIFS(Tbl_Revenue[예산액],Tbl_Revenue[예산성격],"공")</f>
        <v>0</v>
      </c>
      <c r="C5" s="35" t="s">
        <v>166</v>
      </c>
      <c r="D5" s="38"/>
      <c r="F5" s="40"/>
      <c r="G5" s="45"/>
      <c r="H5" s="46"/>
      <c r="I5" s="12"/>
      <c r="J5" s="13"/>
    </row>
    <row r="6" spans="1:28" ht="15.6">
      <c r="A6" s="34" t="s">
        <v>5</v>
      </c>
      <c r="B6" s="38">
        <f>SUMIFS(Tbl_Revenue[예산액],Tbl_Revenue[예산성격],"통")</f>
        <v>0</v>
      </c>
      <c r="C6" s="35" t="s">
        <v>165</v>
      </c>
      <c r="D6" s="38">
        <f>SUM(B5:B7)*3%</f>
        <v>0</v>
      </c>
      <c r="E6" s="34" t="s">
        <v>4</v>
      </c>
      <c r="F6" s="40"/>
      <c r="G6" s="45"/>
      <c r="H6" s="46"/>
      <c r="I6" s="12"/>
      <c r="J6" s="13"/>
    </row>
    <row r="7" spans="1:28" ht="31.2">
      <c r="A7" s="35" t="s">
        <v>6</v>
      </c>
      <c r="B7" s="39">
        <f>SUMIFS(Tbl_Revenue[예산액],Tbl_Revenue[예산성격],"일")</f>
        <v>0</v>
      </c>
      <c r="C7" s="35"/>
      <c r="D7" s="39"/>
      <c r="E7" s="41"/>
      <c r="F7" s="42"/>
      <c r="G7" s="43"/>
      <c r="H7" s="47"/>
      <c r="I7" s="12"/>
      <c r="J7" s="13"/>
    </row>
    <row r="8" spans="1:28" ht="15.6">
      <c r="A8" s="36" t="s">
        <v>7</v>
      </c>
      <c r="B8" s="39"/>
      <c r="C8" s="34" t="s">
        <v>8</v>
      </c>
      <c r="D8" s="39"/>
      <c r="E8" s="35"/>
      <c r="F8" s="42"/>
      <c r="G8" s="43"/>
      <c r="H8" s="48"/>
      <c r="I8" s="12"/>
      <c r="J8" s="12"/>
    </row>
    <row r="9" spans="1:28" ht="6.45" customHeight="1">
      <c r="A9" s="12"/>
      <c r="B9" s="12"/>
      <c r="C9" s="12"/>
      <c r="D9" s="12"/>
      <c r="E9" s="12"/>
      <c r="F9" s="12" t="s">
        <v>9</v>
      </c>
      <c r="G9" s="12"/>
      <c r="H9" s="12"/>
      <c r="I9" s="12"/>
      <c r="J9" s="12"/>
    </row>
    <row r="10" spans="1:28" ht="6.4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</row>
    <row r="11" spans="1:28" ht="21.6" customHeight="1">
      <c r="A11" s="26" t="s">
        <v>10</v>
      </c>
      <c r="B11" s="26" t="s">
        <v>11</v>
      </c>
      <c r="C11" s="26" t="s">
        <v>12</v>
      </c>
      <c r="D11" s="26" t="s">
        <v>13</v>
      </c>
      <c r="E11" s="26" t="s">
        <v>14</v>
      </c>
      <c r="F11" s="26" t="s">
        <v>15</v>
      </c>
      <c r="G11" s="26" t="s">
        <v>16</v>
      </c>
      <c r="H11" s="27" t="s">
        <v>17</v>
      </c>
      <c r="I11" s="89" t="s">
        <v>660</v>
      </c>
      <c r="J11" s="90" t="s">
        <v>661</v>
      </c>
      <c r="K11" s="27" t="s">
        <v>18</v>
      </c>
      <c r="L11" s="26" t="s">
        <v>19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spans="1:28" ht="19.95" customHeight="1">
      <c r="A12" s="75" t="s">
        <v>176</v>
      </c>
      <c r="B12" s="75" t="s">
        <v>177</v>
      </c>
      <c r="C12" s="75" t="s">
        <v>178</v>
      </c>
      <c r="D12" s="75" t="s">
        <v>179</v>
      </c>
      <c r="E12" s="75" t="s">
        <v>180</v>
      </c>
      <c r="F12" s="76" t="s">
        <v>181</v>
      </c>
      <c r="G12" s="76"/>
      <c r="H12" s="77"/>
      <c r="I12" s="88" t="s">
        <v>182</v>
      </c>
      <c r="J12" s="77">
        <v>667348000</v>
      </c>
      <c r="K12" s="78" t="s">
        <v>183</v>
      </c>
      <c r="L12" s="75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</row>
    <row r="13" spans="1:28" ht="19.95" customHeight="1">
      <c r="A13" s="75" t="s">
        <v>176</v>
      </c>
      <c r="B13" s="75" t="s">
        <v>177</v>
      </c>
      <c r="C13" s="75" t="s">
        <v>178</v>
      </c>
      <c r="D13" s="75" t="s">
        <v>179</v>
      </c>
      <c r="E13" s="75" t="s">
        <v>180</v>
      </c>
      <c r="F13" s="76" t="s">
        <v>184</v>
      </c>
      <c r="G13" s="76"/>
      <c r="H13" s="77"/>
      <c r="I13" s="88" t="s">
        <v>185</v>
      </c>
      <c r="J13" s="77">
        <v>8945000</v>
      </c>
      <c r="K13" s="78" t="s">
        <v>183</v>
      </c>
      <c r="L13" s="75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</row>
    <row r="14" spans="1:28" ht="19.95" customHeight="1">
      <c r="A14" s="75" t="s">
        <v>176</v>
      </c>
      <c r="B14" s="75" t="s">
        <v>177</v>
      </c>
      <c r="C14" s="75" t="s">
        <v>178</v>
      </c>
      <c r="D14" s="75" t="s">
        <v>179</v>
      </c>
      <c r="E14" s="75" t="s">
        <v>180</v>
      </c>
      <c r="F14" s="76" t="s">
        <v>186</v>
      </c>
      <c r="G14" s="76"/>
      <c r="H14" s="77"/>
      <c r="I14" s="88" t="s">
        <v>187</v>
      </c>
      <c r="J14" s="77">
        <v>2000000</v>
      </c>
      <c r="K14" s="78" t="s">
        <v>183</v>
      </c>
      <c r="L14" s="75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</row>
    <row r="15" spans="1:28" ht="19.95" customHeight="1">
      <c r="A15" s="75" t="s">
        <v>176</v>
      </c>
      <c r="B15" s="75" t="s">
        <v>177</v>
      </c>
      <c r="C15" s="75" t="s">
        <v>178</v>
      </c>
      <c r="D15" s="75" t="s">
        <v>179</v>
      </c>
      <c r="E15" s="75" t="s">
        <v>180</v>
      </c>
      <c r="F15" s="76" t="s">
        <v>188</v>
      </c>
      <c r="G15" s="76"/>
      <c r="H15" s="77"/>
      <c r="I15" s="88" t="s">
        <v>189</v>
      </c>
      <c r="J15" s="77">
        <v>6000000</v>
      </c>
      <c r="K15" s="78" t="s">
        <v>183</v>
      </c>
      <c r="L15" s="75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</row>
    <row r="16" spans="1:28" ht="19.95" customHeight="1">
      <c r="A16" s="75" t="s">
        <v>190</v>
      </c>
      <c r="B16" s="75" t="s">
        <v>191</v>
      </c>
      <c r="C16" s="75" t="s">
        <v>192</v>
      </c>
      <c r="D16" s="75" t="s">
        <v>192</v>
      </c>
      <c r="E16" s="75" t="s">
        <v>193</v>
      </c>
      <c r="F16" s="76" t="s">
        <v>194</v>
      </c>
      <c r="G16" s="76"/>
      <c r="H16" s="77"/>
      <c r="I16" s="88" t="s">
        <v>195</v>
      </c>
      <c r="J16" s="77">
        <v>29660000</v>
      </c>
      <c r="K16" s="78" t="s">
        <v>183</v>
      </c>
      <c r="L16" s="75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</row>
    <row r="17" spans="1:28" ht="19.95" customHeight="1">
      <c r="A17" s="75" t="s">
        <v>190</v>
      </c>
      <c r="B17" s="75" t="s">
        <v>191</v>
      </c>
      <c r="C17" s="75" t="s">
        <v>192</v>
      </c>
      <c r="D17" s="75" t="s">
        <v>192</v>
      </c>
      <c r="E17" s="75" t="s">
        <v>193</v>
      </c>
      <c r="F17" s="76" t="s">
        <v>196</v>
      </c>
      <c r="G17" s="76"/>
      <c r="H17" s="77"/>
      <c r="I17" s="88" t="s">
        <v>197</v>
      </c>
      <c r="J17" s="77">
        <v>100000</v>
      </c>
      <c r="K17" s="78" t="s">
        <v>183</v>
      </c>
      <c r="L17" s="75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</row>
    <row r="18" spans="1:28" ht="19.95" customHeight="1">
      <c r="A18" s="75" t="s">
        <v>190</v>
      </c>
      <c r="B18" s="75" t="s">
        <v>191</v>
      </c>
      <c r="C18" s="75" t="s">
        <v>198</v>
      </c>
      <c r="D18" s="75" t="s">
        <v>199</v>
      </c>
      <c r="E18" s="75" t="s">
        <v>199</v>
      </c>
      <c r="F18" s="76" t="s">
        <v>200</v>
      </c>
      <c r="G18" s="76"/>
      <c r="H18" s="77"/>
      <c r="I18" s="88" t="s">
        <v>201</v>
      </c>
      <c r="J18" s="77">
        <v>4000000</v>
      </c>
      <c r="K18" s="78" t="s">
        <v>183</v>
      </c>
      <c r="L18" s="75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</row>
    <row r="19" spans="1:28" ht="19.95" customHeight="1">
      <c r="A19" s="75" t="s">
        <v>190</v>
      </c>
      <c r="B19" s="75" t="s">
        <v>191</v>
      </c>
      <c r="C19" s="75" t="s">
        <v>198</v>
      </c>
      <c r="D19" s="75" t="s">
        <v>198</v>
      </c>
      <c r="E19" s="75" t="s">
        <v>198</v>
      </c>
      <c r="F19" s="76" t="s">
        <v>202</v>
      </c>
      <c r="G19" s="76"/>
      <c r="H19" s="77"/>
      <c r="I19" s="88" t="s">
        <v>203</v>
      </c>
      <c r="J19" s="77">
        <v>1000000</v>
      </c>
      <c r="K19" s="78" t="s">
        <v>183</v>
      </c>
      <c r="L19" s="75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</row>
    <row r="20" spans="1:28" ht="19.95" customHeight="1">
      <c r="A20" s="75" t="s">
        <v>190</v>
      </c>
      <c r="B20" s="75" t="s">
        <v>191</v>
      </c>
      <c r="C20" s="75" t="s">
        <v>198</v>
      </c>
      <c r="D20" s="75" t="s">
        <v>198</v>
      </c>
      <c r="E20" s="75" t="s">
        <v>198</v>
      </c>
      <c r="F20" s="76" t="s">
        <v>204</v>
      </c>
      <c r="G20" s="76"/>
      <c r="H20" s="77"/>
      <c r="I20" s="88" t="s">
        <v>205</v>
      </c>
      <c r="J20" s="77">
        <v>500000</v>
      </c>
      <c r="K20" s="78" t="s">
        <v>183</v>
      </c>
      <c r="L20" s="75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</row>
    <row r="21" spans="1:28" ht="19.95" customHeight="1">
      <c r="A21" s="75" t="s">
        <v>190</v>
      </c>
      <c r="B21" s="75" t="s">
        <v>191</v>
      </c>
      <c r="C21" s="75" t="s">
        <v>198</v>
      </c>
      <c r="D21" s="75" t="s">
        <v>198</v>
      </c>
      <c r="E21" s="75" t="s">
        <v>198</v>
      </c>
      <c r="F21" s="76" t="s">
        <v>206</v>
      </c>
      <c r="G21" s="76"/>
      <c r="H21" s="77"/>
      <c r="I21" s="88" t="s">
        <v>207</v>
      </c>
      <c r="J21" s="77">
        <v>5000000</v>
      </c>
      <c r="K21" s="78" t="s">
        <v>183</v>
      </c>
      <c r="L21" s="75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ht="19.95" customHeight="1">
      <c r="A22" s="75" t="s">
        <v>190</v>
      </c>
      <c r="B22" s="75" t="s">
        <v>191</v>
      </c>
      <c r="C22" s="75" t="s">
        <v>198</v>
      </c>
      <c r="D22" s="75" t="s">
        <v>198</v>
      </c>
      <c r="E22" s="75" t="s">
        <v>198</v>
      </c>
      <c r="F22" s="76" t="s">
        <v>208</v>
      </c>
      <c r="G22" s="76"/>
      <c r="H22" s="77"/>
      <c r="I22" s="88" t="s">
        <v>207</v>
      </c>
      <c r="J22" s="77">
        <v>5000000</v>
      </c>
      <c r="K22" s="78" t="s">
        <v>183</v>
      </c>
      <c r="L22" s="75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1:28" ht="19.95" customHeight="1">
      <c r="A23" s="75" t="s">
        <v>190</v>
      </c>
      <c r="B23" s="75" t="s">
        <v>191</v>
      </c>
      <c r="C23" s="75" t="s">
        <v>198</v>
      </c>
      <c r="D23" s="75" t="s">
        <v>198</v>
      </c>
      <c r="E23" s="75" t="s">
        <v>198</v>
      </c>
      <c r="F23" s="76" t="s">
        <v>209</v>
      </c>
      <c r="G23" s="76"/>
      <c r="H23" s="77"/>
      <c r="I23" s="88" t="s">
        <v>210</v>
      </c>
      <c r="J23" s="77">
        <v>600000</v>
      </c>
      <c r="K23" s="78" t="s">
        <v>183</v>
      </c>
      <c r="L23" s="75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</row>
    <row r="24" spans="1:28" ht="19.95" customHeight="1">
      <c r="A24" s="75" t="s">
        <v>211</v>
      </c>
      <c r="B24" s="75" t="s">
        <v>212</v>
      </c>
      <c r="C24" s="75" t="s">
        <v>213</v>
      </c>
      <c r="D24" s="75" t="s">
        <v>213</v>
      </c>
      <c r="E24" s="75" t="s">
        <v>213</v>
      </c>
      <c r="F24" s="76" t="s">
        <v>213</v>
      </c>
      <c r="G24" s="76"/>
      <c r="H24" s="77"/>
      <c r="I24" s="88" t="s">
        <v>214</v>
      </c>
      <c r="J24" s="77">
        <v>15700000</v>
      </c>
      <c r="K24" s="78" t="s">
        <v>183</v>
      </c>
      <c r="L24" s="75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</row>
    <row r="25" spans="1:28" ht="24" customHeight="1">
      <c r="A25" s="69"/>
      <c r="B25" s="69"/>
      <c r="C25" s="69"/>
      <c r="D25" s="69"/>
      <c r="E25" s="69"/>
      <c r="F25" s="70"/>
      <c r="G25" s="93" t="s">
        <v>658</v>
      </c>
      <c r="H25" s="94">
        <f>SUM(H12:H24)</f>
        <v>0</v>
      </c>
      <c r="I25" s="70" t="s">
        <v>662</v>
      </c>
      <c r="J25" s="71">
        <f>SUM(J12:J24)</f>
        <v>745853000</v>
      </c>
      <c r="K25" s="72"/>
      <c r="L25" s="69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</row>
    <row r="26" spans="1:28" ht="12.6" customHeight="1">
      <c r="A26" s="49"/>
      <c r="B26" s="49"/>
      <c r="C26" s="49"/>
      <c r="D26" s="49"/>
      <c r="E26" s="49"/>
      <c r="F26" s="50"/>
      <c r="G26" s="95"/>
      <c r="H26" s="96"/>
      <c r="I26" s="50"/>
      <c r="J26" s="51"/>
      <c r="K26" s="52"/>
      <c r="L26" s="49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</row>
    <row r="27" spans="1:28" ht="12.6" customHeight="1">
      <c r="A27" s="49"/>
      <c r="B27" s="49"/>
      <c r="C27" s="49"/>
      <c r="D27" s="49"/>
      <c r="E27" s="49"/>
      <c r="F27" s="50"/>
      <c r="G27" s="95"/>
      <c r="H27" s="96"/>
      <c r="I27" s="50"/>
      <c r="J27" s="51"/>
      <c r="K27" s="52"/>
      <c r="L27" s="49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</row>
    <row r="28" spans="1:28" ht="12.6" customHeight="1">
      <c r="A28" s="49"/>
      <c r="B28" s="49"/>
      <c r="C28" s="49"/>
      <c r="D28" s="49"/>
      <c r="E28" s="49"/>
      <c r="F28" s="50"/>
      <c r="G28" s="95"/>
      <c r="H28" s="96"/>
      <c r="I28" s="50"/>
      <c r="J28" s="51"/>
      <c r="K28" s="52"/>
      <c r="L28" s="49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</row>
    <row r="29" spans="1:28" ht="12.6" customHeight="1">
      <c r="A29" s="49"/>
      <c r="B29" s="49"/>
      <c r="C29" s="49"/>
      <c r="D29" s="49"/>
      <c r="E29" s="49"/>
      <c r="F29" s="50"/>
      <c r="G29" s="95"/>
      <c r="H29" s="96"/>
      <c r="I29" s="50"/>
      <c r="J29" s="51"/>
      <c r="K29" s="52"/>
      <c r="L29" s="49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</row>
    <row r="30" spans="1:28" ht="12.6" customHeight="1">
      <c r="A30" s="49"/>
      <c r="B30" s="49"/>
      <c r="C30" s="49"/>
      <c r="D30" s="49"/>
      <c r="E30" s="49"/>
      <c r="F30" s="50"/>
      <c r="G30" s="95"/>
      <c r="H30" s="96"/>
      <c r="I30" s="50"/>
      <c r="J30" s="51"/>
      <c r="K30" s="52"/>
      <c r="L30" s="49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</row>
    <row r="31" spans="1:28" ht="12.6" customHeight="1">
      <c r="A31" s="49"/>
      <c r="B31" s="49"/>
      <c r="C31" s="49"/>
      <c r="D31" s="49"/>
      <c r="E31" s="49"/>
      <c r="F31" s="50"/>
      <c r="G31" s="95"/>
      <c r="H31" s="96"/>
      <c r="I31" s="50"/>
      <c r="J31" s="51"/>
      <c r="K31" s="52"/>
      <c r="L31" s="49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</row>
    <row r="32" spans="1:28" ht="12.6" customHeight="1">
      <c r="A32" s="49"/>
      <c r="B32" s="49"/>
      <c r="C32" s="49"/>
      <c r="D32" s="49"/>
      <c r="E32" s="49"/>
      <c r="F32" s="50"/>
      <c r="G32" s="95"/>
      <c r="H32" s="96"/>
      <c r="I32" s="50"/>
      <c r="J32" s="51"/>
      <c r="K32" s="52"/>
      <c r="L32" s="49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</row>
    <row r="33" spans="1:28" ht="12.6" customHeight="1">
      <c r="A33" s="49"/>
      <c r="B33" s="49"/>
      <c r="C33" s="49"/>
      <c r="D33" s="49"/>
      <c r="E33" s="49"/>
      <c r="F33" s="50"/>
      <c r="G33" s="95"/>
      <c r="H33" s="96"/>
      <c r="I33" s="50"/>
      <c r="J33" s="51"/>
      <c r="K33" s="52"/>
      <c r="L33" s="49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</row>
    <row r="34" spans="1:28" ht="12.6" customHeight="1">
      <c r="A34" s="49"/>
      <c r="B34" s="49"/>
      <c r="C34" s="49"/>
      <c r="D34" s="49"/>
      <c r="E34" s="49"/>
      <c r="F34" s="50"/>
      <c r="G34" s="95"/>
      <c r="H34" s="96"/>
      <c r="I34" s="50"/>
      <c r="J34" s="51"/>
      <c r="K34" s="52"/>
      <c r="L34" s="49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</row>
    <row r="35" spans="1:28" ht="12.6" customHeight="1">
      <c r="A35" s="49"/>
      <c r="B35" s="49"/>
      <c r="C35" s="49"/>
      <c r="D35" s="49"/>
      <c r="E35" s="49"/>
      <c r="F35" s="50"/>
      <c r="G35" s="95"/>
      <c r="H35" s="96"/>
      <c r="I35" s="50"/>
      <c r="J35" s="51"/>
      <c r="K35" s="52"/>
      <c r="L35" s="49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</row>
    <row r="36" spans="1:28" ht="12.6" customHeight="1">
      <c r="A36" s="49"/>
      <c r="B36" s="49"/>
      <c r="C36" s="49"/>
      <c r="D36" s="49"/>
      <c r="E36" s="49"/>
      <c r="F36" s="50"/>
      <c r="G36" s="95"/>
      <c r="H36" s="96"/>
      <c r="I36" s="50"/>
      <c r="J36" s="51"/>
      <c r="K36" s="52"/>
      <c r="L36" s="49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</row>
    <row r="37" spans="1:28" ht="12.6" customHeight="1">
      <c r="A37" s="49"/>
      <c r="B37" s="49"/>
      <c r="C37" s="49"/>
      <c r="D37" s="49"/>
      <c r="E37" s="49"/>
      <c r="F37" s="50"/>
      <c r="G37" s="95"/>
      <c r="H37" s="96"/>
      <c r="I37" s="50"/>
      <c r="J37" s="51"/>
      <c r="K37" s="52"/>
      <c r="L37" s="49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spans="1:28" ht="12.6" customHeight="1">
      <c r="A38" s="49"/>
      <c r="B38" s="49"/>
      <c r="C38" s="49"/>
      <c r="D38" s="49"/>
      <c r="E38" s="49"/>
      <c r="F38" s="50"/>
      <c r="G38" s="95"/>
      <c r="H38" s="96"/>
      <c r="I38" s="50"/>
      <c r="J38" s="51"/>
      <c r="K38" s="52"/>
      <c r="L38" s="49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12.6" customHeight="1">
      <c r="A39" s="49"/>
      <c r="B39" s="49"/>
      <c r="C39" s="49"/>
      <c r="D39" s="49"/>
      <c r="E39" s="49"/>
      <c r="F39" s="50"/>
      <c r="G39" s="95"/>
      <c r="H39" s="96"/>
      <c r="I39" s="52"/>
      <c r="J39" s="91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8" ht="15.6">
      <c r="A40" s="49"/>
      <c r="B40" s="49"/>
      <c r="C40" s="49"/>
      <c r="D40" s="49"/>
      <c r="E40" s="49"/>
      <c r="F40" s="50"/>
      <c r="G40" s="95"/>
      <c r="H40" s="96"/>
      <c r="I40" s="49"/>
      <c r="J40" s="91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8" ht="15.6">
      <c r="A41" s="49"/>
      <c r="B41" s="49"/>
      <c r="C41" s="49"/>
      <c r="D41" s="49"/>
      <c r="E41" s="49"/>
      <c r="F41" s="50"/>
      <c r="G41" s="95"/>
      <c r="H41" s="96"/>
      <c r="I41" s="49"/>
      <c r="J41" s="91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8" ht="15.6">
      <c r="A42" s="49"/>
      <c r="B42" s="49"/>
      <c r="C42" s="49"/>
      <c r="D42" s="49"/>
      <c r="E42" s="49"/>
      <c r="F42" s="50"/>
      <c r="G42" s="95"/>
      <c r="H42" s="96"/>
      <c r="I42" s="49"/>
      <c r="J42" s="91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8" ht="15.6">
      <c r="A43" s="49"/>
      <c r="B43" s="49"/>
      <c r="C43" s="49"/>
      <c r="D43" s="49"/>
      <c r="E43" s="49"/>
      <c r="F43" s="50"/>
      <c r="G43" s="95"/>
      <c r="H43" s="96"/>
      <c r="I43" s="49"/>
      <c r="J43" s="91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8" ht="15" customHeight="1">
      <c r="A44" s="49"/>
      <c r="B44" s="49"/>
      <c r="C44" s="49"/>
      <c r="D44" s="49"/>
      <c r="E44" s="49"/>
      <c r="F44" s="50"/>
      <c r="G44" s="95"/>
      <c r="H44" s="96"/>
      <c r="I44" s="49"/>
      <c r="J44" s="91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8" ht="15" customHeight="1">
      <c r="A45" s="49"/>
      <c r="B45" s="49"/>
      <c r="C45" s="49"/>
      <c r="D45" s="49"/>
      <c r="E45" s="53"/>
      <c r="F45" s="54"/>
      <c r="G45" s="95"/>
      <c r="H45" s="96"/>
      <c r="I45" s="49"/>
      <c r="J45" s="91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8" ht="15" customHeight="1">
      <c r="A46" s="49"/>
      <c r="B46" s="49"/>
      <c r="C46" s="49"/>
      <c r="D46" s="49"/>
      <c r="E46" s="53"/>
      <c r="F46" s="54"/>
      <c r="G46" s="97"/>
      <c r="H46" s="96"/>
      <c r="I46" s="49"/>
      <c r="J46" s="91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8" ht="15" customHeight="1">
      <c r="A47" s="49"/>
      <c r="B47" s="49"/>
      <c r="C47" s="49"/>
      <c r="D47" s="49"/>
      <c r="E47" s="49"/>
      <c r="F47" s="54"/>
      <c r="G47" s="95"/>
      <c r="H47" s="96"/>
      <c r="I47" s="49"/>
      <c r="J47" s="91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8" ht="15" customHeight="1">
      <c r="A48" s="49"/>
      <c r="B48" s="49"/>
      <c r="C48" s="49"/>
      <c r="D48" s="49"/>
      <c r="E48" s="49"/>
      <c r="F48" s="50"/>
      <c r="G48" s="95"/>
      <c r="H48" s="96"/>
      <c r="I48" s="49"/>
      <c r="J48" s="91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5.6">
      <c r="A49" s="49"/>
      <c r="B49" s="49"/>
      <c r="C49" s="49"/>
      <c r="D49" s="49"/>
      <c r="E49" s="49"/>
      <c r="F49" s="50"/>
      <c r="G49" s="95"/>
      <c r="H49" s="96"/>
      <c r="I49" s="49"/>
      <c r="J49" s="91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5.6">
      <c r="A50" s="49"/>
      <c r="B50" s="49"/>
      <c r="C50" s="49"/>
      <c r="D50" s="49"/>
      <c r="E50" s="49"/>
      <c r="F50" s="50"/>
      <c r="G50" s="95"/>
      <c r="H50" s="96"/>
      <c r="I50" s="49"/>
      <c r="J50" s="91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5.6">
      <c r="A51" s="49"/>
      <c r="B51" s="49"/>
      <c r="C51" s="49"/>
      <c r="D51" s="49"/>
      <c r="E51" s="49"/>
      <c r="F51" s="50"/>
      <c r="G51" s="95"/>
      <c r="H51" s="96"/>
      <c r="I51" s="49"/>
      <c r="J51" s="91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5.6">
      <c r="A52" s="49"/>
      <c r="B52" s="49"/>
      <c r="C52" s="49"/>
      <c r="D52" s="49"/>
      <c r="E52" s="49"/>
      <c r="F52" s="50"/>
      <c r="G52" s="95"/>
      <c r="H52" s="96"/>
      <c r="I52" s="49"/>
      <c r="J52" s="91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5.6">
      <c r="A53" s="49"/>
      <c r="B53" s="49"/>
      <c r="C53" s="49"/>
      <c r="D53" s="49"/>
      <c r="E53" s="49"/>
      <c r="F53" s="50"/>
      <c r="G53" s="95"/>
      <c r="H53" s="96"/>
      <c r="I53" s="49"/>
      <c r="J53" s="91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5.6">
      <c r="A54" s="49"/>
      <c r="B54" s="49"/>
      <c r="C54" s="49"/>
      <c r="D54" s="49"/>
      <c r="E54" s="49"/>
      <c r="F54" s="50"/>
      <c r="G54" s="95"/>
      <c r="H54" s="96"/>
      <c r="I54" s="49"/>
      <c r="J54" s="91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.6">
      <c r="A55" s="49"/>
      <c r="B55" s="49"/>
      <c r="C55" s="49"/>
      <c r="D55" s="49"/>
      <c r="E55" s="49"/>
      <c r="F55" s="50"/>
      <c r="G55" s="95"/>
      <c r="H55" s="96"/>
      <c r="I55" s="49"/>
      <c r="J55" s="91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.6">
      <c r="A56" s="49"/>
      <c r="B56" s="49"/>
      <c r="C56" s="49"/>
      <c r="D56" s="49"/>
      <c r="E56" s="49"/>
      <c r="F56" s="50"/>
      <c r="G56" s="95"/>
      <c r="H56" s="96"/>
      <c r="I56" s="49"/>
      <c r="J56" s="91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.6">
      <c r="A57" s="49"/>
      <c r="B57" s="49"/>
      <c r="C57" s="49"/>
      <c r="D57" s="49"/>
      <c r="E57" s="49"/>
      <c r="F57" s="50"/>
      <c r="G57" s="95"/>
      <c r="H57" s="96"/>
      <c r="I57" s="49"/>
      <c r="J57" s="91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5.6">
      <c r="A58" s="49"/>
      <c r="B58" s="49"/>
      <c r="C58" s="49"/>
      <c r="D58" s="49"/>
      <c r="E58" s="49"/>
      <c r="F58" s="50"/>
      <c r="G58" s="95"/>
      <c r="H58" s="96"/>
      <c r="I58" s="49"/>
      <c r="J58" s="91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.6">
      <c r="A59" s="49"/>
      <c r="B59" s="49"/>
      <c r="C59" s="49"/>
      <c r="D59" s="49"/>
      <c r="E59" s="49"/>
      <c r="F59" s="50"/>
      <c r="G59" s="95"/>
      <c r="H59" s="96"/>
      <c r="I59" s="49"/>
      <c r="J59" s="91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.6">
      <c r="A60" s="49"/>
      <c r="B60" s="49"/>
      <c r="C60" s="49"/>
      <c r="D60" s="49"/>
      <c r="E60" s="49"/>
      <c r="F60" s="50"/>
      <c r="G60" s="95"/>
      <c r="H60" s="96"/>
      <c r="I60" s="49"/>
      <c r="J60" s="91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5.6">
      <c r="A61" s="49"/>
      <c r="B61" s="49"/>
      <c r="C61" s="49"/>
      <c r="D61" s="49"/>
      <c r="E61" s="49"/>
      <c r="F61" s="50"/>
      <c r="G61" s="95"/>
      <c r="H61" s="96"/>
      <c r="I61" s="49"/>
      <c r="J61" s="91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5.6">
      <c r="A62" s="49"/>
      <c r="B62" s="49"/>
      <c r="C62" s="49"/>
      <c r="D62" s="49"/>
      <c r="E62" s="49"/>
      <c r="F62" s="50"/>
      <c r="G62" s="95"/>
      <c r="H62" s="96"/>
      <c r="I62" s="49"/>
      <c r="J62" s="91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5.6">
      <c r="A63" s="49"/>
      <c r="B63" s="49"/>
      <c r="C63" s="49"/>
      <c r="D63" s="49"/>
      <c r="E63" s="49"/>
      <c r="F63" s="50"/>
      <c r="G63" s="95"/>
      <c r="H63" s="96"/>
      <c r="I63" s="49"/>
      <c r="J63" s="91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5.6">
      <c r="A64" s="49"/>
      <c r="B64" s="49"/>
      <c r="C64" s="49"/>
      <c r="D64" s="49"/>
      <c r="E64" s="49"/>
      <c r="F64" s="50"/>
      <c r="G64" s="95"/>
      <c r="H64" s="96"/>
      <c r="I64" s="49"/>
      <c r="J64" s="91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5.6">
      <c r="A65" s="49"/>
      <c r="B65" s="49"/>
      <c r="C65" s="49"/>
      <c r="D65" s="49"/>
      <c r="E65" s="49"/>
      <c r="F65" s="50"/>
      <c r="G65" s="95"/>
      <c r="H65" s="96"/>
      <c r="I65" s="49"/>
      <c r="J65" s="91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5.6">
      <c r="A66" s="49"/>
      <c r="B66" s="49"/>
      <c r="C66" s="49"/>
      <c r="D66" s="49"/>
      <c r="E66" s="49"/>
      <c r="F66" s="50"/>
      <c r="G66" s="95"/>
      <c r="H66" s="96"/>
      <c r="I66" s="49"/>
      <c r="J66" s="91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5.6">
      <c r="A67" s="49"/>
      <c r="B67" s="49"/>
      <c r="C67" s="49"/>
      <c r="D67" s="49"/>
      <c r="E67" s="49"/>
      <c r="F67" s="50"/>
      <c r="G67" s="95"/>
      <c r="H67" s="96"/>
      <c r="I67" s="49"/>
      <c r="J67" s="91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5.6">
      <c r="A68" s="49"/>
      <c r="B68" s="49"/>
      <c r="C68" s="49"/>
      <c r="D68" s="49"/>
      <c r="E68" s="49"/>
      <c r="F68" s="50"/>
      <c r="G68" s="95"/>
      <c r="H68" s="96"/>
      <c r="I68" s="49"/>
      <c r="J68" s="91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5.6">
      <c r="A69" s="49"/>
      <c r="B69" s="49"/>
      <c r="C69" s="49"/>
      <c r="D69" s="49"/>
      <c r="E69" s="49"/>
      <c r="F69" s="50"/>
      <c r="G69" s="95"/>
      <c r="H69" s="96"/>
      <c r="I69" s="49"/>
      <c r="J69" s="91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5.6">
      <c r="A70" s="49"/>
      <c r="B70" s="49"/>
      <c r="C70" s="49"/>
      <c r="D70" s="49"/>
      <c r="E70" s="49"/>
      <c r="F70" s="50"/>
      <c r="G70" s="95"/>
      <c r="H70" s="96"/>
      <c r="I70" s="49"/>
      <c r="J70" s="91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5.6">
      <c r="A71" s="49"/>
      <c r="B71" s="49"/>
      <c r="C71" s="49"/>
      <c r="D71" s="49"/>
      <c r="E71" s="49"/>
      <c r="F71" s="50"/>
      <c r="G71" s="95"/>
      <c r="H71" s="96"/>
      <c r="I71" s="49"/>
      <c r="J71" s="91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5.6">
      <c r="A72" s="49"/>
      <c r="B72" s="49"/>
      <c r="C72" s="49"/>
      <c r="D72" s="49"/>
      <c r="E72" s="49"/>
      <c r="F72" s="50"/>
      <c r="G72" s="95"/>
      <c r="H72" s="96"/>
      <c r="I72" s="49"/>
      <c r="J72" s="91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5.6">
      <c r="A73" s="49"/>
      <c r="B73" s="49"/>
      <c r="C73" s="49"/>
      <c r="D73" s="49"/>
      <c r="E73" s="49"/>
      <c r="F73" s="50"/>
      <c r="G73" s="95"/>
      <c r="H73" s="96"/>
      <c r="I73" s="49"/>
      <c r="J73" s="91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5.6">
      <c r="A74" s="49"/>
      <c r="B74" s="49"/>
      <c r="C74" s="49"/>
      <c r="D74" s="49"/>
      <c r="E74" s="49"/>
      <c r="F74" s="50"/>
      <c r="G74" s="95"/>
      <c r="H74" s="96"/>
      <c r="I74" s="49"/>
      <c r="J74" s="91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5.6">
      <c r="A75" s="49"/>
      <c r="B75" s="49"/>
      <c r="C75" s="49"/>
      <c r="D75" s="49"/>
      <c r="E75" s="49"/>
      <c r="F75" s="50"/>
      <c r="G75" s="95"/>
      <c r="H75" s="96"/>
      <c r="I75" s="49"/>
      <c r="J75" s="91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5.6">
      <c r="A76" s="49"/>
      <c r="B76" s="49"/>
      <c r="C76" s="49"/>
      <c r="D76" s="49"/>
      <c r="E76" s="49"/>
      <c r="F76" s="50"/>
      <c r="G76" s="95"/>
      <c r="H76" s="96"/>
      <c r="I76" s="49"/>
      <c r="J76" s="91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5.6">
      <c r="A77" s="49"/>
      <c r="B77" s="49"/>
      <c r="C77" s="49"/>
      <c r="D77" s="49"/>
      <c r="E77" s="49"/>
      <c r="F77" s="50"/>
      <c r="G77" s="95"/>
      <c r="H77" s="96"/>
      <c r="I77" s="49"/>
      <c r="J77" s="91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5.6">
      <c r="A78" s="49"/>
      <c r="B78" s="49"/>
      <c r="C78" s="49"/>
      <c r="D78" s="49"/>
      <c r="E78" s="49"/>
      <c r="F78" s="50"/>
      <c r="G78" s="95"/>
      <c r="H78" s="96"/>
      <c r="I78" s="49"/>
      <c r="J78" s="91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5.6">
      <c r="A79" s="49"/>
      <c r="B79" s="49"/>
      <c r="C79" s="49"/>
      <c r="D79" s="49"/>
      <c r="E79" s="49"/>
      <c r="F79" s="50"/>
      <c r="G79" s="95"/>
      <c r="H79" s="96"/>
      <c r="I79" s="49"/>
      <c r="J79" s="91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5.6">
      <c r="A80" s="49"/>
      <c r="B80" s="49"/>
      <c r="C80" s="49"/>
      <c r="D80" s="49"/>
      <c r="E80" s="49"/>
      <c r="F80" s="50"/>
      <c r="G80" s="95"/>
      <c r="H80" s="96"/>
      <c r="I80" s="49"/>
      <c r="J80" s="91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5.6">
      <c r="A81" s="49"/>
      <c r="B81" s="49"/>
      <c r="C81" s="49"/>
      <c r="D81" s="49"/>
      <c r="E81" s="49"/>
      <c r="F81" s="50"/>
      <c r="G81" s="95"/>
      <c r="H81" s="96"/>
      <c r="I81" s="49"/>
      <c r="J81" s="91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5.6">
      <c r="A82" s="49"/>
      <c r="B82" s="49"/>
      <c r="C82" s="49"/>
      <c r="D82" s="49"/>
      <c r="E82" s="49"/>
      <c r="F82" s="50"/>
      <c r="G82" s="95"/>
      <c r="H82" s="96"/>
      <c r="I82" s="49"/>
      <c r="J82" s="91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5.6">
      <c r="A83" s="49"/>
      <c r="B83" s="49"/>
      <c r="C83" s="49"/>
      <c r="D83" s="49"/>
      <c r="E83" s="49"/>
      <c r="F83" s="50"/>
      <c r="G83" s="95"/>
      <c r="H83" s="96"/>
      <c r="I83" s="49"/>
      <c r="J83" s="91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5.6">
      <c r="A84" s="49"/>
      <c r="B84" s="49"/>
      <c r="C84" s="49"/>
      <c r="D84" s="49"/>
      <c r="E84" s="49"/>
      <c r="F84" s="50"/>
      <c r="G84" s="95"/>
      <c r="H84" s="96"/>
      <c r="I84" s="49"/>
      <c r="J84" s="91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5.6">
      <c r="A85" s="49"/>
      <c r="B85" s="49"/>
      <c r="C85" s="49"/>
      <c r="D85" s="49"/>
      <c r="E85" s="49"/>
      <c r="F85" s="50"/>
      <c r="G85" s="95"/>
      <c r="H85" s="96"/>
      <c r="I85" s="49"/>
      <c r="J85" s="91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5.6">
      <c r="A86" s="28"/>
      <c r="B86" s="28"/>
      <c r="C86" s="28"/>
      <c r="D86" s="28"/>
      <c r="E86" s="28"/>
      <c r="F86" s="29"/>
      <c r="G86" s="98"/>
      <c r="H86" s="99"/>
      <c r="I86" s="28"/>
      <c r="J86" s="92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5.6">
      <c r="A87" s="28"/>
      <c r="B87" s="28"/>
      <c r="C87" s="28"/>
      <c r="D87" s="28"/>
      <c r="E87" s="28"/>
      <c r="F87" s="29"/>
      <c r="G87" s="98"/>
      <c r="H87" s="99"/>
      <c r="I87" s="28"/>
      <c r="J87" s="92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5.6">
      <c r="A88" s="6"/>
      <c r="B88" s="6"/>
      <c r="C88" s="6"/>
      <c r="D88" s="6"/>
      <c r="E88" s="6"/>
      <c r="F88" s="6"/>
      <c r="G88" s="100"/>
      <c r="H88" s="101"/>
      <c r="I88" s="6"/>
      <c r="J88" s="8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5.6">
      <c r="A89" s="6"/>
      <c r="B89" s="6"/>
      <c r="C89" s="6"/>
      <c r="D89" s="6"/>
      <c r="E89" s="6"/>
      <c r="F89" s="6"/>
      <c r="G89" s="100"/>
      <c r="H89" s="101"/>
      <c r="I89" s="6"/>
      <c r="J89" s="8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5.6">
      <c r="A90" s="6"/>
      <c r="B90" s="6"/>
      <c r="C90" s="6"/>
      <c r="D90" s="6"/>
      <c r="E90" s="6"/>
      <c r="F90" s="6"/>
      <c r="G90" s="100"/>
      <c r="H90" s="101"/>
      <c r="I90" s="6"/>
      <c r="J90" s="8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5.6">
      <c r="A91" s="6"/>
      <c r="B91" s="6"/>
      <c r="C91" s="6"/>
      <c r="D91" s="6"/>
      <c r="E91" s="6"/>
      <c r="F91" s="6"/>
      <c r="G91" s="100"/>
      <c r="H91" s="101"/>
      <c r="I91" s="6"/>
      <c r="J91" s="8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5.6">
      <c r="A92" s="6"/>
      <c r="B92" s="6"/>
      <c r="C92" s="6"/>
      <c r="D92" s="6"/>
      <c r="E92" s="6"/>
      <c r="F92" s="6"/>
      <c r="G92" s="100"/>
      <c r="H92" s="101"/>
      <c r="I92" s="6"/>
      <c r="J92" s="8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5.6">
      <c r="A93" s="6"/>
      <c r="B93" s="6"/>
      <c r="C93" s="6"/>
      <c r="D93" s="6"/>
      <c r="E93" s="6"/>
      <c r="F93" s="6"/>
      <c r="G93" s="100"/>
      <c r="H93" s="101"/>
      <c r="I93" s="6"/>
      <c r="J93" s="8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5.6">
      <c r="A94" s="6"/>
      <c r="B94" s="6"/>
      <c r="C94" s="6"/>
      <c r="D94" s="6"/>
      <c r="E94" s="6"/>
      <c r="F94" s="6"/>
      <c r="G94" s="100"/>
      <c r="H94" s="101"/>
      <c r="I94" s="6"/>
      <c r="J94" s="8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5.6">
      <c r="A95" s="6"/>
      <c r="B95" s="6"/>
      <c r="C95" s="6"/>
      <c r="D95" s="6"/>
      <c r="E95" s="6"/>
      <c r="F95" s="6"/>
      <c r="G95" s="100"/>
      <c r="H95" s="101"/>
      <c r="I95" s="6"/>
      <c r="J95" s="8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5.6">
      <c r="A96" s="6"/>
      <c r="B96" s="6"/>
      <c r="C96" s="6"/>
      <c r="D96" s="6"/>
      <c r="E96" s="6"/>
      <c r="F96" s="6"/>
      <c r="G96" s="100"/>
      <c r="H96" s="101"/>
      <c r="I96" s="6"/>
      <c r="J96" s="8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5.6">
      <c r="A97" s="6"/>
      <c r="B97" s="6"/>
      <c r="C97" s="6"/>
      <c r="D97" s="6"/>
      <c r="E97" s="6"/>
      <c r="F97" s="6"/>
      <c r="G97" s="100"/>
      <c r="H97" s="101"/>
      <c r="I97" s="6"/>
      <c r="J97" s="8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5.6">
      <c r="A98" s="6"/>
      <c r="B98" s="6"/>
      <c r="C98" s="6"/>
      <c r="D98" s="6"/>
      <c r="E98" s="6"/>
      <c r="F98" s="6"/>
      <c r="G98" s="100"/>
      <c r="H98" s="101"/>
      <c r="I98" s="6"/>
      <c r="J98" s="8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5.6">
      <c r="A99" s="6"/>
      <c r="B99" s="6"/>
      <c r="C99" s="6"/>
      <c r="D99" s="6"/>
      <c r="E99" s="6"/>
      <c r="F99" s="6"/>
      <c r="G99" s="100"/>
      <c r="H99" s="101"/>
      <c r="I99" s="6"/>
      <c r="J99" s="8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15.6">
      <c r="A100" s="6"/>
      <c r="B100" s="6"/>
      <c r="C100" s="6"/>
      <c r="D100" s="6"/>
      <c r="E100" s="6"/>
      <c r="F100" s="6"/>
      <c r="G100" s="100"/>
      <c r="H100" s="101"/>
      <c r="I100" s="6"/>
      <c r="J100" s="8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5.6">
      <c r="A101" s="6"/>
      <c r="B101" s="6"/>
      <c r="C101" s="6"/>
      <c r="D101" s="6"/>
      <c r="E101" s="6"/>
      <c r="F101" s="6"/>
      <c r="G101" s="100"/>
      <c r="H101" s="101"/>
      <c r="I101" s="6"/>
      <c r="J101" s="8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5.6">
      <c r="A102" s="6"/>
      <c r="B102" s="6"/>
      <c r="C102" s="6"/>
      <c r="D102" s="6"/>
      <c r="E102" s="6"/>
      <c r="F102" s="6"/>
      <c r="G102" s="100"/>
      <c r="H102" s="101"/>
      <c r="I102" s="6"/>
      <c r="J102" s="8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5.6">
      <c r="A103" s="6"/>
      <c r="B103" s="6"/>
      <c r="C103" s="6"/>
      <c r="D103" s="6"/>
      <c r="E103" s="6"/>
      <c r="F103" s="6"/>
      <c r="G103" s="100"/>
      <c r="H103" s="101"/>
      <c r="I103" s="6"/>
      <c r="J103" s="8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5.6">
      <c r="A104" s="6"/>
      <c r="B104" s="6"/>
      <c r="C104" s="6"/>
      <c r="D104" s="6"/>
      <c r="E104" s="6"/>
      <c r="F104" s="6"/>
      <c r="G104" s="100"/>
      <c r="H104" s="100"/>
      <c r="I104" s="6"/>
      <c r="J104" s="8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5.6">
      <c r="A105" s="6"/>
      <c r="B105" s="6"/>
      <c r="C105" s="6"/>
      <c r="D105" s="6"/>
      <c r="E105" s="6"/>
      <c r="F105" s="6"/>
      <c r="G105" s="100"/>
      <c r="H105" s="100"/>
      <c r="I105" s="6"/>
      <c r="J105" s="8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15.6">
      <c r="A106" s="6"/>
      <c r="B106" s="6"/>
      <c r="C106" s="6"/>
      <c r="D106" s="6"/>
      <c r="E106" s="6"/>
      <c r="F106" s="6"/>
      <c r="G106" s="100"/>
      <c r="H106" s="100"/>
      <c r="I106" s="6"/>
      <c r="J106" s="8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15.6">
      <c r="A107" s="6"/>
      <c r="B107" s="6"/>
      <c r="C107" s="6"/>
      <c r="D107" s="6"/>
      <c r="E107" s="6"/>
      <c r="F107" s="6"/>
      <c r="G107" s="100"/>
      <c r="H107" s="100"/>
      <c r="I107" s="6"/>
      <c r="J107" s="8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15.6">
      <c r="A108" s="6"/>
      <c r="B108" s="6"/>
      <c r="C108" s="6"/>
      <c r="D108" s="6"/>
      <c r="E108" s="6"/>
      <c r="F108" s="6"/>
      <c r="G108" s="100"/>
      <c r="H108" s="100"/>
      <c r="I108" s="6"/>
      <c r="J108" s="8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15.6">
      <c r="A109" s="6"/>
      <c r="B109" s="6"/>
      <c r="C109" s="6"/>
      <c r="D109" s="6"/>
      <c r="E109" s="6"/>
      <c r="F109" s="6"/>
      <c r="G109" s="100"/>
      <c r="H109" s="100"/>
      <c r="I109" s="6"/>
      <c r="J109" s="8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15.6">
      <c r="A110" s="6"/>
      <c r="B110" s="6"/>
      <c r="C110" s="6"/>
      <c r="D110" s="6"/>
      <c r="E110" s="6"/>
      <c r="F110" s="6"/>
      <c r="G110" s="100"/>
      <c r="H110" s="100"/>
      <c r="I110" s="6"/>
      <c r="J110" s="8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15.6">
      <c r="A111" s="6"/>
      <c r="B111" s="6"/>
      <c r="C111" s="6"/>
      <c r="D111" s="6"/>
      <c r="E111" s="6"/>
      <c r="F111" s="6"/>
      <c r="G111" s="100"/>
      <c r="H111" s="100"/>
      <c r="I111" s="6"/>
      <c r="J111" s="8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15.6">
      <c r="A112" s="6"/>
      <c r="B112" s="6"/>
      <c r="C112" s="6"/>
      <c r="D112" s="6"/>
      <c r="E112" s="6"/>
      <c r="F112" s="6"/>
      <c r="G112" s="100"/>
      <c r="H112" s="100"/>
      <c r="I112" s="6"/>
      <c r="J112" s="8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15.6">
      <c r="A113" s="6"/>
      <c r="B113" s="6"/>
      <c r="C113" s="6"/>
      <c r="D113" s="6"/>
      <c r="E113" s="6"/>
      <c r="F113" s="6"/>
      <c r="G113" s="100"/>
      <c r="H113" s="100"/>
      <c r="I113" s="6"/>
      <c r="J113" s="8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15.6">
      <c r="A114" s="6"/>
      <c r="B114" s="6"/>
      <c r="C114" s="6"/>
      <c r="D114" s="6"/>
      <c r="E114" s="6"/>
      <c r="F114" s="6"/>
      <c r="G114" s="100"/>
      <c r="H114" s="100"/>
      <c r="I114" s="6"/>
      <c r="J114" s="8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15.6">
      <c r="A115" s="6"/>
      <c r="B115" s="6"/>
      <c r="C115" s="6"/>
      <c r="D115" s="6"/>
      <c r="E115" s="6"/>
      <c r="F115" s="6"/>
      <c r="G115" s="100"/>
      <c r="H115" s="100"/>
      <c r="I115" s="6"/>
      <c r="J115" s="8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15.6">
      <c r="A116" s="6"/>
      <c r="B116" s="6"/>
      <c r="C116" s="6"/>
      <c r="D116" s="6"/>
      <c r="E116" s="6"/>
      <c r="F116" s="6"/>
      <c r="G116" s="100"/>
      <c r="H116" s="100"/>
      <c r="I116" s="6"/>
      <c r="J116" s="8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15.6">
      <c r="A117" s="6"/>
      <c r="B117" s="6"/>
      <c r="C117" s="6"/>
      <c r="D117" s="6"/>
      <c r="E117" s="6"/>
      <c r="F117" s="6"/>
      <c r="G117" s="100"/>
      <c r="H117" s="100"/>
      <c r="I117" s="6"/>
      <c r="J117" s="8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15.6">
      <c r="A118" s="6"/>
      <c r="B118" s="6"/>
      <c r="C118" s="6"/>
      <c r="D118" s="6"/>
      <c r="E118" s="6"/>
      <c r="F118" s="6"/>
      <c r="G118" s="100"/>
      <c r="H118" s="100"/>
      <c r="I118" s="6"/>
      <c r="J118" s="8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15.6">
      <c r="A119" s="6"/>
      <c r="B119" s="6"/>
      <c r="C119" s="6"/>
      <c r="D119" s="6"/>
      <c r="E119" s="6"/>
      <c r="F119" s="6"/>
      <c r="G119" s="100"/>
      <c r="H119" s="100"/>
      <c r="I119" s="6"/>
      <c r="J119" s="8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15.6">
      <c r="A120" s="6"/>
      <c r="B120" s="6"/>
      <c r="C120" s="6"/>
      <c r="D120" s="6"/>
      <c r="E120" s="6"/>
      <c r="F120" s="6"/>
      <c r="G120" s="100"/>
      <c r="H120" s="100"/>
      <c r="I120" s="6"/>
      <c r="J120" s="8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15.6">
      <c r="A121" s="6"/>
      <c r="B121" s="6"/>
      <c r="C121" s="6"/>
      <c r="D121" s="6"/>
      <c r="E121" s="6"/>
      <c r="F121" s="6"/>
      <c r="G121" s="100"/>
      <c r="H121" s="100"/>
      <c r="I121" s="6"/>
      <c r="J121" s="8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15.6">
      <c r="A122" s="6"/>
      <c r="B122" s="6"/>
      <c r="C122" s="6"/>
      <c r="D122" s="6"/>
      <c r="E122" s="6"/>
      <c r="F122" s="6"/>
      <c r="G122" s="100"/>
      <c r="H122" s="100"/>
      <c r="I122" s="6"/>
      <c r="J122" s="8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15.6">
      <c r="A123" s="6"/>
      <c r="B123" s="6"/>
      <c r="C123" s="6"/>
      <c r="D123" s="6"/>
      <c r="E123" s="6"/>
      <c r="F123" s="6"/>
      <c r="G123" s="100"/>
      <c r="H123" s="100"/>
      <c r="I123" s="6"/>
      <c r="J123" s="8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15.6">
      <c r="A124" s="6"/>
      <c r="B124" s="6"/>
      <c r="C124" s="6"/>
      <c r="D124" s="6"/>
      <c r="E124" s="6"/>
      <c r="F124" s="6"/>
      <c r="G124" s="100"/>
      <c r="H124" s="100"/>
      <c r="I124" s="6"/>
      <c r="J124" s="8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15.6">
      <c r="A125" s="6"/>
      <c r="B125" s="6"/>
      <c r="C125" s="6"/>
      <c r="D125" s="6"/>
      <c r="E125" s="6"/>
      <c r="F125" s="6"/>
      <c r="G125" s="100"/>
      <c r="H125" s="100"/>
      <c r="I125" s="6"/>
      <c r="J125" s="8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15.6">
      <c r="A126" s="6"/>
      <c r="B126" s="6"/>
      <c r="C126" s="6"/>
      <c r="D126" s="6"/>
      <c r="E126" s="6"/>
      <c r="F126" s="6"/>
      <c r="G126" s="100"/>
      <c r="H126" s="100"/>
      <c r="I126" s="6"/>
      <c r="J126" s="8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15.6">
      <c r="A127" s="6"/>
      <c r="B127" s="6"/>
      <c r="C127" s="6"/>
      <c r="D127" s="6"/>
      <c r="E127" s="6"/>
      <c r="F127" s="6"/>
      <c r="G127" s="100"/>
      <c r="H127" s="100"/>
      <c r="I127" s="6"/>
      <c r="J127" s="8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15.6">
      <c r="A128" s="6"/>
      <c r="B128" s="6"/>
      <c r="C128" s="6"/>
      <c r="D128" s="6"/>
      <c r="E128" s="6"/>
      <c r="F128" s="6"/>
      <c r="G128" s="100"/>
      <c r="H128" s="100"/>
      <c r="I128" s="6"/>
      <c r="J128" s="8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15.6">
      <c r="A129" s="6"/>
      <c r="B129" s="6"/>
      <c r="C129" s="6"/>
      <c r="D129" s="6"/>
      <c r="E129" s="6"/>
      <c r="F129" s="6"/>
      <c r="G129" s="100"/>
      <c r="H129" s="100"/>
      <c r="I129" s="6"/>
      <c r="J129" s="8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15.6">
      <c r="A130" s="6"/>
      <c r="B130" s="6"/>
      <c r="C130" s="6"/>
      <c r="D130" s="6"/>
      <c r="E130" s="6"/>
      <c r="F130" s="6"/>
      <c r="G130" s="100"/>
      <c r="H130" s="100"/>
      <c r="I130" s="6"/>
      <c r="J130" s="8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15.6">
      <c r="A131" s="6"/>
      <c r="B131" s="6"/>
      <c r="C131" s="6"/>
      <c r="D131" s="6"/>
      <c r="E131" s="6"/>
      <c r="F131" s="6"/>
      <c r="G131" s="100"/>
      <c r="H131" s="100"/>
      <c r="I131" s="6"/>
      <c r="J131" s="8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15.6">
      <c r="A132" s="6"/>
      <c r="B132" s="6"/>
      <c r="C132" s="6"/>
      <c r="D132" s="6"/>
      <c r="E132" s="6"/>
      <c r="F132" s="6"/>
      <c r="G132" s="100"/>
      <c r="H132" s="100"/>
      <c r="I132" s="6"/>
      <c r="J132" s="8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15.6">
      <c r="A133" s="6"/>
      <c r="B133" s="6"/>
      <c r="C133" s="6"/>
      <c r="D133" s="6"/>
      <c r="E133" s="6"/>
      <c r="F133" s="6"/>
      <c r="G133" s="100"/>
      <c r="H133" s="100"/>
      <c r="I133" s="6"/>
      <c r="J133" s="8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15.6">
      <c r="A134" s="6"/>
      <c r="B134" s="6"/>
      <c r="C134" s="6"/>
      <c r="D134" s="6"/>
      <c r="E134" s="6"/>
      <c r="F134" s="6"/>
      <c r="G134" s="100"/>
      <c r="H134" s="100"/>
      <c r="I134" s="6"/>
      <c r="J134" s="8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15.6">
      <c r="A135" s="6"/>
      <c r="B135" s="6"/>
      <c r="C135" s="6"/>
      <c r="D135" s="6"/>
      <c r="E135" s="6"/>
      <c r="F135" s="6"/>
      <c r="G135" s="100"/>
      <c r="H135" s="100"/>
      <c r="I135" s="6"/>
      <c r="J135" s="8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15.6">
      <c r="A136" s="6"/>
      <c r="B136" s="6"/>
      <c r="C136" s="6"/>
      <c r="D136" s="6"/>
      <c r="E136" s="6"/>
      <c r="F136" s="6"/>
      <c r="G136" s="100"/>
      <c r="H136" s="100"/>
      <c r="I136" s="6"/>
      <c r="J136" s="8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15.6">
      <c r="A137" s="6"/>
      <c r="B137" s="6"/>
      <c r="C137" s="6"/>
      <c r="D137" s="6"/>
      <c r="E137" s="6"/>
      <c r="F137" s="6"/>
      <c r="G137" s="100"/>
      <c r="H137" s="100"/>
      <c r="I137" s="6"/>
      <c r="J137" s="8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15.6">
      <c r="A138" s="6"/>
      <c r="B138" s="6"/>
      <c r="C138" s="6"/>
      <c r="D138" s="6"/>
      <c r="E138" s="6"/>
      <c r="F138" s="6"/>
      <c r="G138" s="100"/>
      <c r="H138" s="100"/>
      <c r="I138" s="6"/>
      <c r="J138" s="8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15.6">
      <c r="A139" s="6"/>
      <c r="B139" s="6"/>
      <c r="C139" s="6"/>
      <c r="D139" s="6"/>
      <c r="E139" s="6"/>
      <c r="F139" s="6"/>
      <c r="G139" s="100"/>
      <c r="H139" s="100"/>
      <c r="I139" s="6"/>
      <c r="J139" s="8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15.6">
      <c r="A140" s="6"/>
      <c r="B140" s="6"/>
      <c r="C140" s="6"/>
      <c r="D140" s="6"/>
      <c r="E140" s="6"/>
      <c r="F140" s="6"/>
      <c r="G140" s="100"/>
      <c r="H140" s="100"/>
      <c r="I140" s="6"/>
      <c r="J140" s="8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15.6">
      <c r="A141" s="6"/>
      <c r="B141" s="6"/>
      <c r="C141" s="6"/>
      <c r="D141" s="6"/>
      <c r="E141" s="6"/>
      <c r="F141" s="6"/>
      <c r="G141" s="100"/>
      <c r="H141" s="100"/>
      <c r="I141" s="6"/>
      <c r="J141" s="8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15.6">
      <c r="A142" s="6"/>
      <c r="B142" s="6"/>
      <c r="C142" s="6"/>
      <c r="D142" s="6"/>
      <c r="E142" s="6"/>
      <c r="F142" s="6"/>
      <c r="G142" s="100"/>
      <c r="H142" s="100"/>
      <c r="I142" s="6"/>
      <c r="J142" s="8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15.6">
      <c r="A143" s="6"/>
      <c r="B143" s="6"/>
      <c r="C143" s="6"/>
      <c r="D143" s="6"/>
      <c r="E143" s="6"/>
      <c r="F143" s="6"/>
      <c r="G143" s="100"/>
      <c r="H143" s="100"/>
      <c r="I143" s="6"/>
      <c r="J143" s="8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15.6">
      <c r="A144" s="6"/>
      <c r="B144" s="6"/>
      <c r="C144" s="6"/>
      <c r="D144" s="6"/>
      <c r="E144" s="6"/>
      <c r="F144" s="6"/>
      <c r="G144" s="100"/>
      <c r="H144" s="100"/>
      <c r="I144" s="6"/>
      <c r="J144" s="8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15.6">
      <c r="A145" s="6"/>
      <c r="B145" s="6"/>
      <c r="C145" s="6"/>
      <c r="D145" s="6"/>
      <c r="E145" s="6"/>
      <c r="F145" s="6"/>
      <c r="G145" s="100"/>
      <c r="H145" s="100"/>
      <c r="I145" s="6"/>
      <c r="J145" s="8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15.6">
      <c r="A146" s="6"/>
      <c r="B146" s="6"/>
      <c r="C146" s="6"/>
      <c r="D146" s="6"/>
      <c r="E146" s="6"/>
      <c r="F146" s="6"/>
      <c r="G146" s="100"/>
      <c r="H146" s="100"/>
      <c r="I146" s="6"/>
      <c r="J146" s="8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15.6">
      <c r="A147" s="6"/>
      <c r="B147" s="6"/>
      <c r="C147" s="6"/>
      <c r="D147" s="6"/>
      <c r="E147" s="6"/>
      <c r="F147" s="6"/>
      <c r="G147" s="100"/>
      <c r="H147" s="100"/>
      <c r="I147" s="6"/>
      <c r="J147" s="8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15.6">
      <c r="A148" s="6"/>
      <c r="B148" s="6"/>
      <c r="C148" s="6"/>
      <c r="D148" s="6"/>
      <c r="E148" s="6"/>
      <c r="F148" s="6"/>
      <c r="G148" s="100"/>
      <c r="H148" s="100"/>
      <c r="I148" s="6"/>
      <c r="J148" s="8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15.6">
      <c r="A149" s="6"/>
      <c r="B149" s="6"/>
      <c r="C149" s="6"/>
      <c r="D149" s="6"/>
      <c r="E149" s="6"/>
      <c r="F149" s="6"/>
      <c r="G149" s="100"/>
      <c r="H149" s="100"/>
      <c r="I149" s="6"/>
      <c r="J149" s="8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15.6">
      <c r="A150" s="6"/>
      <c r="B150" s="6"/>
      <c r="C150" s="6"/>
      <c r="D150" s="6"/>
      <c r="E150" s="6"/>
      <c r="F150" s="6"/>
      <c r="G150" s="100"/>
      <c r="H150" s="100"/>
      <c r="I150" s="6"/>
      <c r="J150" s="8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5.6">
      <c r="A151" s="6"/>
      <c r="B151" s="6"/>
      <c r="C151" s="6"/>
      <c r="D151" s="6"/>
      <c r="E151" s="6"/>
      <c r="F151" s="6"/>
      <c r="G151" s="100"/>
      <c r="H151" s="100"/>
      <c r="I151" s="6"/>
      <c r="J151" s="8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5.6">
      <c r="A152" s="6"/>
      <c r="B152" s="6"/>
      <c r="C152" s="6"/>
      <c r="D152" s="6"/>
      <c r="E152" s="6"/>
      <c r="F152" s="6"/>
      <c r="G152" s="100"/>
      <c r="H152" s="100"/>
      <c r="I152" s="6"/>
      <c r="J152" s="8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5.6">
      <c r="A153" s="6"/>
      <c r="B153" s="6"/>
      <c r="C153" s="6"/>
      <c r="D153" s="6"/>
      <c r="E153" s="6"/>
      <c r="F153" s="6"/>
      <c r="G153" s="100"/>
      <c r="H153" s="100"/>
      <c r="I153" s="6"/>
      <c r="J153" s="8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5.6">
      <c r="A154" s="6"/>
      <c r="B154" s="6"/>
      <c r="C154" s="6"/>
      <c r="D154" s="6"/>
      <c r="E154" s="6"/>
      <c r="F154" s="6"/>
      <c r="G154" s="100"/>
      <c r="H154" s="100"/>
      <c r="I154" s="6"/>
      <c r="J154" s="8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5.6">
      <c r="A155" s="6"/>
      <c r="B155" s="6"/>
      <c r="C155" s="6"/>
      <c r="D155" s="6"/>
      <c r="E155" s="6"/>
      <c r="F155" s="6"/>
      <c r="G155" s="100"/>
      <c r="H155" s="100"/>
      <c r="I155" s="6"/>
      <c r="J155" s="8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5.6">
      <c r="A156" s="6"/>
      <c r="B156" s="6"/>
      <c r="C156" s="6"/>
      <c r="D156" s="6"/>
      <c r="E156" s="6"/>
      <c r="F156" s="6"/>
      <c r="G156" s="100"/>
      <c r="H156" s="100"/>
      <c r="I156" s="6"/>
      <c r="J156" s="8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5.6">
      <c r="A157" s="6"/>
      <c r="B157" s="6"/>
      <c r="C157" s="6"/>
      <c r="D157" s="6"/>
      <c r="E157" s="6"/>
      <c r="F157" s="6"/>
      <c r="G157" s="100"/>
      <c r="H157" s="100"/>
      <c r="I157" s="6"/>
      <c r="J157" s="8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5.6">
      <c r="A158" s="6"/>
      <c r="B158" s="6"/>
      <c r="C158" s="6"/>
      <c r="D158" s="6"/>
      <c r="E158" s="6"/>
      <c r="F158" s="6"/>
      <c r="G158" s="100"/>
      <c r="H158" s="100"/>
      <c r="I158" s="6"/>
      <c r="J158" s="8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5.6">
      <c r="A159" s="6"/>
      <c r="B159" s="6"/>
      <c r="C159" s="6"/>
      <c r="D159" s="6"/>
      <c r="E159" s="6"/>
      <c r="F159" s="6"/>
      <c r="G159" s="100"/>
      <c r="H159" s="100"/>
      <c r="I159" s="6"/>
      <c r="J159" s="8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15.6">
      <c r="A160" s="6"/>
      <c r="B160" s="6"/>
      <c r="C160" s="6"/>
      <c r="D160" s="6"/>
      <c r="E160" s="6"/>
      <c r="F160" s="6"/>
      <c r="G160" s="100"/>
      <c r="H160" s="100"/>
      <c r="I160" s="6"/>
      <c r="J160" s="8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15.6">
      <c r="A161" s="6"/>
      <c r="B161" s="6"/>
      <c r="C161" s="6"/>
      <c r="D161" s="6"/>
      <c r="E161" s="6"/>
      <c r="F161" s="6"/>
      <c r="G161" s="100"/>
      <c r="H161" s="100"/>
      <c r="I161" s="6"/>
      <c r="J161" s="8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15.6">
      <c r="A162" s="6"/>
      <c r="B162" s="6"/>
      <c r="C162" s="6"/>
      <c r="D162" s="6"/>
      <c r="E162" s="6"/>
      <c r="F162" s="6"/>
      <c r="G162" s="100"/>
      <c r="H162" s="100"/>
      <c r="I162" s="6"/>
      <c r="J162" s="8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15.6">
      <c r="A163" s="6"/>
      <c r="B163" s="6"/>
      <c r="C163" s="6"/>
      <c r="D163" s="6"/>
      <c r="E163" s="6"/>
      <c r="F163" s="6"/>
      <c r="G163" s="100"/>
      <c r="H163" s="100"/>
      <c r="I163" s="6"/>
      <c r="J163" s="8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15.6">
      <c r="A164" s="6"/>
      <c r="B164" s="6"/>
      <c r="C164" s="6"/>
      <c r="D164" s="6"/>
      <c r="E164" s="6"/>
      <c r="F164" s="6"/>
      <c r="G164" s="100"/>
      <c r="H164" s="100"/>
      <c r="I164" s="6"/>
      <c r="J164" s="8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15.6">
      <c r="A165" s="6"/>
      <c r="B165" s="6"/>
      <c r="C165" s="6"/>
      <c r="D165" s="6"/>
      <c r="E165" s="6"/>
      <c r="F165" s="6"/>
      <c r="G165" s="100"/>
      <c r="H165" s="100"/>
      <c r="I165" s="6"/>
      <c r="J165" s="8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15.6">
      <c r="A166" s="6"/>
      <c r="B166" s="6"/>
      <c r="C166" s="6"/>
      <c r="D166" s="6"/>
      <c r="E166" s="6"/>
      <c r="F166" s="6"/>
      <c r="G166" s="100"/>
      <c r="H166" s="100"/>
      <c r="I166" s="6"/>
      <c r="J166" s="8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15.6">
      <c r="A167" s="6"/>
      <c r="B167" s="6"/>
      <c r="C167" s="6"/>
      <c r="D167" s="6"/>
      <c r="E167" s="6"/>
      <c r="F167" s="6"/>
      <c r="G167" s="100"/>
      <c r="H167" s="100"/>
      <c r="I167" s="6"/>
      <c r="J167" s="8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15.6">
      <c r="A168" s="6"/>
      <c r="B168" s="6"/>
      <c r="C168" s="6"/>
      <c r="D168" s="6"/>
      <c r="E168" s="6"/>
      <c r="F168" s="6"/>
      <c r="G168" s="100"/>
      <c r="H168" s="100"/>
      <c r="I168" s="6"/>
      <c r="J168" s="8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15.6">
      <c r="A169" s="6"/>
      <c r="B169" s="6"/>
      <c r="C169" s="6"/>
      <c r="D169" s="6"/>
      <c r="E169" s="6"/>
      <c r="F169" s="6"/>
      <c r="G169" s="100"/>
      <c r="H169" s="100"/>
      <c r="I169" s="6"/>
      <c r="J169" s="8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15.6">
      <c r="A170" s="6"/>
      <c r="B170" s="6"/>
      <c r="C170" s="6"/>
      <c r="D170" s="6"/>
      <c r="E170" s="6"/>
      <c r="F170" s="6"/>
      <c r="G170" s="100"/>
      <c r="H170" s="100"/>
      <c r="I170" s="6"/>
      <c r="J170" s="8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15.6">
      <c r="A171" s="6"/>
      <c r="B171" s="6"/>
      <c r="C171" s="6"/>
      <c r="D171" s="6"/>
      <c r="E171" s="6"/>
      <c r="F171" s="6"/>
      <c r="G171" s="100"/>
      <c r="H171" s="100"/>
      <c r="I171" s="6"/>
      <c r="J171" s="8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15.6">
      <c r="A172" s="6"/>
      <c r="B172" s="6"/>
      <c r="C172" s="6"/>
      <c r="D172" s="6"/>
      <c r="E172" s="6"/>
      <c r="F172" s="6"/>
      <c r="G172" s="100"/>
      <c r="H172" s="100"/>
      <c r="I172" s="6"/>
      <c r="J172" s="8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15.6">
      <c r="A173" s="6"/>
      <c r="B173" s="6"/>
      <c r="C173" s="6"/>
      <c r="D173" s="6"/>
      <c r="E173" s="6"/>
      <c r="F173" s="6"/>
      <c r="G173" s="100"/>
      <c r="H173" s="100"/>
      <c r="I173" s="6"/>
      <c r="J173" s="8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15.6">
      <c r="A174" s="6"/>
      <c r="B174" s="6"/>
      <c r="C174" s="6"/>
      <c r="D174" s="6"/>
      <c r="E174" s="6"/>
      <c r="F174" s="6"/>
      <c r="G174" s="100"/>
      <c r="H174" s="100"/>
      <c r="I174" s="6"/>
      <c r="J174" s="8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15.6">
      <c r="A175" s="6"/>
      <c r="B175" s="6"/>
      <c r="C175" s="6"/>
      <c r="D175" s="6"/>
      <c r="E175" s="6"/>
      <c r="F175" s="6"/>
      <c r="G175" s="100"/>
      <c r="H175" s="100"/>
      <c r="I175" s="6"/>
      <c r="J175" s="8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15.6">
      <c r="A176" s="6"/>
      <c r="B176" s="6"/>
      <c r="C176" s="6"/>
      <c r="D176" s="6"/>
      <c r="E176" s="6"/>
      <c r="F176" s="6"/>
      <c r="G176" s="100"/>
      <c r="H176" s="100"/>
      <c r="I176" s="6"/>
      <c r="J176" s="8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15.6">
      <c r="A177" s="6"/>
      <c r="B177" s="6"/>
      <c r="C177" s="6"/>
      <c r="D177" s="6"/>
      <c r="E177" s="6"/>
      <c r="F177" s="6"/>
      <c r="G177" s="100"/>
      <c r="H177" s="100"/>
      <c r="I177" s="6"/>
      <c r="J177" s="8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5.6">
      <c r="A178" s="6"/>
      <c r="B178" s="6"/>
      <c r="C178" s="6"/>
      <c r="D178" s="6"/>
      <c r="E178" s="6"/>
      <c r="F178" s="6"/>
      <c r="G178" s="100"/>
      <c r="H178" s="100"/>
      <c r="I178" s="6"/>
      <c r="J178" s="8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5.6">
      <c r="A179" s="6"/>
      <c r="B179" s="6"/>
      <c r="C179" s="6"/>
      <c r="D179" s="6"/>
      <c r="E179" s="6"/>
      <c r="F179" s="6"/>
      <c r="G179" s="100"/>
      <c r="H179" s="100"/>
      <c r="I179" s="6"/>
      <c r="J179" s="8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5.6">
      <c r="A180" s="6"/>
      <c r="B180" s="6"/>
      <c r="C180" s="6"/>
      <c r="D180" s="6"/>
      <c r="E180" s="6"/>
      <c r="F180" s="6"/>
      <c r="G180" s="100"/>
      <c r="H180" s="100"/>
      <c r="I180" s="6"/>
      <c r="J180" s="8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5.6">
      <c r="A181" s="6"/>
      <c r="B181" s="6"/>
      <c r="C181" s="6"/>
      <c r="D181" s="6"/>
      <c r="E181" s="6"/>
      <c r="F181" s="6"/>
      <c r="G181" s="100"/>
      <c r="H181" s="100"/>
      <c r="I181" s="6"/>
      <c r="J181" s="8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5.6">
      <c r="A182" s="6"/>
      <c r="B182" s="6"/>
      <c r="C182" s="6"/>
      <c r="D182" s="6"/>
      <c r="E182" s="6"/>
      <c r="F182" s="6"/>
      <c r="G182" s="100"/>
      <c r="H182" s="100"/>
      <c r="I182" s="6"/>
      <c r="J182" s="8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5.6">
      <c r="A183" s="6"/>
      <c r="B183" s="6"/>
      <c r="C183" s="6"/>
      <c r="D183" s="6"/>
      <c r="E183" s="6"/>
      <c r="F183" s="6"/>
      <c r="G183" s="100"/>
      <c r="H183" s="100"/>
      <c r="I183" s="6"/>
      <c r="J183" s="8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5.6">
      <c r="A184" s="6"/>
      <c r="B184" s="6"/>
      <c r="C184" s="6"/>
      <c r="D184" s="6"/>
      <c r="E184" s="6"/>
      <c r="F184" s="6"/>
      <c r="G184" s="100"/>
      <c r="H184" s="100"/>
      <c r="I184" s="6"/>
      <c r="J184" s="8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15.6">
      <c r="A185" s="6"/>
      <c r="B185" s="6"/>
      <c r="C185" s="6"/>
      <c r="D185" s="6"/>
      <c r="E185" s="6"/>
      <c r="F185" s="6"/>
      <c r="G185" s="100"/>
      <c r="H185" s="100"/>
      <c r="I185" s="6"/>
      <c r="J185" s="8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5.6">
      <c r="A186" s="6"/>
      <c r="B186" s="6"/>
      <c r="C186" s="6"/>
      <c r="D186" s="6"/>
      <c r="E186" s="6"/>
      <c r="F186" s="6"/>
      <c r="G186" s="100"/>
      <c r="H186" s="100"/>
      <c r="I186" s="6"/>
      <c r="J186" s="8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5.6">
      <c r="A187" s="6"/>
      <c r="B187" s="6"/>
      <c r="C187" s="6"/>
      <c r="D187" s="6"/>
      <c r="E187" s="6"/>
      <c r="F187" s="6"/>
      <c r="G187" s="100"/>
      <c r="H187" s="100"/>
      <c r="I187" s="6"/>
      <c r="J187" s="8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5.6">
      <c r="A188" s="6"/>
      <c r="B188" s="6"/>
      <c r="C188" s="6"/>
      <c r="D188" s="6"/>
      <c r="E188" s="6"/>
      <c r="F188" s="6"/>
      <c r="G188" s="100"/>
      <c r="H188" s="100"/>
      <c r="I188" s="6"/>
      <c r="J188" s="8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5.6">
      <c r="A189" s="6"/>
      <c r="B189" s="6"/>
      <c r="C189" s="6"/>
      <c r="D189" s="6"/>
      <c r="E189" s="6"/>
      <c r="F189" s="6"/>
      <c r="G189" s="100"/>
      <c r="H189" s="100"/>
      <c r="I189" s="6"/>
      <c r="J189" s="8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15.6">
      <c r="A190" s="6"/>
      <c r="B190" s="6"/>
      <c r="C190" s="6"/>
      <c r="D190" s="6"/>
      <c r="E190" s="6"/>
      <c r="F190" s="6"/>
      <c r="G190" s="100"/>
      <c r="H190" s="100"/>
      <c r="I190" s="6"/>
      <c r="J190" s="8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15.6">
      <c r="A191" s="6"/>
      <c r="B191" s="6"/>
      <c r="C191" s="6"/>
      <c r="D191" s="6"/>
      <c r="E191" s="6"/>
      <c r="F191" s="6"/>
      <c r="G191" s="100"/>
      <c r="H191" s="100"/>
      <c r="I191" s="6"/>
      <c r="J191" s="8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15.6">
      <c r="A192" s="6"/>
      <c r="B192" s="6"/>
      <c r="C192" s="6"/>
      <c r="D192" s="6"/>
      <c r="E192" s="6"/>
      <c r="F192" s="6"/>
      <c r="G192" s="100"/>
      <c r="H192" s="100"/>
      <c r="I192" s="6"/>
      <c r="J192" s="8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5.6">
      <c r="A193" s="6"/>
      <c r="B193" s="6"/>
      <c r="C193" s="6"/>
      <c r="D193" s="6"/>
      <c r="E193" s="6"/>
      <c r="F193" s="6"/>
      <c r="G193" s="100"/>
      <c r="H193" s="100"/>
      <c r="I193" s="6"/>
      <c r="J193" s="8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5.6">
      <c r="A194" s="6"/>
      <c r="B194" s="6"/>
      <c r="C194" s="6"/>
      <c r="D194" s="6"/>
      <c r="E194" s="6"/>
      <c r="F194" s="6"/>
      <c r="G194" s="100"/>
      <c r="H194" s="100"/>
      <c r="I194" s="6"/>
      <c r="J194" s="8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5.6">
      <c r="A195" s="6"/>
      <c r="B195" s="6"/>
      <c r="C195" s="6"/>
      <c r="D195" s="6"/>
      <c r="E195" s="6"/>
      <c r="F195" s="6"/>
      <c r="G195" s="100"/>
      <c r="H195" s="100"/>
      <c r="I195" s="6"/>
      <c r="J195" s="8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5.6">
      <c r="A196" s="6"/>
      <c r="B196" s="6"/>
      <c r="C196" s="6"/>
      <c r="D196" s="6"/>
      <c r="E196" s="6"/>
      <c r="F196" s="6"/>
      <c r="G196" s="100"/>
      <c r="H196" s="100"/>
      <c r="I196" s="6"/>
      <c r="J196" s="8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5.6">
      <c r="A197" s="6"/>
      <c r="B197" s="6"/>
      <c r="C197" s="6"/>
      <c r="D197" s="6"/>
      <c r="E197" s="6"/>
      <c r="F197" s="6"/>
      <c r="G197" s="100"/>
      <c r="H197" s="100"/>
      <c r="I197" s="6"/>
      <c r="J197" s="8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5.6">
      <c r="A198" s="6"/>
      <c r="B198" s="6"/>
      <c r="C198" s="6"/>
      <c r="D198" s="6"/>
      <c r="E198" s="6"/>
      <c r="F198" s="6"/>
      <c r="G198" s="100"/>
      <c r="H198" s="100"/>
      <c r="I198" s="6"/>
      <c r="J198" s="8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5.6">
      <c r="A199" s="6"/>
      <c r="B199" s="6"/>
      <c r="C199" s="6"/>
      <c r="D199" s="6"/>
      <c r="E199" s="6"/>
      <c r="F199" s="6"/>
      <c r="G199" s="100"/>
      <c r="H199" s="100"/>
      <c r="I199" s="6"/>
      <c r="J199" s="8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5.6">
      <c r="A200" s="6"/>
      <c r="B200" s="6"/>
      <c r="C200" s="6"/>
      <c r="D200" s="6"/>
      <c r="E200" s="6"/>
      <c r="F200" s="6"/>
      <c r="G200" s="100"/>
      <c r="H200" s="100"/>
      <c r="I200" s="6"/>
      <c r="J200" s="8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5.6">
      <c r="A201" s="6"/>
      <c r="B201" s="6"/>
      <c r="C201" s="6"/>
      <c r="D201" s="6"/>
      <c r="E201" s="6"/>
      <c r="F201" s="6"/>
      <c r="G201" s="100"/>
      <c r="H201" s="100"/>
      <c r="I201" s="6"/>
      <c r="J201" s="8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5.6">
      <c r="A202" s="6"/>
      <c r="B202" s="6"/>
      <c r="C202" s="6"/>
      <c r="D202" s="6"/>
      <c r="E202" s="6"/>
      <c r="F202" s="6"/>
      <c r="G202" s="100"/>
      <c r="H202" s="100"/>
      <c r="I202" s="6"/>
      <c r="J202" s="8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5.6">
      <c r="A203" s="6"/>
      <c r="B203" s="6"/>
      <c r="C203" s="6"/>
      <c r="D203" s="6"/>
      <c r="E203" s="6"/>
      <c r="F203" s="6"/>
      <c r="G203" s="100"/>
      <c r="H203" s="100"/>
      <c r="I203" s="6"/>
      <c r="J203" s="8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5.6">
      <c r="A204" s="6"/>
      <c r="B204" s="6"/>
      <c r="C204" s="6"/>
      <c r="D204" s="6"/>
      <c r="E204" s="6"/>
      <c r="F204" s="6"/>
      <c r="G204" s="100"/>
      <c r="H204" s="100"/>
      <c r="I204" s="6"/>
      <c r="J204" s="8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5.6">
      <c r="A205" s="6"/>
      <c r="B205" s="6"/>
      <c r="C205" s="6"/>
      <c r="D205" s="6"/>
      <c r="E205" s="6"/>
      <c r="F205" s="6"/>
      <c r="G205" s="100"/>
      <c r="H205" s="100"/>
      <c r="I205" s="6"/>
      <c r="J205" s="8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5.6">
      <c r="A206" s="6"/>
      <c r="B206" s="6"/>
      <c r="C206" s="6"/>
      <c r="D206" s="6"/>
      <c r="E206" s="6"/>
      <c r="F206" s="6"/>
      <c r="G206" s="100"/>
      <c r="H206" s="100"/>
      <c r="I206" s="6"/>
      <c r="J206" s="8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5.6">
      <c r="A207" s="6"/>
      <c r="B207" s="6"/>
      <c r="C207" s="6"/>
      <c r="D207" s="6"/>
      <c r="E207" s="6"/>
      <c r="F207" s="6"/>
      <c r="G207" s="100"/>
      <c r="H207" s="100"/>
      <c r="I207" s="6"/>
      <c r="J207" s="8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5.6">
      <c r="A208" s="6"/>
      <c r="B208" s="6"/>
      <c r="C208" s="6"/>
      <c r="D208" s="6"/>
      <c r="E208" s="6"/>
      <c r="F208" s="6"/>
      <c r="G208" s="100"/>
      <c r="H208" s="100"/>
      <c r="I208" s="6"/>
      <c r="J208" s="8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5.6">
      <c r="A209" s="6"/>
      <c r="B209" s="6"/>
      <c r="C209" s="6"/>
      <c r="D209" s="6"/>
      <c r="E209" s="6"/>
      <c r="F209" s="6"/>
      <c r="G209" s="100"/>
      <c r="H209" s="100"/>
      <c r="I209" s="6"/>
      <c r="J209" s="8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5.6">
      <c r="A210" s="6"/>
      <c r="B210" s="6"/>
      <c r="C210" s="6"/>
      <c r="D210" s="6"/>
      <c r="E210" s="6"/>
      <c r="F210" s="6"/>
      <c r="G210" s="100"/>
      <c r="H210" s="100"/>
      <c r="I210" s="6"/>
      <c r="J210" s="8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5.6">
      <c r="A211" s="6"/>
      <c r="B211" s="6"/>
      <c r="C211" s="6"/>
      <c r="D211" s="6"/>
      <c r="E211" s="6"/>
      <c r="F211" s="6"/>
      <c r="G211" s="100"/>
      <c r="H211" s="100"/>
      <c r="I211" s="6"/>
      <c r="J211" s="8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5.6">
      <c r="A212" s="6"/>
      <c r="B212" s="6"/>
      <c r="C212" s="6"/>
      <c r="D212" s="6"/>
      <c r="E212" s="6"/>
      <c r="F212" s="6"/>
      <c r="G212" s="100"/>
      <c r="H212" s="100"/>
      <c r="I212" s="6"/>
      <c r="J212" s="8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5.6">
      <c r="A213" s="6"/>
      <c r="B213" s="6"/>
      <c r="C213" s="6"/>
      <c r="D213" s="6"/>
      <c r="E213" s="6"/>
      <c r="F213" s="6"/>
      <c r="G213" s="100"/>
      <c r="H213" s="100"/>
      <c r="I213" s="6"/>
      <c r="J213" s="8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5.6">
      <c r="A214" s="6"/>
      <c r="B214" s="6"/>
      <c r="C214" s="6"/>
      <c r="D214" s="6"/>
      <c r="E214" s="6"/>
      <c r="F214" s="6"/>
      <c r="G214" s="100"/>
      <c r="H214" s="100"/>
      <c r="I214" s="6"/>
      <c r="J214" s="8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5.6">
      <c r="A215" s="6"/>
      <c r="B215" s="6"/>
      <c r="C215" s="6"/>
      <c r="D215" s="6"/>
      <c r="E215" s="6"/>
      <c r="F215" s="6"/>
      <c r="G215" s="100"/>
      <c r="H215" s="100"/>
      <c r="I215" s="6"/>
      <c r="J215" s="8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5.6">
      <c r="A216" s="6"/>
      <c r="B216" s="6"/>
      <c r="C216" s="6"/>
      <c r="D216" s="6"/>
      <c r="E216" s="6"/>
      <c r="F216" s="6"/>
      <c r="G216" s="100"/>
      <c r="H216" s="100"/>
      <c r="I216" s="6"/>
      <c r="J216" s="8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5.6">
      <c r="A217" s="6"/>
      <c r="B217" s="6"/>
      <c r="C217" s="6"/>
      <c r="D217" s="6"/>
      <c r="E217" s="6"/>
      <c r="F217" s="6"/>
      <c r="G217" s="100"/>
      <c r="H217" s="100"/>
      <c r="I217" s="6"/>
      <c r="J217" s="8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5.6">
      <c r="A218" s="6"/>
      <c r="B218" s="6"/>
      <c r="C218" s="6"/>
      <c r="D218" s="6"/>
      <c r="E218" s="6"/>
      <c r="F218" s="6"/>
      <c r="G218" s="100"/>
      <c r="H218" s="100"/>
      <c r="I218" s="6"/>
      <c r="J218" s="8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5.6">
      <c r="A219" s="6"/>
      <c r="B219" s="6"/>
      <c r="C219" s="6"/>
      <c r="D219" s="6"/>
      <c r="E219" s="6"/>
      <c r="F219" s="6"/>
      <c r="G219" s="100"/>
      <c r="H219" s="100"/>
      <c r="I219" s="6"/>
      <c r="J219" s="8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5.6">
      <c r="A220" s="6"/>
      <c r="B220" s="6"/>
      <c r="C220" s="6"/>
      <c r="D220" s="6"/>
      <c r="E220" s="6"/>
      <c r="F220" s="6"/>
      <c r="G220" s="100"/>
      <c r="H220" s="100"/>
      <c r="I220" s="6"/>
      <c r="J220" s="8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5.6">
      <c r="A221" s="6"/>
      <c r="B221" s="6"/>
      <c r="C221" s="6"/>
      <c r="D221" s="6"/>
      <c r="E221" s="6"/>
      <c r="F221" s="6"/>
      <c r="G221" s="100"/>
      <c r="H221" s="100"/>
      <c r="I221" s="6"/>
      <c r="J221" s="8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5.6">
      <c r="A222" s="6"/>
      <c r="B222" s="6"/>
      <c r="C222" s="6"/>
      <c r="D222" s="6"/>
      <c r="E222" s="6"/>
      <c r="F222" s="6"/>
      <c r="G222" s="100"/>
      <c r="H222" s="100"/>
      <c r="I222" s="6"/>
      <c r="J222" s="8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5.6">
      <c r="A223" s="6"/>
      <c r="B223" s="6"/>
      <c r="C223" s="6"/>
      <c r="D223" s="6"/>
      <c r="E223" s="6"/>
      <c r="F223" s="6"/>
      <c r="G223" s="100"/>
      <c r="H223" s="100"/>
      <c r="I223" s="6"/>
      <c r="J223" s="8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5.6">
      <c r="A224" s="6"/>
      <c r="B224" s="6"/>
      <c r="C224" s="6"/>
      <c r="D224" s="6"/>
      <c r="E224" s="6"/>
      <c r="F224" s="6"/>
      <c r="G224" s="100"/>
      <c r="H224" s="100"/>
      <c r="I224" s="6"/>
      <c r="J224" s="8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5.6">
      <c r="A225" s="6"/>
      <c r="B225" s="6"/>
      <c r="C225" s="6"/>
      <c r="D225" s="6"/>
      <c r="E225" s="6"/>
      <c r="F225" s="6"/>
      <c r="G225" s="100"/>
      <c r="H225" s="100"/>
      <c r="I225" s="6"/>
      <c r="J225" s="8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5.6">
      <c r="A226" s="6"/>
      <c r="B226" s="6"/>
      <c r="C226" s="6"/>
      <c r="D226" s="6"/>
      <c r="E226" s="6"/>
      <c r="F226" s="6"/>
      <c r="G226" s="100"/>
      <c r="H226" s="100"/>
      <c r="I226" s="6"/>
      <c r="J226" s="8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5.6">
      <c r="A227" s="6"/>
      <c r="B227" s="6"/>
      <c r="C227" s="6"/>
      <c r="D227" s="6"/>
      <c r="E227" s="6"/>
      <c r="F227" s="6"/>
      <c r="G227" s="100"/>
      <c r="H227" s="100"/>
      <c r="I227" s="6"/>
      <c r="J227" s="8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5.6">
      <c r="A228" s="6"/>
      <c r="B228" s="6"/>
      <c r="C228" s="6"/>
      <c r="D228" s="6"/>
      <c r="E228" s="6"/>
      <c r="F228" s="6"/>
      <c r="G228" s="100"/>
      <c r="H228" s="100"/>
      <c r="I228" s="6"/>
      <c r="J228" s="8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5.6">
      <c r="A229" s="6"/>
      <c r="B229" s="6"/>
      <c r="C229" s="6"/>
      <c r="D229" s="6"/>
      <c r="E229" s="6"/>
      <c r="F229" s="6"/>
      <c r="G229" s="100"/>
      <c r="H229" s="100"/>
      <c r="I229" s="6"/>
      <c r="J229" s="8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5.6">
      <c r="A230" s="6"/>
      <c r="B230" s="6"/>
      <c r="C230" s="6"/>
      <c r="D230" s="6"/>
      <c r="E230" s="6"/>
      <c r="F230" s="6"/>
      <c r="G230" s="100"/>
      <c r="H230" s="100"/>
      <c r="I230" s="6"/>
      <c r="J230" s="8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5.6">
      <c r="A231" s="6"/>
      <c r="B231" s="6"/>
      <c r="C231" s="6"/>
      <c r="D231" s="6"/>
      <c r="E231" s="6"/>
      <c r="F231" s="6"/>
      <c r="G231" s="100"/>
      <c r="H231" s="100"/>
      <c r="I231" s="6"/>
      <c r="J231" s="8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5.6">
      <c r="A232" s="6"/>
      <c r="B232" s="6"/>
      <c r="C232" s="6"/>
      <c r="D232" s="6"/>
      <c r="E232" s="6"/>
      <c r="F232" s="6"/>
      <c r="G232" s="100"/>
      <c r="H232" s="100"/>
      <c r="I232" s="6"/>
      <c r="J232" s="8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5.6">
      <c r="A233" s="6"/>
      <c r="B233" s="6"/>
      <c r="C233" s="6"/>
      <c r="D233" s="6"/>
      <c r="E233" s="6"/>
      <c r="F233" s="6"/>
      <c r="G233" s="100"/>
      <c r="H233" s="100"/>
      <c r="I233" s="6"/>
      <c r="J233" s="8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5.6">
      <c r="A234" s="6"/>
      <c r="B234" s="6"/>
      <c r="C234" s="6"/>
      <c r="D234" s="6"/>
      <c r="E234" s="6"/>
      <c r="F234" s="6"/>
      <c r="G234" s="100"/>
      <c r="H234" s="100"/>
      <c r="I234" s="6"/>
      <c r="J234" s="8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5.6">
      <c r="A235" s="6"/>
      <c r="B235" s="6"/>
      <c r="C235" s="6"/>
      <c r="D235" s="6"/>
      <c r="E235" s="6"/>
      <c r="F235" s="6"/>
      <c r="G235" s="100"/>
      <c r="H235" s="100"/>
      <c r="I235" s="6"/>
      <c r="J235" s="8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5.6">
      <c r="A236" s="6"/>
      <c r="B236" s="6"/>
      <c r="C236" s="6"/>
      <c r="D236" s="6"/>
      <c r="E236" s="6"/>
      <c r="F236" s="6"/>
      <c r="G236" s="100"/>
      <c r="H236" s="100"/>
      <c r="I236" s="6"/>
      <c r="J236" s="8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5.6">
      <c r="A237" s="6"/>
      <c r="B237" s="6"/>
      <c r="C237" s="6"/>
      <c r="D237" s="6"/>
      <c r="E237" s="6"/>
      <c r="F237" s="6"/>
      <c r="G237" s="100"/>
      <c r="H237" s="100"/>
      <c r="I237" s="6"/>
      <c r="J237" s="8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5.6">
      <c r="A238" s="6"/>
      <c r="B238" s="6"/>
      <c r="C238" s="6"/>
      <c r="D238" s="6"/>
      <c r="E238" s="6"/>
      <c r="F238" s="6"/>
      <c r="G238" s="100"/>
      <c r="H238" s="100"/>
      <c r="I238" s="6"/>
      <c r="J238" s="8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5.6">
      <c r="A239" s="6"/>
      <c r="B239" s="6"/>
      <c r="C239" s="6"/>
      <c r="D239" s="6"/>
      <c r="E239" s="6"/>
      <c r="F239" s="6"/>
      <c r="G239" s="100"/>
      <c r="H239" s="100"/>
      <c r="I239" s="6"/>
      <c r="J239" s="8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5.6">
      <c r="A240" s="6"/>
      <c r="B240" s="6"/>
      <c r="C240" s="6"/>
      <c r="D240" s="6"/>
      <c r="E240" s="6"/>
      <c r="F240" s="6"/>
      <c r="G240" s="100"/>
      <c r="H240" s="100"/>
      <c r="I240" s="6"/>
      <c r="J240" s="8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5.6">
      <c r="A241" s="6"/>
      <c r="B241" s="6"/>
      <c r="C241" s="6"/>
      <c r="D241" s="6"/>
      <c r="E241" s="6"/>
      <c r="F241" s="6"/>
      <c r="G241" s="100"/>
      <c r="H241" s="100"/>
      <c r="I241" s="6"/>
      <c r="J241" s="8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5.6">
      <c r="A242" s="6"/>
      <c r="B242" s="6"/>
      <c r="C242" s="6"/>
      <c r="D242" s="6"/>
      <c r="E242" s="6"/>
      <c r="F242" s="6"/>
      <c r="G242" s="100"/>
      <c r="H242" s="100"/>
      <c r="I242" s="6"/>
      <c r="J242" s="8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5.6">
      <c r="A243" s="6"/>
      <c r="B243" s="6"/>
      <c r="C243" s="6"/>
      <c r="D243" s="6"/>
      <c r="E243" s="6"/>
      <c r="F243" s="6"/>
      <c r="G243" s="100"/>
      <c r="H243" s="100"/>
      <c r="I243" s="6"/>
      <c r="J243" s="8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5.6">
      <c r="A244" s="6"/>
      <c r="B244" s="6"/>
      <c r="C244" s="6"/>
      <c r="D244" s="6"/>
      <c r="E244" s="6"/>
      <c r="F244" s="6"/>
      <c r="G244" s="100"/>
      <c r="H244" s="100"/>
      <c r="I244" s="6"/>
      <c r="J244" s="8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5.6">
      <c r="A245" s="6"/>
      <c r="B245" s="6"/>
      <c r="C245" s="6"/>
      <c r="D245" s="6"/>
      <c r="E245" s="6"/>
      <c r="F245" s="6"/>
      <c r="G245" s="100"/>
      <c r="H245" s="100"/>
      <c r="I245" s="6"/>
      <c r="J245" s="8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5.6">
      <c r="A246" s="6"/>
      <c r="B246" s="6"/>
      <c r="C246" s="6"/>
      <c r="D246" s="6"/>
      <c r="E246" s="6"/>
      <c r="F246" s="6"/>
      <c r="G246" s="100"/>
      <c r="H246" s="100"/>
      <c r="I246" s="6"/>
      <c r="J246" s="8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5.6">
      <c r="A247" s="6"/>
      <c r="B247" s="6"/>
      <c r="C247" s="6"/>
      <c r="D247" s="6"/>
      <c r="E247" s="6"/>
      <c r="F247" s="6"/>
      <c r="G247" s="100"/>
      <c r="H247" s="100"/>
      <c r="I247" s="6"/>
      <c r="J247" s="8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5.6">
      <c r="A248" s="6"/>
      <c r="B248" s="6"/>
      <c r="C248" s="6"/>
      <c r="D248" s="6"/>
      <c r="E248" s="6"/>
      <c r="F248" s="6"/>
      <c r="G248" s="100"/>
      <c r="H248" s="100"/>
      <c r="I248" s="6"/>
      <c r="J248" s="8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5.6">
      <c r="A249" s="6"/>
      <c r="B249" s="6"/>
      <c r="C249" s="6"/>
      <c r="D249" s="6"/>
      <c r="E249" s="6"/>
      <c r="F249" s="6"/>
      <c r="G249" s="100"/>
      <c r="H249" s="100"/>
      <c r="I249" s="6"/>
      <c r="J249" s="8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5.6">
      <c r="A250" s="6"/>
      <c r="B250" s="6"/>
      <c r="C250" s="6"/>
      <c r="D250" s="6"/>
      <c r="E250" s="6"/>
      <c r="F250" s="6"/>
      <c r="G250" s="100"/>
      <c r="H250" s="100"/>
      <c r="I250" s="6"/>
      <c r="J250" s="8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5.6">
      <c r="A251" s="6"/>
      <c r="B251" s="6"/>
      <c r="C251" s="6"/>
      <c r="D251" s="6"/>
      <c r="E251" s="6"/>
      <c r="F251" s="6"/>
      <c r="G251" s="100"/>
      <c r="H251" s="100"/>
      <c r="I251" s="6"/>
      <c r="J251" s="8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5.6">
      <c r="A252" s="6"/>
      <c r="B252" s="6"/>
      <c r="C252" s="6"/>
      <c r="D252" s="6"/>
      <c r="E252" s="6"/>
      <c r="F252" s="6"/>
      <c r="G252" s="100"/>
      <c r="H252" s="100"/>
      <c r="I252" s="6"/>
      <c r="J252" s="8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5.6">
      <c r="A253" s="6"/>
      <c r="B253" s="6"/>
      <c r="C253" s="6"/>
      <c r="D253" s="6"/>
      <c r="E253" s="6"/>
      <c r="F253" s="6"/>
      <c r="G253" s="100"/>
      <c r="H253" s="100"/>
      <c r="I253" s="6"/>
      <c r="J253" s="8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5.6">
      <c r="A254" s="6"/>
      <c r="B254" s="6"/>
      <c r="C254" s="6"/>
      <c r="D254" s="6"/>
      <c r="E254" s="6"/>
      <c r="F254" s="6"/>
      <c r="G254" s="100"/>
      <c r="H254" s="100"/>
      <c r="I254" s="6"/>
      <c r="J254" s="8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5.6">
      <c r="A255" s="6"/>
      <c r="B255" s="6"/>
      <c r="C255" s="6"/>
      <c r="D255" s="6"/>
      <c r="E255" s="6"/>
      <c r="F255" s="6"/>
      <c r="G255" s="100"/>
      <c r="H255" s="100"/>
      <c r="I255" s="6"/>
      <c r="J255" s="8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5.6">
      <c r="A256" s="6"/>
      <c r="B256" s="6"/>
      <c r="C256" s="6"/>
      <c r="D256" s="6"/>
      <c r="E256" s="6"/>
      <c r="F256" s="6"/>
      <c r="G256" s="100"/>
      <c r="H256" s="100"/>
      <c r="I256" s="6"/>
      <c r="J256" s="8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5.6">
      <c r="A257" s="6"/>
      <c r="B257" s="6"/>
      <c r="C257" s="6"/>
      <c r="D257" s="6"/>
      <c r="E257" s="6"/>
      <c r="F257" s="6"/>
      <c r="G257" s="100"/>
      <c r="H257" s="100"/>
      <c r="I257" s="6"/>
      <c r="J257" s="8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5.6">
      <c r="A258" s="6"/>
      <c r="B258" s="6"/>
      <c r="C258" s="6"/>
      <c r="D258" s="6"/>
      <c r="E258" s="6"/>
      <c r="F258" s="6"/>
      <c r="G258" s="100"/>
      <c r="H258" s="100"/>
      <c r="I258" s="6"/>
      <c r="J258" s="8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5.6">
      <c r="A259" s="6"/>
      <c r="B259" s="6"/>
      <c r="C259" s="6"/>
      <c r="D259" s="6"/>
      <c r="E259" s="6"/>
      <c r="F259" s="6"/>
      <c r="G259" s="100"/>
      <c r="H259" s="100"/>
      <c r="I259" s="6"/>
      <c r="J259" s="8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5.6">
      <c r="A260" s="6"/>
      <c r="B260" s="6"/>
      <c r="C260" s="6"/>
      <c r="D260" s="6"/>
      <c r="E260" s="6"/>
      <c r="F260" s="6"/>
      <c r="G260" s="100"/>
      <c r="H260" s="100"/>
      <c r="I260" s="6"/>
      <c r="J260" s="8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5.6">
      <c r="A261" s="6"/>
      <c r="B261" s="6"/>
      <c r="C261" s="6"/>
      <c r="D261" s="6"/>
      <c r="E261" s="6"/>
      <c r="F261" s="6"/>
      <c r="G261" s="100"/>
      <c r="H261" s="100"/>
      <c r="I261" s="6"/>
      <c r="J261" s="8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5.6">
      <c r="A262" s="6"/>
      <c r="B262" s="6"/>
      <c r="C262" s="6"/>
      <c r="D262" s="6"/>
      <c r="E262" s="6"/>
      <c r="F262" s="6"/>
      <c r="G262" s="100"/>
      <c r="H262" s="100"/>
      <c r="I262" s="6"/>
      <c r="J262" s="8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5.6">
      <c r="A263" s="6"/>
      <c r="B263" s="6"/>
      <c r="C263" s="6"/>
      <c r="D263" s="6"/>
      <c r="E263" s="6"/>
      <c r="F263" s="6"/>
      <c r="G263" s="100"/>
      <c r="H263" s="100"/>
      <c r="I263" s="6"/>
      <c r="J263" s="8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5.6">
      <c r="A264" s="6"/>
      <c r="B264" s="6"/>
      <c r="C264" s="6"/>
      <c r="D264" s="6"/>
      <c r="E264" s="6"/>
      <c r="F264" s="6"/>
      <c r="G264" s="100"/>
      <c r="H264" s="100"/>
      <c r="I264" s="6"/>
      <c r="J264" s="8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5.6">
      <c r="A265" s="6"/>
      <c r="B265" s="6"/>
      <c r="C265" s="6"/>
      <c r="D265" s="6"/>
      <c r="E265" s="6"/>
      <c r="F265" s="6"/>
      <c r="G265" s="100"/>
      <c r="H265" s="100"/>
      <c r="I265" s="6"/>
      <c r="J265" s="8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5.6">
      <c r="A266" s="6"/>
      <c r="B266" s="6"/>
      <c r="C266" s="6"/>
      <c r="D266" s="6"/>
      <c r="E266" s="6"/>
      <c r="F266" s="6"/>
      <c r="G266" s="100"/>
      <c r="H266" s="100"/>
      <c r="I266" s="6"/>
      <c r="J266" s="8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5.6">
      <c r="A267" s="6"/>
      <c r="B267" s="6"/>
      <c r="C267" s="6"/>
      <c r="D267" s="6"/>
      <c r="E267" s="6"/>
      <c r="F267" s="6"/>
      <c r="G267" s="100"/>
      <c r="H267" s="100"/>
      <c r="I267" s="6"/>
      <c r="J267" s="8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5.6">
      <c r="A268" s="6"/>
      <c r="B268" s="6"/>
      <c r="C268" s="6"/>
      <c r="D268" s="6"/>
      <c r="E268" s="6"/>
      <c r="F268" s="6"/>
      <c r="G268" s="100"/>
      <c r="H268" s="100"/>
      <c r="I268" s="6"/>
      <c r="J268" s="8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5.6">
      <c r="A269" s="6"/>
      <c r="B269" s="6"/>
      <c r="C269" s="6"/>
      <c r="D269" s="6"/>
      <c r="E269" s="6"/>
      <c r="F269" s="6"/>
      <c r="G269" s="100"/>
      <c r="H269" s="100"/>
      <c r="I269" s="6"/>
      <c r="J269" s="8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5.6">
      <c r="A270" s="6"/>
      <c r="B270" s="6"/>
      <c r="C270" s="6"/>
      <c r="D270" s="6"/>
      <c r="E270" s="6"/>
      <c r="F270" s="6"/>
      <c r="G270" s="100"/>
      <c r="H270" s="100"/>
      <c r="I270" s="6"/>
      <c r="J270" s="8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5.6">
      <c r="A271" s="6"/>
      <c r="B271" s="6"/>
      <c r="C271" s="6"/>
      <c r="D271" s="6"/>
      <c r="E271" s="6"/>
      <c r="F271" s="6"/>
      <c r="G271" s="100"/>
      <c r="H271" s="100"/>
      <c r="I271" s="6"/>
      <c r="J271" s="8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5.6">
      <c r="A272" s="6"/>
      <c r="B272" s="6"/>
      <c r="C272" s="6"/>
      <c r="D272" s="6"/>
      <c r="E272" s="6"/>
      <c r="F272" s="6"/>
      <c r="G272" s="100"/>
      <c r="H272" s="100"/>
      <c r="I272" s="6"/>
      <c r="J272" s="8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5.6">
      <c r="A273" s="6"/>
      <c r="B273" s="6"/>
      <c r="C273" s="6"/>
      <c r="D273" s="6"/>
      <c r="E273" s="6"/>
      <c r="F273" s="6"/>
      <c r="G273" s="100"/>
      <c r="H273" s="100"/>
      <c r="I273" s="6"/>
      <c r="J273" s="8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5.6">
      <c r="A274" s="6"/>
      <c r="B274" s="6"/>
      <c r="C274" s="6"/>
      <c r="D274" s="6"/>
      <c r="E274" s="6"/>
      <c r="F274" s="6"/>
      <c r="G274" s="100"/>
      <c r="H274" s="100"/>
      <c r="I274" s="6"/>
      <c r="J274" s="8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5.6">
      <c r="A275" s="6"/>
      <c r="B275" s="6"/>
      <c r="C275" s="6"/>
      <c r="D275" s="6"/>
      <c r="E275" s="6"/>
      <c r="F275" s="6"/>
      <c r="G275" s="100"/>
      <c r="H275" s="100"/>
      <c r="I275" s="6"/>
      <c r="J275" s="8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5.6">
      <c r="A276" s="6"/>
      <c r="B276" s="6"/>
      <c r="C276" s="6"/>
      <c r="D276" s="6"/>
      <c r="E276" s="6"/>
      <c r="F276" s="6"/>
      <c r="G276" s="100"/>
      <c r="H276" s="100"/>
      <c r="I276" s="6"/>
      <c r="J276" s="8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5.6">
      <c r="A277" s="6"/>
      <c r="B277" s="6"/>
      <c r="C277" s="6"/>
      <c r="D277" s="6"/>
      <c r="E277" s="6"/>
      <c r="F277" s="6"/>
      <c r="G277" s="100"/>
      <c r="H277" s="100"/>
      <c r="I277" s="6"/>
      <c r="J277" s="8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5.6">
      <c r="A278" s="6"/>
      <c r="B278" s="6"/>
      <c r="C278" s="6"/>
      <c r="D278" s="6"/>
      <c r="E278" s="6"/>
      <c r="F278" s="6"/>
      <c r="G278" s="100"/>
      <c r="H278" s="100"/>
      <c r="I278" s="6"/>
      <c r="J278" s="8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5.6">
      <c r="A279" s="6"/>
      <c r="B279" s="6"/>
      <c r="C279" s="6"/>
      <c r="D279" s="6"/>
      <c r="E279" s="6"/>
      <c r="F279" s="6"/>
      <c r="G279" s="100"/>
      <c r="H279" s="100"/>
      <c r="I279" s="6"/>
      <c r="J279" s="8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5.6">
      <c r="A280" s="6"/>
      <c r="B280" s="6"/>
      <c r="C280" s="6"/>
      <c r="D280" s="6"/>
      <c r="E280" s="6"/>
      <c r="F280" s="6"/>
      <c r="G280" s="100"/>
      <c r="H280" s="100"/>
      <c r="I280" s="6"/>
      <c r="J280" s="8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5.6">
      <c r="A281" s="6"/>
      <c r="B281" s="6"/>
      <c r="C281" s="6"/>
      <c r="D281" s="6"/>
      <c r="E281" s="6"/>
      <c r="F281" s="6"/>
      <c r="G281" s="100"/>
      <c r="H281" s="100"/>
      <c r="I281" s="6"/>
      <c r="J281" s="8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5.6">
      <c r="A282" s="6"/>
      <c r="B282" s="6"/>
      <c r="C282" s="6"/>
      <c r="D282" s="6"/>
      <c r="E282" s="6"/>
      <c r="F282" s="6"/>
      <c r="G282" s="100"/>
      <c r="H282" s="100"/>
      <c r="I282" s="6"/>
      <c r="J282" s="8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5.6">
      <c r="A283" s="6"/>
      <c r="B283" s="6"/>
      <c r="C283" s="6"/>
      <c r="D283" s="6"/>
      <c r="E283" s="6"/>
      <c r="F283" s="6"/>
      <c r="G283" s="100"/>
      <c r="H283" s="100"/>
      <c r="I283" s="6"/>
      <c r="J283" s="8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5.6">
      <c r="A284" s="6"/>
      <c r="B284" s="6"/>
      <c r="C284" s="6"/>
      <c r="D284" s="6"/>
      <c r="E284" s="6"/>
      <c r="F284" s="6"/>
      <c r="G284" s="100"/>
      <c r="H284" s="100"/>
      <c r="I284" s="6"/>
      <c r="J284" s="8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5.6">
      <c r="A285" s="6"/>
      <c r="B285" s="6"/>
      <c r="C285" s="6"/>
      <c r="D285" s="6"/>
      <c r="E285" s="6"/>
      <c r="F285" s="6"/>
      <c r="G285" s="100"/>
      <c r="H285" s="100"/>
      <c r="I285" s="6"/>
      <c r="J285" s="8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5.6">
      <c r="A286" s="6"/>
      <c r="B286" s="6"/>
      <c r="C286" s="6"/>
      <c r="D286" s="6"/>
      <c r="E286" s="6"/>
      <c r="F286" s="6"/>
      <c r="G286" s="100"/>
      <c r="H286" s="100"/>
      <c r="I286" s="6"/>
      <c r="J286" s="8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5.6">
      <c r="A287" s="6"/>
      <c r="B287" s="6"/>
      <c r="C287" s="6"/>
      <c r="D287" s="6"/>
      <c r="E287" s="6"/>
      <c r="F287" s="6"/>
      <c r="G287" s="100"/>
      <c r="H287" s="100"/>
      <c r="I287" s="6"/>
      <c r="J287" s="8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5.6">
      <c r="A288" s="6"/>
      <c r="B288" s="6"/>
      <c r="C288" s="6"/>
      <c r="D288" s="6"/>
      <c r="E288" s="6"/>
      <c r="F288" s="6"/>
      <c r="G288" s="100"/>
      <c r="H288" s="100"/>
      <c r="I288" s="6"/>
      <c r="J288" s="8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5.6">
      <c r="A289" s="6"/>
      <c r="B289" s="6"/>
      <c r="C289" s="6"/>
      <c r="D289" s="6"/>
      <c r="E289" s="6"/>
      <c r="F289" s="6"/>
      <c r="G289" s="100"/>
      <c r="H289" s="100"/>
      <c r="I289" s="6"/>
      <c r="J289" s="8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5.6">
      <c r="A290" s="6"/>
      <c r="B290" s="6"/>
      <c r="C290" s="6"/>
      <c r="D290" s="6"/>
      <c r="E290" s="6"/>
      <c r="F290" s="6"/>
      <c r="G290" s="100"/>
      <c r="H290" s="100"/>
      <c r="I290" s="6"/>
      <c r="J290" s="8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5.6">
      <c r="A291" s="6"/>
      <c r="B291" s="6"/>
      <c r="C291" s="6"/>
      <c r="D291" s="6"/>
      <c r="E291" s="6"/>
      <c r="F291" s="6"/>
      <c r="G291" s="100"/>
      <c r="H291" s="100"/>
      <c r="I291" s="6"/>
      <c r="J291" s="8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5.6">
      <c r="A292" s="6"/>
      <c r="B292" s="6"/>
      <c r="C292" s="6"/>
      <c r="D292" s="6"/>
      <c r="E292" s="6"/>
      <c r="F292" s="6"/>
      <c r="G292" s="100"/>
      <c r="H292" s="100"/>
      <c r="I292" s="6"/>
      <c r="J292" s="8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5.6">
      <c r="A293" s="6"/>
      <c r="B293" s="6"/>
      <c r="C293" s="6"/>
      <c r="D293" s="6"/>
      <c r="E293" s="6"/>
      <c r="F293" s="6"/>
      <c r="G293" s="100"/>
      <c r="H293" s="100"/>
      <c r="I293" s="6"/>
      <c r="J293" s="8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5.6">
      <c r="A294" s="6"/>
      <c r="B294" s="6"/>
      <c r="C294" s="6"/>
      <c r="D294" s="6"/>
      <c r="E294" s="6"/>
      <c r="F294" s="6"/>
      <c r="G294" s="100"/>
      <c r="H294" s="100"/>
      <c r="I294" s="6"/>
      <c r="J294" s="8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5.6">
      <c r="A295" s="6"/>
      <c r="B295" s="6"/>
      <c r="C295" s="6"/>
      <c r="D295" s="6"/>
      <c r="E295" s="6"/>
      <c r="F295" s="6"/>
      <c r="G295" s="100"/>
      <c r="H295" s="100"/>
      <c r="I295" s="6"/>
      <c r="J295" s="8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5.6">
      <c r="A296" s="6"/>
      <c r="B296" s="6"/>
      <c r="C296" s="6"/>
      <c r="D296" s="6"/>
      <c r="E296" s="6"/>
      <c r="F296" s="6"/>
      <c r="G296" s="100"/>
      <c r="H296" s="100"/>
      <c r="I296" s="6"/>
      <c r="J296" s="8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5.6">
      <c r="A297" s="6"/>
      <c r="B297" s="6"/>
      <c r="C297" s="6"/>
      <c r="D297" s="6"/>
      <c r="E297" s="6"/>
      <c r="F297" s="6"/>
      <c r="G297" s="100"/>
      <c r="H297" s="100"/>
      <c r="I297" s="6"/>
      <c r="J297" s="8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5.6">
      <c r="A298" s="6"/>
      <c r="B298" s="6"/>
      <c r="C298" s="6"/>
      <c r="D298" s="6"/>
      <c r="E298" s="6"/>
      <c r="F298" s="6"/>
      <c r="G298" s="100"/>
      <c r="H298" s="100"/>
      <c r="I298" s="6"/>
      <c r="J298" s="8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5.6">
      <c r="A299" s="6"/>
      <c r="B299" s="6"/>
      <c r="C299" s="6"/>
      <c r="D299" s="6"/>
      <c r="E299" s="6"/>
      <c r="F299" s="6"/>
      <c r="G299" s="100"/>
      <c r="H299" s="100"/>
      <c r="I299" s="6"/>
      <c r="J299" s="8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5.6">
      <c r="A300" s="6"/>
      <c r="B300" s="6"/>
      <c r="C300" s="6"/>
      <c r="D300" s="6"/>
      <c r="E300" s="6"/>
      <c r="F300" s="6"/>
      <c r="G300" s="100"/>
      <c r="H300" s="100"/>
      <c r="I300" s="6"/>
      <c r="J300" s="8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5.6">
      <c r="A301" s="6"/>
      <c r="B301" s="6"/>
      <c r="C301" s="6"/>
      <c r="D301" s="6"/>
      <c r="E301" s="6"/>
      <c r="F301" s="6"/>
      <c r="G301" s="100"/>
      <c r="H301" s="100"/>
      <c r="I301" s="6"/>
      <c r="J301" s="8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5.6">
      <c r="A302" s="6"/>
      <c r="B302" s="6"/>
      <c r="C302" s="6"/>
      <c r="D302" s="6"/>
      <c r="E302" s="6"/>
      <c r="F302" s="6"/>
      <c r="G302" s="100"/>
      <c r="H302" s="100"/>
      <c r="I302" s="6"/>
      <c r="J302" s="8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5.6">
      <c r="A303" s="6"/>
      <c r="B303" s="6"/>
      <c r="C303" s="6"/>
      <c r="D303" s="6"/>
      <c r="E303" s="6"/>
      <c r="F303" s="6"/>
      <c r="G303" s="100"/>
      <c r="H303" s="100"/>
      <c r="I303" s="6"/>
      <c r="J303" s="8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5.6">
      <c r="A304" s="6"/>
      <c r="B304" s="6"/>
      <c r="C304" s="6"/>
      <c r="D304" s="6"/>
      <c r="E304" s="6"/>
      <c r="F304" s="6"/>
      <c r="G304" s="100"/>
      <c r="H304" s="100"/>
      <c r="I304" s="6"/>
      <c r="J304" s="8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5.6">
      <c r="A305" s="6"/>
      <c r="B305" s="6"/>
      <c r="C305" s="6"/>
      <c r="D305" s="6"/>
      <c r="E305" s="6"/>
      <c r="F305" s="6"/>
      <c r="G305" s="100"/>
      <c r="H305" s="100"/>
      <c r="I305" s="6"/>
      <c r="J305" s="8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5.6">
      <c r="A306" s="6"/>
      <c r="B306" s="6"/>
      <c r="C306" s="6"/>
      <c r="D306" s="6"/>
      <c r="E306" s="6"/>
      <c r="F306" s="6"/>
      <c r="G306" s="100"/>
      <c r="H306" s="100"/>
      <c r="I306" s="6"/>
      <c r="J306" s="8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5.6">
      <c r="A307" s="6"/>
      <c r="B307" s="6"/>
      <c r="C307" s="6"/>
      <c r="D307" s="6"/>
      <c r="E307" s="6"/>
      <c r="F307" s="6"/>
      <c r="G307" s="100"/>
      <c r="H307" s="100"/>
      <c r="I307" s="6"/>
      <c r="J307" s="8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5.6">
      <c r="A308" s="6"/>
      <c r="B308" s="6"/>
      <c r="C308" s="6"/>
      <c r="D308" s="6"/>
      <c r="E308" s="6"/>
      <c r="F308" s="6"/>
      <c r="G308" s="100"/>
      <c r="H308" s="100"/>
      <c r="I308" s="6"/>
      <c r="J308" s="8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5.6">
      <c r="A309" s="6"/>
      <c r="B309" s="6"/>
      <c r="C309" s="6"/>
      <c r="D309" s="6"/>
      <c r="E309" s="6"/>
      <c r="F309" s="6"/>
      <c r="G309" s="100"/>
      <c r="H309" s="100"/>
      <c r="I309" s="6"/>
      <c r="J309" s="8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5.6">
      <c r="A310" s="6"/>
      <c r="B310" s="6"/>
      <c r="C310" s="6"/>
      <c r="D310" s="6"/>
      <c r="E310" s="6"/>
      <c r="F310" s="6"/>
      <c r="G310" s="100"/>
      <c r="H310" s="100"/>
      <c r="I310" s="6"/>
      <c r="J310" s="8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5.6">
      <c r="A311" s="6"/>
      <c r="B311" s="6"/>
      <c r="C311" s="6"/>
      <c r="D311" s="6"/>
      <c r="E311" s="6"/>
      <c r="F311" s="6"/>
      <c r="G311" s="100"/>
      <c r="H311" s="100"/>
      <c r="I311" s="6"/>
      <c r="J311" s="8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5.6">
      <c r="A312" s="6"/>
      <c r="B312" s="6"/>
      <c r="C312" s="6"/>
      <c r="D312" s="6"/>
      <c r="E312" s="6"/>
      <c r="F312" s="6"/>
      <c r="G312" s="100"/>
      <c r="H312" s="100"/>
      <c r="I312" s="6"/>
      <c r="J312" s="8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5.6">
      <c r="A313" s="6"/>
      <c r="B313" s="6"/>
      <c r="C313" s="6"/>
      <c r="D313" s="6"/>
      <c r="E313" s="6"/>
      <c r="F313" s="6"/>
      <c r="G313" s="100"/>
      <c r="H313" s="100"/>
      <c r="I313" s="6"/>
      <c r="J313" s="8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5.6">
      <c r="A314" s="6"/>
      <c r="B314" s="6"/>
      <c r="C314" s="6"/>
      <c r="D314" s="6"/>
      <c r="E314" s="6"/>
      <c r="F314" s="6"/>
      <c r="G314" s="100"/>
      <c r="H314" s="100"/>
      <c r="I314" s="6"/>
      <c r="J314" s="8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5.6">
      <c r="A315" s="6"/>
      <c r="B315" s="6"/>
      <c r="C315" s="6"/>
      <c r="D315" s="6"/>
      <c r="E315" s="6"/>
      <c r="F315" s="6"/>
      <c r="G315" s="100"/>
      <c r="H315" s="100"/>
      <c r="I315" s="6"/>
      <c r="J315" s="8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5.6">
      <c r="A316" s="6"/>
      <c r="B316" s="6"/>
      <c r="C316" s="6"/>
      <c r="D316" s="6"/>
      <c r="E316" s="6"/>
      <c r="F316" s="6"/>
      <c r="G316" s="100"/>
      <c r="H316" s="100"/>
      <c r="I316" s="6"/>
      <c r="J316" s="8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5.6">
      <c r="A317" s="6"/>
      <c r="B317" s="6"/>
      <c r="C317" s="6"/>
      <c r="D317" s="6"/>
      <c r="E317" s="6"/>
      <c r="F317" s="6"/>
      <c r="G317" s="100"/>
      <c r="H317" s="100"/>
      <c r="I317" s="6"/>
      <c r="J317" s="8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5.6">
      <c r="A318" s="6"/>
      <c r="B318" s="6"/>
      <c r="C318" s="6"/>
      <c r="D318" s="6"/>
      <c r="E318" s="6"/>
      <c r="F318" s="6"/>
      <c r="G318" s="100"/>
      <c r="H318" s="100"/>
      <c r="I318" s="6"/>
      <c r="J318" s="8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5.6">
      <c r="A319" s="6"/>
      <c r="B319" s="6"/>
      <c r="C319" s="6"/>
      <c r="D319" s="6"/>
      <c r="E319" s="6"/>
      <c r="F319" s="6"/>
      <c r="G319" s="100"/>
      <c r="H319" s="100"/>
      <c r="I319" s="6"/>
      <c r="J319" s="8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5.6">
      <c r="A320" s="6"/>
      <c r="B320" s="6"/>
      <c r="C320" s="6"/>
      <c r="D320" s="6"/>
      <c r="E320" s="6"/>
      <c r="F320" s="6"/>
      <c r="G320" s="100"/>
      <c r="H320" s="100"/>
      <c r="I320" s="6"/>
      <c r="J320" s="8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5.6">
      <c r="A321" s="6"/>
      <c r="B321" s="6"/>
      <c r="C321" s="6"/>
      <c r="D321" s="6"/>
      <c r="E321" s="6"/>
      <c r="F321" s="6"/>
      <c r="G321" s="100"/>
      <c r="H321" s="100"/>
      <c r="I321" s="6"/>
      <c r="J321" s="8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5.6">
      <c r="A322" s="6"/>
      <c r="B322" s="6"/>
      <c r="C322" s="6"/>
      <c r="D322" s="6"/>
      <c r="E322" s="6"/>
      <c r="F322" s="6"/>
      <c r="G322" s="100"/>
      <c r="H322" s="100"/>
      <c r="I322" s="6"/>
      <c r="J322" s="8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5.6">
      <c r="A323" s="6"/>
      <c r="B323" s="6"/>
      <c r="C323" s="6"/>
      <c r="D323" s="6"/>
      <c r="E323" s="6"/>
      <c r="F323" s="6"/>
      <c r="G323" s="100"/>
      <c r="H323" s="100"/>
      <c r="I323" s="6"/>
      <c r="J323" s="8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5.6">
      <c r="A324" s="6"/>
      <c r="B324" s="6"/>
      <c r="C324" s="6"/>
      <c r="D324" s="6"/>
      <c r="E324" s="6"/>
      <c r="F324" s="6"/>
      <c r="G324" s="100"/>
      <c r="H324" s="100"/>
      <c r="I324" s="6"/>
      <c r="J324" s="8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5.6">
      <c r="A325" s="6"/>
      <c r="B325" s="6"/>
      <c r="C325" s="6"/>
      <c r="D325" s="6"/>
      <c r="E325" s="6"/>
      <c r="F325" s="6"/>
      <c r="G325" s="100"/>
      <c r="H325" s="100"/>
      <c r="I325" s="6"/>
      <c r="J325" s="8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5.6">
      <c r="A326" s="6"/>
      <c r="B326" s="6"/>
      <c r="C326" s="6"/>
      <c r="D326" s="6"/>
      <c r="E326" s="6"/>
      <c r="F326" s="6"/>
      <c r="G326" s="100"/>
      <c r="H326" s="100"/>
      <c r="I326" s="6"/>
      <c r="J326" s="8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5.6">
      <c r="A327" s="6"/>
      <c r="B327" s="6"/>
      <c r="C327" s="6"/>
      <c r="D327" s="6"/>
      <c r="E327" s="6"/>
      <c r="F327" s="6"/>
      <c r="G327" s="100"/>
      <c r="H327" s="100"/>
      <c r="I327" s="6"/>
      <c r="J327" s="8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5.6">
      <c r="A328" s="6"/>
      <c r="B328" s="6"/>
      <c r="C328" s="6"/>
      <c r="D328" s="6"/>
      <c r="E328" s="6"/>
      <c r="F328" s="6"/>
      <c r="G328" s="100"/>
      <c r="H328" s="100"/>
      <c r="I328" s="6"/>
      <c r="J328" s="8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5.6">
      <c r="A329" s="6"/>
      <c r="B329" s="6"/>
      <c r="C329" s="6"/>
      <c r="D329" s="6"/>
      <c r="E329" s="6"/>
      <c r="F329" s="6"/>
      <c r="G329" s="100"/>
      <c r="H329" s="100"/>
      <c r="I329" s="6"/>
      <c r="J329" s="8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5.6">
      <c r="A330" s="6"/>
      <c r="B330" s="6"/>
      <c r="C330" s="6"/>
      <c r="D330" s="6"/>
      <c r="E330" s="6"/>
      <c r="F330" s="6"/>
      <c r="G330" s="100"/>
      <c r="H330" s="100"/>
      <c r="I330" s="6"/>
      <c r="J330" s="8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5.6">
      <c r="A331" s="6"/>
      <c r="B331" s="6"/>
      <c r="C331" s="6"/>
      <c r="D331" s="6"/>
      <c r="E331" s="6"/>
      <c r="F331" s="6"/>
      <c r="G331" s="100"/>
      <c r="H331" s="100"/>
      <c r="I331" s="6"/>
      <c r="J331" s="8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5.6">
      <c r="A332" s="6"/>
      <c r="B332" s="6"/>
      <c r="C332" s="6"/>
      <c r="D332" s="6"/>
      <c r="E332" s="6"/>
      <c r="F332" s="6"/>
      <c r="G332" s="100"/>
      <c r="H332" s="100"/>
      <c r="I332" s="6"/>
      <c r="J332" s="8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5.6">
      <c r="A333" s="6"/>
      <c r="B333" s="6"/>
      <c r="C333" s="6"/>
      <c r="D333" s="6"/>
      <c r="E333" s="6"/>
      <c r="F333" s="6"/>
      <c r="G333" s="100"/>
      <c r="H333" s="100"/>
      <c r="I333" s="6"/>
      <c r="J333" s="8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15.6">
      <c r="A334" s="6"/>
      <c r="B334" s="6"/>
      <c r="C334" s="6"/>
      <c r="D334" s="6"/>
      <c r="E334" s="6"/>
      <c r="F334" s="6"/>
      <c r="G334" s="100"/>
      <c r="H334" s="100"/>
      <c r="I334" s="6"/>
      <c r="J334" s="8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5.6">
      <c r="A335" s="6"/>
      <c r="B335" s="6"/>
      <c r="C335" s="6"/>
      <c r="D335" s="6"/>
      <c r="E335" s="6"/>
      <c r="F335" s="6"/>
      <c r="G335" s="100"/>
      <c r="H335" s="100"/>
      <c r="I335" s="6"/>
      <c r="J335" s="8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5.6">
      <c r="A336" s="6"/>
      <c r="B336" s="6"/>
      <c r="C336" s="6"/>
      <c r="D336" s="6"/>
      <c r="E336" s="6"/>
      <c r="F336" s="6"/>
      <c r="G336" s="100"/>
      <c r="H336" s="100"/>
      <c r="I336" s="6"/>
      <c r="J336" s="8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5.6">
      <c r="A337" s="6"/>
      <c r="B337" s="6"/>
      <c r="C337" s="6"/>
      <c r="D337" s="6"/>
      <c r="E337" s="6"/>
      <c r="F337" s="6"/>
      <c r="G337" s="100"/>
      <c r="H337" s="100"/>
      <c r="I337" s="6"/>
      <c r="J337" s="8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5.6">
      <c r="A338" s="6"/>
      <c r="B338" s="6"/>
      <c r="C338" s="6"/>
      <c r="D338" s="6"/>
      <c r="E338" s="6"/>
      <c r="F338" s="6"/>
      <c r="G338" s="100"/>
      <c r="H338" s="100"/>
      <c r="I338" s="6"/>
      <c r="J338" s="8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5.6">
      <c r="A339" s="6"/>
      <c r="B339" s="6"/>
      <c r="C339" s="6"/>
      <c r="D339" s="6"/>
      <c r="E339" s="6"/>
      <c r="F339" s="6"/>
      <c r="G339" s="100"/>
      <c r="H339" s="100"/>
      <c r="I339" s="6"/>
      <c r="J339" s="8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5.6">
      <c r="A340" s="6"/>
      <c r="B340" s="6"/>
      <c r="C340" s="6"/>
      <c r="D340" s="6"/>
      <c r="E340" s="6"/>
      <c r="F340" s="6"/>
      <c r="G340" s="100"/>
      <c r="H340" s="100"/>
      <c r="I340" s="6"/>
      <c r="J340" s="8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5.6">
      <c r="A341" s="6"/>
      <c r="B341" s="6"/>
      <c r="C341" s="6"/>
      <c r="D341" s="6"/>
      <c r="E341" s="6"/>
      <c r="F341" s="6"/>
      <c r="G341" s="100"/>
      <c r="H341" s="100"/>
      <c r="I341" s="6"/>
      <c r="J341" s="8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5.6">
      <c r="A342" s="6"/>
      <c r="B342" s="6"/>
      <c r="C342" s="6"/>
      <c r="D342" s="6"/>
      <c r="E342" s="6"/>
      <c r="F342" s="6"/>
      <c r="G342" s="100"/>
      <c r="H342" s="100"/>
      <c r="I342" s="6"/>
      <c r="J342" s="8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5.6">
      <c r="A343" s="6"/>
      <c r="B343" s="6"/>
      <c r="C343" s="6"/>
      <c r="D343" s="6"/>
      <c r="E343" s="6"/>
      <c r="F343" s="6"/>
      <c r="G343" s="100"/>
      <c r="H343" s="100"/>
      <c r="I343" s="6"/>
      <c r="J343" s="8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5.6">
      <c r="A344" s="6"/>
      <c r="B344" s="6"/>
      <c r="C344" s="6"/>
      <c r="D344" s="6"/>
      <c r="E344" s="6"/>
      <c r="F344" s="6"/>
      <c r="G344" s="100"/>
      <c r="H344" s="100"/>
      <c r="I344" s="6"/>
      <c r="J344" s="8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5.6">
      <c r="A345" s="6"/>
      <c r="B345" s="6"/>
      <c r="C345" s="6"/>
      <c r="D345" s="6"/>
      <c r="E345" s="6"/>
      <c r="F345" s="6"/>
      <c r="G345" s="100"/>
      <c r="H345" s="100"/>
      <c r="I345" s="6"/>
      <c r="J345" s="8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5.6">
      <c r="A346" s="6"/>
      <c r="B346" s="6"/>
      <c r="C346" s="6"/>
      <c r="D346" s="6"/>
      <c r="E346" s="6"/>
      <c r="F346" s="6"/>
      <c r="G346" s="100"/>
      <c r="H346" s="100"/>
      <c r="I346" s="6"/>
      <c r="J346" s="8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5.6">
      <c r="A347" s="6"/>
      <c r="B347" s="6"/>
      <c r="C347" s="6"/>
      <c r="D347" s="6"/>
      <c r="E347" s="6"/>
      <c r="F347" s="6"/>
      <c r="G347" s="100"/>
      <c r="H347" s="100"/>
      <c r="I347" s="6"/>
      <c r="J347" s="8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5.6">
      <c r="A348" s="6"/>
      <c r="B348" s="6"/>
      <c r="C348" s="6"/>
      <c r="D348" s="6"/>
      <c r="E348" s="6"/>
      <c r="F348" s="6"/>
      <c r="G348" s="100"/>
      <c r="H348" s="100"/>
      <c r="I348" s="6"/>
      <c r="J348" s="8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5.6">
      <c r="A349" s="6"/>
      <c r="B349" s="6"/>
      <c r="C349" s="6"/>
      <c r="D349" s="6"/>
      <c r="E349" s="6"/>
      <c r="F349" s="6"/>
      <c r="G349" s="100"/>
      <c r="H349" s="100"/>
      <c r="I349" s="6"/>
      <c r="J349" s="8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5.6">
      <c r="A350" s="6"/>
      <c r="B350" s="6"/>
      <c r="C350" s="6"/>
      <c r="D350" s="6"/>
      <c r="E350" s="6"/>
      <c r="F350" s="6"/>
      <c r="G350" s="100"/>
      <c r="H350" s="100"/>
      <c r="I350" s="6"/>
      <c r="J350" s="8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5.6">
      <c r="A351" s="6"/>
      <c r="B351" s="6"/>
      <c r="C351" s="6"/>
      <c r="D351" s="6"/>
      <c r="E351" s="6"/>
      <c r="F351" s="6"/>
      <c r="G351" s="100"/>
      <c r="H351" s="100"/>
      <c r="I351" s="6"/>
      <c r="J351" s="8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5.6">
      <c r="A352" s="6"/>
      <c r="B352" s="6"/>
      <c r="C352" s="6"/>
      <c r="D352" s="6"/>
      <c r="E352" s="6"/>
      <c r="F352" s="6"/>
      <c r="G352" s="100"/>
      <c r="H352" s="100"/>
      <c r="I352" s="6"/>
      <c r="J352" s="8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5.6">
      <c r="A353" s="6"/>
      <c r="B353" s="6"/>
      <c r="C353" s="6"/>
      <c r="D353" s="6"/>
      <c r="E353" s="6"/>
      <c r="F353" s="6"/>
      <c r="G353" s="100"/>
      <c r="H353" s="100"/>
      <c r="I353" s="6"/>
      <c r="J353" s="8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5.6">
      <c r="A354" s="6"/>
      <c r="B354" s="6"/>
      <c r="C354" s="6"/>
      <c r="D354" s="6"/>
      <c r="E354" s="6"/>
      <c r="F354" s="6"/>
      <c r="G354" s="100"/>
      <c r="H354" s="100"/>
      <c r="I354" s="6"/>
      <c r="J354" s="8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5.6">
      <c r="A355" s="6"/>
      <c r="B355" s="6"/>
      <c r="C355" s="6"/>
      <c r="D355" s="6"/>
      <c r="E355" s="6"/>
      <c r="F355" s="6"/>
      <c r="G355" s="100"/>
      <c r="H355" s="100"/>
      <c r="I355" s="6"/>
      <c r="J355" s="8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5.6">
      <c r="A356" s="6"/>
      <c r="B356" s="6"/>
      <c r="C356" s="6"/>
      <c r="D356" s="6"/>
      <c r="E356" s="6"/>
      <c r="F356" s="6"/>
      <c r="G356" s="100"/>
      <c r="H356" s="100"/>
      <c r="I356" s="6"/>
      <c r="J356" s="8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5.6">
      <c r="A357" s="6"/>
      <c r="B357" s="6"/>
      <c r="C357" s="6"/>
      <c r="D357" s="6"/>
      <c r="E357" s="6"/>
      <c r="F357" s="6"/>
      <c r="G357" s="100"/>
      <c r="H357" s="100"/>
      <c r="I357" s="6"/>
      <c r="J357" s="8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5.6">
      <c r="A358" s="6"/>
      <c r="B358" s="6"/>
      <c r="C358" s="6"/>
      <c r="D358" s="6"/>
      <c r="E358" s="6"/>
      <c r="F358" s="6"/>
      <c r="G358" s="100"/>
      <c r="H358" s="100"/>
      <c r="I358" s="6"/>
      <c r="J358" s="8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5.6">
      <c r="A359" s="6"/>
      <c r="B359" s="6"/>
      <c r="C359" s="6"/>
      <c r="D359" s="6"/>
      <c r="E359" s="6"/>
      <c r="F359" s="6"/>
      <c r="G359" s="100"/>
      <c r="H359" s="100"/>
      <c r="I359" s="6"/>
      <c r="J359" s="8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5.6">
      <c r="A360" s="6"/>
      <c r="B360" s="6"/>
      <c r="C360" s="6"/>
      <c r="D360" s="6"/>
      <c r="E360" s="6"/>
      <c r="F360" s="6"/>
      <c r="G360" s="100"/>
      <c r="H360" s="100"/>
      <c r="I360" s="6"/>
      <c r="J360" s="8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5.6">
      <c r="A361" s="6"/>
      <c r="B361" s="6"/>
      <c r="C361" s="6"/>
      <c r="D361" s="6"/>
      <c r="E361" s="6"/>
      <c r="F361" s="6"/>
      <c r="G361" s="100"/>
      <c r="H361" s="100"/>
      <c r="I361" s="6"/>
      <c r="J361" s="8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5.6">
      <c r="A362" s="6"/>
      <c r="B362" s="6"/>
      <c r="C362" s="6"/>
      <c r="D362" s="6"/>
      <c r="E362" s="6"/>
      <c r="F362" s="6"/>
      <c r="G362" s="100"/>
      <c r="H362" s="100"/>
      <c r="I362" s="6"/>
      <c r="J362" s="8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5.6">
      <c r="A363" s="6"/>
      <c r="B363" s="6"/>
      <c r="C363" s="6"/>
      <c r="D363" s="6"/>
      <c r="E363" s="6"/>
      <c r="F363" s="6"/>
      <c r="G363" s="100"/>
      <c r="H363" s="100"/>
      <c r="I363" s="6"/>
      <c r="J363" s="8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5.6">
      <c r="A364" s="6"/>
      <c r="B364" s="6"/>
      <c r="C364" s="6"/>
      <c r="D364" s="6"/>
      <c r="E364" s="6"/>
      <c r="F364" s="6"/>
      <c r="G364" s="100"/>
      <c r="H364" s="100"/>
      <c r="I364" s="6"/>
      <c r="J364" s="8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5.6">
      <c r="A365" s="6"/>
      <c r="B365" s="6"/>
      <c r="C365" s="6"/>
      <c r="D365" s="6"/>
      <c r="E365" s="6"/>
      <c r="F365" s="6"/>
      <c r="G365" s="100"/>
      <c r="H365" s="100"/>
      <c r="I365" s="6"/>
      <c r="J365" s="8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5.6">
      <c r="A366" s="6"/>
      <c r="B366" s="6"/>
      <c r="C366" s="6"/>
      <c r="D366" s="6"/>
      <c r="E366" s="6"/>
      <c r="F366" s="6"/>
      <c r="G366" s="100"/>
      <c r="H366" s="100"/>
      <c r="I366" s="6"/>
      <c r="J366" s="8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5.6">
      <c r="A367" s="6"/>
      <c r="B367" s="6"/>
      <c r="C367" s="6"/>
      <c r="D367" s="6"/>
      <c r="E367" s="6"/>
      <c r="F367" s="6"/>
      <c r="G367" s="100"/>
      <c r="H367" s="100"/>
      <c r="I367" s="6"/>
      <c r="J367" s="8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5.6">
      <c r="A368" s="6"/>
      <c r="B368" s="6"/>
      <c r="C368" s="6"/>
      <c r="D368" s="6"/>
      <c r="E368" s="6"/>
      <c r="F368" s="6"/>
      <c r="G368" s="100"/>
      <c r="H368" s="100"/>
      <c r="I368" s="6"/>
      <c r="J368" s="8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5.6">
      <c r="A369" s="6"/>
      <c r="B369" s="6"/>
      <c r="C369" s="6"/>
      <c r="D369" s="6"/>
      <c r="E369" s="6"/>
      <c r="F369" s="6"/>
      <c r="G369" s="100"/>
      <c r="H369" s="100"/>
      <c r="I369" s="6"/>
      <c r="J369" s="8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5.6">
      <c r="A370" s="6"/>
      <c r="B370" s="6"/>
      <c r="C370" s="6"/>
      <c r="D370" s="6"/>
      <c r="E370" s="6"/>
      <c r="F370" s="6"/>
      <c r="G370" s="100"/>
      <c r="H370" s="100"/>
      <c r="I370" s="6"/>
      <c r="J370" s="8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5.6">
      <c r="A371" s="6"/>
      <c r="B371" s="6"/>
      <c r="C371" s="6"/>
      <c r="D371" s="6"/>
      <c r="E371" s="6"/>
      <c r="F371" s="6"/>
      <c r="G371" s="100"/>
      <c r="H371" s="100"/>
      <c r="I371" s="6"/>
      <c r="J371" s="8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5.6">
      <c r="A372" s="6"/>
      <c r="B372" s="6"/>
      <c r="C372" s="6"/>
      <c r="D372" s="6"/>
      <c r="E372" s="6"/>
      <c r="F372" s="6"/>
      <c r="G372" s="100"/>
      <c r="H372" s="100"/>
      <c r="I372" s="6"/>
      <c r="J372" s="8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5.6">
      <c r="A373" s="6"/>
      <c r="B373" s="6"/>
      <c r="C373" s="6"/>
      <c r="D373" s="6"/>
      <c r="E373" s="6"/>
      <c r="F373" s="6"/>
      <c r="G373" s="100"/>
      <c r="H373" s="100"/>
      <c r="I373" s="6"/>
      <c r="J373" s="8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5.6">
      <c r="A374" s="6"/>
      <c r="B374" s="6"/>
      <c r="C374" s="6"/>
      <c r="D374" s="6"/>
      <c r="E374" s="6"/>
      <c r="F374" s="6"/>
      <c r="G374" s="100"/>
      <c r="H374" s="100"/>
      <c r="I374" s="6"/>
      <c r="J374" s="8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5.6">
      <c r="A375" s="6"/>
      <c r="B375" s="6"/>
      <c r="C375" s="6"/>
      <c r="D375" s="6"/>
      <c r="E375" s="6"/>
      <c r="F375" s="6"/>
      <c r="G375" s="100"/>
      <c r="H375" s="100"/>
      <c r="I375" s="6"/>
      <c r="J375" s="8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5.6">
      <c r="A376" s="6"/>
      <c r="B376" s="6"/>
      <c r="C376" s="6"/>
      <c r="D376" s="6"/>
      <c r="E376" s="6"/>
      <c r="F376" s="6"/>
      <c r="G376" s="100"/>
      <c r="H376" s="100"/>
      <c r="I376" s="6"/>
      <c r="J376" s="8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5.6">
      <c r="A377" s="6"/>
      <c r="B377" s="6"/>
      <c r="C377" s="6"/>
      <c r="D377" s="6"/>
      <c r="E377" s="6"/>
      <c r="F377" s="6"/>
      <c r="G377" s="100"/>
      <c r="H377" s="100"/>
      <c r="I377" s="6"/>
      <c r="J377" s="8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5.6">
      <c r="A378" s="6"/>
      <c r="B378" s="6"/>
      <c r="C378" s="6"/>
      <c r="D378" s="6"/>
      <c r="E378" s="6"/>
      <c r="F378" s="6"/>
      <c r="G378" s="100"/>
      <c r="H378" s="100"/>
      <c r="I378" s="6"/>
      <c r="J378" s="8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5.6">
      <c r="A379" s="6"/>
      <c r="B379" s="6"/>
      <c r="C379" s="6"/>
      <c r="D379" s="6"/>
      <c r="E379" s="6"/>
      <c r="F379" s="6"/>
      <c r="G379" s="100"/>
      <c r="H379" s="100"/>
      <c r="I379" s="6"/>
      <c r="J379" s="8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5.6">
      <c r="A380" s="6"/>
      <c r="B380" s="6"/>
      <c r="C380" s="6"/>
      <c r="D380" s="6"/>
      <c r="E380" s="6"/>
      <c r="F380" s="6"/>
      <c r="G380" s="100"/>
      <c r="H380" s="100"/>
      <c r="I380" s="6"/>
      <c r="J380" s="8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5.6">
      <c r="A381" s="6"/>
      <c r="B381" s="6"/>
      <c r="C381" s="6"/>
      <c r="D381" s="6"/>
      <c r="E381" s="6"/>
      <c r="F381" s="6"/>
      <c r="G381" s="100"/>
      <c r="H381" s="100"/>
      <c r="I381" s="6"/>
      <c r="J381" s="8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5.6">
      <c r="A382" s="6"/>
      <c r="B382" s="6"/>
      <c r="C382" s="6"/>
      <c r="D382" s="6"/>
      <c r="E382" s="6"/>
      <c r="F382" s="6"/>
      <c r="G382" s="100"/>
      <c r="H382" s="100"/>
      <c r="I382" s="6"/>
      <c r="J382" s="8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5.6">
      <c r="A383" s="6"/>
      <c r="B383" s="6"/>
      <c r="C383" s="6"/>
      <c r="D383" s="6"/>
      <c r="E383" s="6"/>
      <c r="F383" s="6"/>
      <c r="G383" s="100"/>
      <c r="H383" s="100"/>
      <c r="I383" s="6"/>
      <c r="J383" s="8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5.6">
      <c r="A384" s="6"/>
      <c r="B384" s="6"/>
      <c r="C384" s="6"/>
      <c r="D384" s="6"/>
      <c r="E384" s="6"/>
      <c r="F384" s="6"/>
      <c r="G384" s="100"/>
      <c r="H384" s="100"/>
      <c r="I384" s="6"/>
      <c r="J384" s="8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5.6">
      <c r="A385" s="6"/>
      <c r="B385" s="6"/>
      <c r="C385" s="6"/>
      <c r="D385" s="6"/>
      <c r="E385" s="6"/>
      <c r="F385" s="6"/>
      <c r="G385" s="100"/>
      <c r="H385" s="100"/>
      <c r="I385" s="6"/>
      <c r="J385" s="8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5.6">
      <c r="A386" s="6"/>
      <c r="B386" s="6"/>
      <c r="C386" s="6"/>
      <c r="D386" s="6"/>
      <c r="E386" s="6"/>
      <c r="F386" s="6"/>
      <c r="G386" s="100"/>
      <c r="H386" s="100"/>
      <c r="I386" s="6"/>
      <c r="J386" s="8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5.6">
      <c r="A387" s="6"/>
      <c r="B387" s="6"/>
      <c r="C387" s="6"/>
      <c r="D387" s="6"/>
      <c r="E387" s="6"/>
      <c r="F387" s="6"/>
      <c r="G387" s="100"/>
      <c r="H387" s="100"/>
      <c r="I387" s="6"/>
      <c r="J387" s="8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5.6">
      <c r="A388" s="6"/>
      <c r="B388" s="6"/>
      <c r="C388" s="6"/>
      <c r="D388" s="6"/>
      <c r="E388" s="6"/>
      <c r="F388" s="6"/>
      <c r="G388" s="100"/>
      <c r="H388" s="100"/>
      <c r="I388" s="6"/>
      <c r="J388" s="8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5.6">
      <c r="A389" s="6"/>
      <c r="B389" s="6"/>
      <c r="C389" s="6"/>
      <c r="D389" s="6"/>
      <c r="E389" s="6"/>
      <c r="F389" s="6"/>
      <c r="G389" s="100"/>
      <c r="H389" s="100"/>
      <c r="I389" s="6"/>
      <c r="J389" s="8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5.6">
      <c r="A390" s="6"/>
      <c r="B390" s="6"/>
      <c r="C390" s="6"/>
      <c r="D390" s="6"/>
      <c r="E390" s="6"/>
      <c r="F390" s="6"/>
      <c r="G390" s="100"/>
      <c r="H390" s="100"/>
      <c r="I390" s="6"/>
      <c r="J390" s="8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5.6">
      <c r="A391" s="6"/>
      <c r="B391" s="6"/>
      <c r="C391" s="6"/>
      <c r="D391" s="6"/>
      <c r="E391" s="6"/>
      <c r="F391" s="6"/>
      <c r="G391" s="100"/>
      <c r="H391" s="100"/>
      <c r="I391" s="6"/>
      <c r="J391" s="8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5.6">
      <c r="A392" s="6"/>
      <c r="B392" s="6"/>
      <c r="C392" s="6"/>
      <c r="D392" s="6"/>
      <c r="E392" s="6"/>
      <c r="F392" s="6"/>
      <c r="G392" s="100"/>
      <c r="H392" s="100"/>
      <c r="I392" s="6"/>
      <c r="J392" s="8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5.6">
      <c r="A393" s="6"/>
      <c r="B393" s="6"/>
      <c r="C393" s="6"/>
      <c r="D393" s="6"/>
      <c r="E393" s="6"/>
      <c r="F393" s="6"/>
      <c r="G393" s="100"/>
      <c r="H393" s="100"/>
      <c r="I393" s="6"/>
      <c r="J393" s="8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5.6">
      <c r="A394" s="6"/>
      <c r="B394" s="6"/>
      <c r="C394" s="6"/>
      <c r="D394" s="6"/>
      <c r="E394" s="6"/>
      <c r="F394" s="6"/>
      <c r="G394" s="100"/>
      <c r="H394" s="100"/>
      <c r="I394" s="6"/>
      <c r="J394" s="8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5.6">
      <c r="A395" s="6"/>
      <c r="B395" s="6"/>
      <c r="C395" s="6"/>
      <c r="D395" s="6"/>
      <c r="E395" s="6"/>
      <c r="F395" s="6"/>
      <c r="G395" s="100"/>
      <c r="H395" s="100"/>
      <c r="I395" s="6"/>
      <c r="J395" s="8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5.6">
      <c r="A396" s="6"/>
      <c r="B396" s="6"/>
      <c r="C396" s="6"/>
      <c r="D396" s="6"/>
      <c r="E396" s="6"/>
      <c r="F396" s="6"/>
      <c r="G396" s="100"/>
      <c r="H396" s="100"/>
      <c r="I396" s="6"/>
      <c r="J396" s="8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15.6">
      <c r="A397" s="6"/>
      <c r="B397" s="6"/>
      <c r="C397" s="6"/>
      <c r="D397" s="6"/>
      <c r="E397" s="6"/>
      <c r="F397" s="6"/>
      <c r="G397" s="100"/>
      <c r="H397" s="100"/>
      <c r="I397" s="6"/>
      <c r="J397" s="8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15.6">
      <c r="A398" s="6"/>
      <c r="B398" s="6"/>
      <c r="C398" s="6"/>
      <c r="D398" s="6"/>
      <c r="E398" s="6"/>
      <c r="F398" s="6"/>
      <c r="G398" s="100"/>
      <c r="H398" s="100"/>
      <c r="I398" s="6"/>
      <c r="J398" s="8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15.6">
      <c r="A399" s="6"/>
      <c r="B399" s="6"/>
      <c r="C399" s="6"/>
      <c r="D399" s="6"/>
      <c r="E399" s="6"/>
      <c r="F399" s="6"/>
      <c r="G399" s="100"/>
      <c r="H399" s="100"/>
      <c r="I399" s="6"/>
      <c r="J399" s="8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15.6">
      <c r="A400" s="6"/>
      <c r="B400" s="6"/>
      <c r="C400" s="6"/>
      <c r="D400" s="6"/>
      <c r="E400" s="6"/>
      <c r="F400" s="6"/>
      <c r="G400" s="100"/>
      <c r="H400" s="100"/>
      <c r="I400" s="6"/>
      <c r="J400" s="8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15.6">
      <c r="A401" s="6"/>
      <c r="B401" s="6"/>
      <c r="C401" s="6"/>
      <c r="D401" s="6"/>
      <c r="E401" s="6"/>
      <c r="F401" s="6"/>
      <c r="G401" s="100"/>
      <c r="H401" s="100"/>
      <c r="I401" s="6"/>
      <c r="J401" s="8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15.6">
      <c r="A402" s="6"/>
      <c r="B402" s="6"/>
      <c r="C402" s="6"/>
      <c r="D402" s="6"/>
      <c r="E402" s="6"/>
      <c r="F402" s="6"/>
      <c r="G402" s="100"/>
      <c r="H402" s="100"/>
      <c r="I402" s="6"/>
      <c r="J402" s="8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15.6">
      <c r="A403" s="6"/>
      <c r="B403" s="6"/>
      <c r="C403" s="6"/>
      <c r="D403" s="6"/>
      <c r="E403" s="6"/>
      <c r="F403" s="6"/>
      <c r="G403" s="100"/>
      <c r="H403" s="100"/>
      <c r="I403" s="6"/>
      <c r="J403" s="8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</sheetData>
  <mergeCells count="2">
    <mergeCell ref="A3:J3"/>
    <mergeCell ref="A1:J2"/>
  </mergeCells>
  <phoneticPr fontId="2" type="noConversion"/>
  <conditionalFormatting sqref="H7">
    <cfRule type="cellIs" dxfId="48" priority="2" operator="greaterThan">
      <formula>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402"/>
  <sheetViews>
    <sheetView workbookViewId="0">
      <selection activeCell="A201" sqref="A201:L201"/>
    </sheetView>
  </sheetViews>
  <sheetFormatPr defaultRowHeight="14.4"/>
  <cols>
    <col min="1" max="1" width="14" customWidth="1"/>
    <col min="2" max="2" width="24" customWidth="1"/>
    <col min="3" max="3" width="20" customWidth="1"/>
    <col min="4" max="4" width="18" customWidth="1"/>
    <col min="5" max="5" width="41.296875" customWidth="1"/>
    <col min="6" max="6" width="24" customWidth="1"/>
    <col min="7" max="7" width="17.19921875" customWidth="1"/>
    <col min="8" max="8" width="15" customWidth="1"/>
    <col min="9" max="9" width="24" customWidth="1"/>
    <col min="10" max="10" width="17.19921875" customWidth="1"/>
    <col min="11" max="11" width="15" customWidth="1"/>
    <col min="12" max="12" width="18" customWidth="1"/>
  </cols>
  <sheetData>
    <row r="1" spans="1:26" ht="22.35" customHeight="1">
      <c r="A1" s="113" t="s">
        <v>652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.6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6.05" customHeight="1">
      <c r="A3" s="114" t="s">
        <v>655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6.45" customHeight="1">
      <c r="A4" s="115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4" customHeight="1">
      <c r="A5" s="12"/>
      <c r="B5" s="12"/>
      <c r="C5" s="12"/>
      <c r="D5" s="12"/>
      <c r="E5" s="12"/>
      <c r="F5" s="67" t="s">
        <v>656</v>
      </c>
      <c r="G5" s="68">
        <f>SUBTOTAL(109,Tbl_OriginalBudget[요구금액])</f>
        <v>0</v>
      </c>
      <c r="H5" s="66"/>
      <c r="I5" s="67" t="s">
        <v>657</v>
      </c>
      <c r="J5" s="68">
        <f>SUBTOTAL(109,Tbl_OriginalBudget[전년요구금액])</f>
        <v>745853000</v>
      </c>
      <c r="K5" s="12"/>
      <c r="L5" s="12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6.45" customHeight="1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6.45" customHeight="1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6.45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6.4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1.6" customHeight="1">
      <c r="A10" s="26" t="s">
        <v>21</v>
      </c>
      <c r="B10" s="26" t="s">
        <v>22</v>
      </c>
      <c r="C10" s="26" t="s">
        <v>23</v>
      </c>
      <c r="D10" s="26" t="s">
        <v>24</v>
      </c>
      <c r="E10" s="26" t="s">
        <v>15</v>
      </c>
      <c r="F10" s="26" t="s">
        <v>16</v>
      </c>
      <c r="G10" s="30" t="s">
        <v>25</v>
      </c>
      <c r="H10" s="26" t="s">
        <v>26</v>
      </c>
      <c r="I10" s="26" t="s">
        <v>27</v>
      </c>
      <c r="J10" s="30" t="s">
        <v>28</v>
      </c>
      <c r="K10" s="30" t="s">
        <v>29</v>
      </c>
      <c r="L10" s="30" t="s">
        <v>19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s="11" customFormat="1" ht="19.95" customHeight="1">
      <c r="A11" s="79"/>
      <c r="B11" s="79" t="s">
        <v>215</v>
      </c>
      <c r="C11" s="79" t="s">
        <v>216</v>
      </c>
      <c r="D11" s="79" t="s">
        <v>217</v>
      </c>
      <c r="E11" s="79" t="s">
        <v>218</v>
      </c>
      <c r="F11" s="79"/>
      <c r="G11" s="80"/>
      <c r="H11" s="81"/>
      <c r="I11" s="81" t="s">
        <v>219</v>
      </c>
      <c r="J11" s="80">
        <v>800000</v>
      </c>
      <c r="K11" s="80" t="str">
        <f t="shared" ref="K11" si="0">IF(AND(ISNUMBER(G11),ISNUMBER(J11)),G11-J11,"")</f>
        <v/>
      </c>
      <c r="L11" s="82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s="11" customFormat="1" ht="19.95" customHeight="1">
      <c r="A12" s="79"/>
      <c r="B12" s="79" t="s">
        <v>215</v>
      </c>
      <c r="C12" s="79" t="s">
        <v>216</v>
      </c>
      <c r="D12" s="79" t="s">
        <v>220</v>
      </c>
      <c r="E12" s="79" t="s">
        <v>221</v>
      </c>
      <c r="F12" s="79"/>
      <c r="G12" s="80"/>
      <c r="H12" s="81"/>
      <c r="I12" s="81" t="s">
        <v>222</v>
      </c>
      <c r="J12" s="80">
        <v>7050000</v>
      </c>
      <c r="K12" s="80" t="str">
        <f t="shared" ref="K12:K43" si="1">IF(AND(ISNUMBER(G12),ISNUMBER(J12)),G12-J12,"")</f>
        <v/>
      </c>
      <c r="L12" s="82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s="11" customFormat="1" ht="19.95" customHeight="1">
      <c r="A13" s="79"/>
      <c r="B13" s="79" t="s">
        <v>215</v>
      </c>
      <c r="C13" s="79" t="s">
        <v>216</v>
      </c>
      <c r="D13" s="79" t="s">
        <v>223</v>
      </c>
      <c r="E13" s="79" t="s">
        <v>224</v>
      </c>
      <c r="F13" s="79"/>
      <c r="G13" s="80"/>
      <c r="H13" s="81"/>
      <c r="I13" s="81" t="s">
        <v>225</v>
      </c>
      <c r="J13" s="80">
        <v>1000000</v>
      </c>
      <c r="K13" s="80" t="str">
        <f t="shared" si="1"/>
        <v/>
      </c>
      <c r="L13" s="82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s="11" customFormat="1" ht="19.95" customHeight="1">
      <c r="A14" s="79"/>
      <c r="B14" s="79" t="s">
        <v>215</v>
      </c>
      <c r="C14" s="79" t="s">
        <v>216</v>
      </c>
      <c r="D14" s="79" t="s">
        <v>223</v>
      </c>
      <c r="E14" s="79" t="s">
        <v>226</v>
      </c>
      <c r="F14" s="79"/>
      <c r="G14" s="80"/>
      <c r="H14" s="81"/>
      <c r="I14" s="81" t="s">
        <v>225</v>
      </c>
      <c r="J14" s="80">
        <v>1000000</v>
      </c>
      <c r="K14" s="80" t="str">
        <f t="shared" si="1"/>
        <v/>
      </c>
      <c r="L14" s="82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s="11" customFormat="1" ht="19.95" customHeight="1">
      <c r="A15" s="79"/>
      <c r="B15" s="79" t="s">
        <v>215</v>
      </c>
      <c r="C15" s="79" t="s">
        <v>216</v>
      </c>
      <c r="D15" s="79" t="s">
        <v>227</v>
      </c>
      <c r="E15" s="79" t="s">
        <v>228</v>
      </c>
      <c r="F15" s="79"/>
      <c r="G15" s="80"/>
      <c r="H15" s="81"/>
      <c r="I15" s="81" t="s">
        <v>225</v>
      </c>
      <c r="J15" s="80">
        <v>1000000</v>
      </c>
      <c r="K15" s="80" t="str">
        <f t="shared" si="1"/>
        <v/>
      </c>
      <c r="L15" s="82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s="11" customFormat="1" ht="19.95" customHeight="1">
      <c r="A16" s="79"/>
      <c r="B16" s="79" t="s">
        <v>215</v>
      </c>
      <c r="C16" s="79" t="s">
        <v>229</v>
      </c>
      <c r="D16" s="79" t="s">
        <v>230</v>
      </c>
      <c r="E16" s="79" t="s">
        <v>231</v>
      </c>
      <c r="F16" s="79"/>
      <c r="G16" s="80"/>
      <c r="H16" s="81"/>
      <c r="I16" s="81" t="s">
        <v>232</v>
      </c>
      <c r="J16" s="80">
        <v>3000000</v>
      </c>
      <c r="K16" s="80" t="str">
        <f t="shared" si="1"/>
        <v/>
      </c>
      <c r="L16" s="82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s="11" customFormat="1" ht="19.95" customHeight="1">
      <c r="A17" s="79"/>
      <c r="B17" s="79" t="s">
        <v>215</v>
      </c>
      <c r="C17" s="79" t="s">
        <v>229</v>
      </c>
      <c r="D17" s="79" t="s">
        <v>227</v>
      </c>
      <c r="E17" s="79" t="s">
        <v>233</v>
      </c>
      <c r="F17" s="79"/>
      <c r="G17" s="80"/>
      <c r="H17" s="81"/>
      <c r="I17" s="81" t="s">
        <v>234</v>
      </c>
      <c r="J17" s="80">
        <v>900000</v>
      </c>
      <c r="K17" s="80" t="str">
        <f t="shared" si="1"/>
        <v/>
      </c>
      <c r="L17" s="82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s="11" customFormat="1" ht="19.95" customHeight="1">
      <c r="A18" s="79"/>
      <c r="B18" s="79" t="s">
        <v>235</v>
      </c>
      <c r="C18" s="79" t="s">
        <v>236</v>
      </c>
      <c r="D18" s="79" t="s">
        <v>230</v>
      </c>
      <c r="E18" s="79" t="s">
        <v>237</v>
      </c>
      <c r="F18" s="79"/>
      <c r="G18" s="80"/>
      <c r="H18" s="81"/>
      <c r="I18" s="81" t="s">
        <v>238</v>
      </c>
      <c r="J18" s="80">
        <v>7000000</v>
      </c>
      <c r="K18" s="80" t="str">
        <f t="shared" si="1"/>
        <v/>
      </c>
      <c r="L18" s="82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s="11" customFormat="1" ht="19.95" customHeight="1">
      <c r="A19" s="79"/>
      <c r="B19" s="79" t="s">
        <v>235</v>
      </c>
      <c r="C19" s="79" t="s">
        <v>236</v>
      </c>
      <c r="D19" s="79" t="s">
        <v>230</v>
      </c>
      <c r="E19" s="79" t="s">
        <v>239</v>
      </c>
      <c r="F19" s="79"/>
      <c r="G19" s="80"/>
      <c r="H19" s="81"/>
      <c r="I19" s="81" t="s">
        <v>240</v>
      </c>
      <c r="J19" s="80">
        <v>16128000</v>
      </c>
      <c r="K19" s="80" t="str">
        <f t="shared" si="1"/>
        <v/>
      </c>
      <c r="L19" s="82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s="11" customFormat="1" ht="19.95" customHeight="1">
      <c r="A20" s="79"/>
      <c r="B20" s="79" t="s">
        <v>235</v>
      </c>
      <c r="C20" s="79" t="s">
        <v>236</v>
      </c>
      <c r="D20" s="79" t="s">
        <v>230</v>
      </c>
      <c r="E20" s="79" t="s">
        <v>241</v>
      </c>
      <c r="F20" s="79"/>
      <c r="G20" s="80"/>
      <c r="H20" s="81"/>
      <c r="I20" s="81" t="s">
        <v>242</v>
      </c>
      <c r="J20" s="80">
        <v>2400000</v>
      </c>
      <c r="K20" s="80" t="str">
        <f t="shared" si="1"/>
        <v/>
      </c>
      <c r="L20" s="82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s="11" customFormat="1" ht="19.95" customHeight="1">
      <c r="A21" s="79"/>
      <c r="B21" s="79" t="s">
        <v>235</v>
      </c>
      <c r="C21" s="79" t="s">
        <v>236</v>
      </c>
      <c r="D21" s="79" t="s">
        <v>230</v>
      </c>
      <c r="E21" s="79" t="s">
        <v>243</v>
      </c>
      <c r="F21" s="79"/>
      <c r="G21" s="80"/>
      <c r="H21" s="81"/>
      <c r="I21" s="81" t="s">
        <v>244</v>
      </c>
      <c r="J21" s="80">
        <v>2500000</v>
      </c>
      <c r="K21" s="80" t="str">
        <f t="shared" si="1"/>
        <v/>
      </c>
      <c r="L21" s="82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s="11" customFormat="1" ht="19.95" customHeight="1">
      <c r="A22" s="79"/>
      <c r="B22" s="79" t="s">
        <v>235</v>
      </c>
      <c r="C22" s="79" t="s">
        <v>236</v>
      </c>
      <c r="D22" s="79" t="s">
        <v>230</v>
      </c>
      <c r="E22" s="79" t="s">
        <v>245</v>
      </c>
      <c r="F22" s="79"/>
      <c r="G22" s="80"/>
      <c r="H22" s="81"/>
      <c r="I22" s="81" t="s">
        <v>246</v>
      </c>
      <c r="J22" s="80">
        <v>1200000</v>
      </c>
      <c r="K22" s="80" t="str">
        <f t="shared" si="1"/>
        <v/>
      </c>
      <c r="L22" s="82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s="11" customFormat="1" ht="19.95" customHeight="1">
      <c r="A23" s="79"/>
      <c r="B23" s="79" t="s">
        <v>235</v>
      </c>
      <c r="C23" s="79" t="s">
        <v>236</v>
      </c>
      <c r="D23" s="79" t="s">
        <v>230</v>
      </c>
      <c r="E23" s="79" t="s">
        <v>247</v>
      </c>
      <c r="F23" s="79"/>
      <c r="G23" s="80"/>
      <c r="H23" s="81"/>
      <c r="I23" s="81" t="s">
        <v>248</v>
      </c>
      <c r="J23" s="80">
        <v>2500000</v>
      </c>
      <c r="K23" s="80" t="str">
        <f t="shared" si="1"/>
        <v/>
      </c>
      <c r="L23" s="82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s="11" customFormat="1" ht="19.95" customHeight="1">
      <c r="A24" s="79"/>
      <c r="B24" s="79" t="s">
        <v>235</v>
      </c>
      <c r="C24" s="79" t="s">
        <v>236</v>
      </c>
      <c r="D24" s="79" t="s">
        <v>223</v>
      </c>
      <c r="E24" s="79" t="s">
        <v>249</v>
      </c>
      <c r="F24" s="79"/>
      <c r="G24" s="80"/>
      <c r="H24" s="81"/>
      <c r="I24" s="81" t="s">
        <v>250</v>
      </c>
      <c r="J24" s="80">
        <v>180000</v>
      </c>
      <c r="K24" s="80" t="str">
        <f t="shared" si="1"/>
        <v/>
      </c>
      <c r="L24" s="82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s="11" customFormat="1" ht="19.95" customHeight="1">
      <c r="A25" s="79"/>
      <c r="B25" s="79" t="s">
        <v>235</v>
      </c>
      <c r="C25" s="79" t="s">
        <v>236</v>
      </c>
      <c r="D25" s="79" t="s">
        <v>227</v>
      </c>
      <c r="E25" s="79" t="s">
        <v>251</v>
      </c>
      <c r="F25" s="79"/>
      <c r="G25" s="80"/>
      <c r="H25" s="81"/>
      <c r="I25" s="81" t="s">
        <v>252</v>
      </c>
      <c r="J25" s="80">
        <v>350000</v>
      </c>
      <c r="K25" s="80" t="str">
        <f t="shared" si="1"/>
        <v/>
      </c>
      <c r="L25" s="82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s="11" customFormat="1" ht="19.95" customHeight="1">
      <c r="A26" s="79"/>
      <c r="B26" s="79" t="s">
        <v>253</v>
      </c>
      <c r="C26" s="79" t="s">
        <v>254</v>
      </c>
      <c r="D26" s="79" t="s">
        <v>230</v>
      </c>
      <c r="E26" s="79" t="s">
        <v>255</v>
      </c>
      <c r="F26" s="79"/>
      <c r="G26" s="80"/>
      <c r="H26" s="81"/>
      <c r="I26" s="81" t="s">
        <v>256</v>
      </c>
      <c r="J26" s="80">
        <v>200000</v>
      </c>
      <c r="K26" s="80" t="str">
        <f t="shared" si="1"/>
        <v/>
      </c>
      <c r="L26" s="82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s="11" customFormat="1" ht="19.95" customHeight="1">
      <c r="A27" s="79"/>
      <c r="B27" s="79" t="s">
        <v>253</v>
      </c>
      <c r="C27" s="79" t="s">
        <v>257</v>
      </c>
      <c r="D27" s="79" t="s">
        <v>223</v>
      </c>
      <c r="E27" s="79" t="s">
        <v>258</v>
      </c>
      <c r="F27" s="79"/>
      <c r="G27" s="80"/>
      <c r="H27" s="81"/>
      <c r="I27" s="81" t="s">
        <v>259</v>
      </c>
      <c r="J27" s="80">
        <v>372000</v>
      </c>
      <c r="K27" s="80" t="str">
        <f t="shared" si="1"/>
        <v/>
      </c>
      <c r="L27" s="82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s="11" customFormat="1" ht="19.95" customHeight="1">
      <c r="A28" s="79"/>
      <c r="B28" s="79" t="s">
        <v>253</v>
      </c>
      <c r="C28" s="79" t="s">
        <v>257</v>
      </c>
      <c r="D28" s="79" t="s">
        <v>223</v>
      </c>
      <c r="E28" s="79" t="s">
        <v>260</v>
      </c>
      <c r="F28" s="79"/>
      <c r="G28" s="80"/>
      <c r="H28" s="81"/>
      <c r="I28" s="81" t="s">
        <v>261</v>
      </c>
      <c r="J28" s="80">
        <v>2700000</v>
      </c>
      <c r="K28" s="80" t="str">
        <f t="shared" si="1"/>
        <v/>
      </c>
      <c r="L28" s="82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s="11" customFormat="1" ht="19.95" customHeight="1">
      <c r="A29" s="79"/>
      <c r="B29" s="79" t="s">
        <v>253</v>
      </c>
      <c r="C29" s="79" t="s">
        <v>257</v>
      </c>
      <c r="D29" s="79" t="s">
        <v>262</v>
      </c>
      <c r="E29" s="79" t="s">
        <v>263</v>
      </c>
      <c r="F29" s="79"/>
      <c r="G29" s="80"/>
      <c r="H29" s="81"/>
      <c r="I29" s="81" t="s">
        <v>264</v>
      </c>
      <c r="J29" s="80">
        <v>5477000</v>
      </c>
      <c r="K29" s="80" t="str">
        <f t="shared" si="1"/>
        <v/>
      </c>
      <c r="L29" s="82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s="11" customFormat="1" ht="19.95" customHeight="1">
      <c r="A30" s="79"/>
      <c r="B30" s="79" t="s">
        <v>253</v>
      </c>
      <c r="C30" s="79" t="s">
        <v>265</v>
      </c>
      <c r="D30" s="79" t="s">
        <v>230</v>
      </c>
      <c r="E30" s="79" t="s">
        <v>266</v>
      </c>
      <c r="F30" s="79"/>
      <c r="G30" s="80"/>
      <c r="H30" s="81"/>
      <c r="I30" s="81" t="s">
        <v>267</v>
      </c>
      <c r="J30" s="80">
        <v>1000000</v>
      </c>
      <c r="K30" s="80" t="str">
        <f t="shared" si="1"/>
        <v/>
      </c>
      <c r="L30" s="82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s="11" customFormat="1" ht="19.95" customHeight="1">
      <c r="A31" s="79"/>
      <c r="B31" s="79" t="s">
        <v>253</v>
      </c>
      <c r="C31" s="79" t="s">
        <v>265</v>
      </c>
      <c r="D31" s="79" t="s">
        <v>230</v>
      </c>
      <c r="E31" s="79" t="s">
        <v>268</v>
      </c>
      <c r="F31" s="79"/>
      <c r="G31" s="80"/>
      <c r="H31" s="81"/>
      <c r="I31" s="81" t="s">
        <v>269</v>
      </c>
      <c r="J31" s="80">
        <v>1200000</v>
      </c>
      <c r="K31" s="80" t="str">
        <f t="shared" si="1"/>
        <v/>
      </c>
      <c r="L31" s="82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s="11" customFormat="1" ht="19.95" customHeight="1">
      <c r="A32" s="79"/>
      <c r="B32" s="79" t="s">
        <v>253</v>
      </c>
      <c r="C32" s="79" t="s">
        <v>265</v>
      </c>
      <c r="D32" s="79" t="s">
        <v>230</v>
      </c>
      <c r="E32" s="79" t="s">
        <v>270</v>
      </c>
      <c r="F32" s="79"/>
      <c r="G32" s="80"/>
      <c r="H32" s="81"/>
      <c r="I32" s="81" t="s">
        <v>271</v>
      </c>
      <c r="J32" s="80">
        <v>800000</v>
      </c>
      <c r="K32" s="80" t="str">
        <f t="shared" si="1"/>
        <v/>
      </c>
      <c r="L32" s="82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s="11" customFormat="1" ht="19.95" customHeight="1">
      <c r="A33" s="79"/>
      <c r="B33" s="79" t="s">
        <v>253</v>
      </c>
      <c r="C33" s="79" t="s">
        <v>265</v>
      </c>
      <c r="D33" s="79" t="s">
        <v>217</v>
      </c>
      <c r="E33" s="79" t="s">
        <v>272</v>
      </c>
      <c r="F33" s="79"/>
      <c r="G33" s="80"/>
      <c r="H33" s="81"/>
      <c r="I33" s="81" t="s">
        <v>273</v>
      </c>
      <c r="J33" s="80">
        <v>1100000</v>
      </c>
      <c r="K33" s="80" t="str">
        <f t="shared" si="1"/>
        <v/>
      </c>
      <c r="L33" s="82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s="11" customFormat="1" ht="19.95" customHeight="1">
      <c r="A34" s="79"/>
      <c r="B34" s="79" t="s">
        <v>253</v>
      </c>
      <c r="C34" s="79" t="s">
        <v>265</v>
      </c>
      <c r="D34" s="79" t="s">
        <v>220</v>
      </c>
      <c r="E34" s="79" t="s">
        <v>274</v>
      </c>
      <c r="F34" s="79"/>
      <c r="G34" s="80"/>
      <c r="H34" s="81"/>
      <c r="I34" s="81" t="s">
        <v>275</v>
      </c>
      <c r="J34" s="80">
        <v>600000</v>
      </c>
      <c r="K34" s="80" t="str">
        <f t="shared" si="1"/>
        <v/>
      </c>
      <c r="L34" s="82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s="11" customFormat="1" ht="19.95" customHeight="1">
      <c r="A35" s="79"/>
      <c r="B35" s="79" t="s">
        <v>253</v>
      </c>
      <c r="C35" s="79" t="s">
        <v>265</v>
      </c>
      <c r="D35" s="79" t="s">
        <v>223</v>
      </c>
      <c r="E35" s="79" t="s">
        <v>276</v>
      </c>
      <c r="F35" s="79"/>
      <c r="G35" s="80"/>
      <c r="H35" s="81"/>
      <c r="I35" s="81" t="s">
        <v>277</v>
      </c>
      <c r="J35" s="80">
        <v>108000</v>
      </c>
      <c r="K35" s="80" t="str">
        <f t="shared" si="1"/>
        <v/>
      </c>
      <c r="L35" s="82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s="11" customFormat="1" ht="19.95" customHeight="1">
      <c r="A36" s="79"/>
      <c r="B36" s="79" t="s">
        <v>253</v>
      </c>
      <c r="C36" s="79" t="s">
        <v>265</v>
      </c>
      <c r="D36" s="79" t="s">
        <v>262</v>
      </c>
      <c r="E36" s="79" t="s">
        <v>278</v>
      </c>
      <c r="F36" s="79"/>
      <c r="G36" s="80"/>
      <c r="H36" s="81"/>
      <c r="I36" s="81" t="s">
        <v>279</v>
      </c>
      <c r="J36" s="80">
        <v>3500000</v>
      </c>
      <c r="K36" s="80" t="str">
        <f t="shared" si="1"/>
        <v/>
      </c>
      <c r="L36" s="82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s="11" customFormat="1" ht="19.95" customHeight="1">
      <c r="A37" s="79"/>
      <c r="B37" s="79" t="s">
        <v>253</v>
      </c>
      <c r="C37" s="79" t="s">
        <v>280</v>
      </c>
      <c r="D37" s="79" t="s">
        <v>230</v>
      </c>
      <c r="E37" s="79" t="s">
        <v>281</v>
      </c>
      <c r="F37" s="79"/>
      <c r="G37" s="80"/>
      <c r="H37" s="81"/>
      <c r="I37" s="81" t="s">
        <v>282</v>
      </c>
      <c r="J37" s="80">
        <v>1200000</v>
      </c>
      <c r="K37" s="80" t="str">
        <f t="shared" si="1"/>
        <v/>
      </c>
      <c r="L37" s="82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s="11" customFormat="1" ht="19.95" customHeight="1">
      <c r="A38" s="79"/>
      <c r="B38" s="79" t="s">
        <v>253</v>
      </c>
      <c r="C38" s="79" t="s">
        <v>280</v>
      </c>
      <c r="D38" s="79" t="s">
        <v>230</v>
      </c>
      <c r="E38" s="79" t="s">
        <v>283</v>
      </c>
      <c r="F38" s="79"/>
      <c r="G38" s="80"/>
      <c r="H38" s="81"/>
      <c r="I38" s="81" t="s">
        <v>284</v>
      </c>
      <c r="J38" s="80">
        <v>1100000</v>
      </c>
      <c r="K38" s="80" t="str">
        <f t="shared" si="1"/>
        <v/>
      </c>
      <c r="L38" s="82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s="11" customFormat="1" ht="19.95" customHeight="1">
      <c r="A39" s="79"/>
      <c r="B39" s="79" t="s">
        <v>253</v>
      </c>
      <c r="C39" s="79" t="s">
        <v>280</v>
      </c>
      <c r="D39" s="79" t="s">
        <v>230</v>
      </c>
      <c r="E39" s="79" t="s">
        <v>285</v>
      </c>
      <c r="F39" s="79"/>
      <c r="G39" s="80"/>
      <c r="H39" s="81"/>
      <c r="I39" s="81" t="s">
        <v>286</v>
      </c>
      <c r="J39" s="80">
        <v>900000</v>
      </c>
      <c r="K39" s="80" t="str">
        <f t="shared" si="1"/>
        <v/>
      </c>
      <c r="L39" s="82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s="11" customFormat="1" ht="19.95" customHeight="1">
      <c r="A40" s="79"/>
      <c r="B40" s="79" t="s">
        <v>253</v>
      </c>
      <c r="C40" s="79" t="s">
        <v>280</v>
      </c>
      <c r="D40" s="79" t="s">
        <v>230</v>
      </c>
      <c r="E40" s="79" t="s">
        <v>287</v>
      </c>
      <c r="F40" s="79"/>
      <c r="G40" s="80"/>
      <c r="H40" s="81"/>
      <c r="I40" s="81" t="s">
        <v>288</v>
      </c>
      <c r="J40" s="80">
        <v>2500000</v>
      </c>
      <c r="K40" s="80" t="str">
        <f t="shared" si="1"/>
        <v/>
      </c>
      <c r="L40" s="82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s="11" customFormat="1" ht="19.95" customHeight="1">
      <c r="A41" s="79"/>
      <c r="B41" s="79" t="s">
        <v>289</v>
      </c>
      <c r="C41" s="79" t="s">
        <v>290</v>
      </c>
      <c r="D41" s="79" t="s">
        <v>223</v>
      </c>
      <c r="E41" s="79" t="s">
        <v>291</v>
      </c>
      <c r="F41" s="79"/>
      <c r="G41" s="80"/>
      <c r="H41" s="81"/>
      <c r="I41" s="81" t="s">
        <v>292</v>
      </c>
      <c r="J41" s="80">
        <v>1500000</v>
      </c>
      <c r="K41" s="80" t="str">
        <f t="shared" si="1"/>
        <v/>
      </c>
      <c r="L41" s="82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s="11" customFormat="1" ht="19.95" customHeight="1">
      <c r="A42" s="79"/>
      <c r="B42" s="79" t="s">
        <v>289</v>
      </c>
      <c r="C42" s="79" t="s">
        <v>290</v>
      </c>
      <c r="D42" s="79" t="s">
        <v>223</v>
      </c>
      <c r="E42" s="79" t="s">
        <v>293</v>
      </c>
      <c r="F42" s="79"/>
      <c r="G42" s="80"/>
      <c r="H42" s="81"/>
      <c r="I42" s="81" t="s">
        <v>294</v>
      </c>
      <c r="J42" s="80">
        <v>1410000</v>
      </c>
      <c r="K42" s="80" t="str">
        <f t="shared" si="1"/>
        <v/>
      </c>
      <c r="L42" s="82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s="11" customFormat="1" ht="19.95" customHeight="1">
      <c r="A43" s="79"/>
      <c r="B43" s="79" t="s">
        <v>289</v>
      </c>
      <c r="C43" s="79" t="s">
        <v>290</v>
      </c>
      <c r="D43" s="79" t="s">
        <v>227</v>
      </c>
      <c r="E43" s="79" t="s">
        <v>295</v>
      </c>
      <c r="F43" s="79"/>
      <c r="G43" s="80"/>
      <c r="H43" s="81"/>
      <c r="I43" s="81" t="s">
        <v>296</v>
      </c>
      <c r="J43" s="80">
        <v>90000</v>
      </c>
      <c r="K43" s="80" t="str">
        <f t="shared" si="1"/>
        <v/>
      </c>
      <c r="L43" s="82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s="11" customFormat="1" ht="19.95" customHeight="1">
      <c r="A44" s="79"/>
      <c r="B44" s="79" t="s">
        <v>297</v>
      </c>
      <c r="C44" s="79" t="s">
        <v>298</v>
      </c>
      <c r="D44" s="79" t="s">
        <v>230</v>
      </c>
      <c r="E44" s="79" t="s">
        <v>299</v>
      </c>
      <c r="F44" s="79"/>
      <c r="G44" s="80"/>
      <c r="H44" s="81"/>
      <c r="I44" s="81" t="s">
        <v>300</v>
      </c>
      <c r="J44" s="80">
        <v>140000</v>
      </c>
      <c r="K44" s="80" t="str">
        <f t="shared" ref="K44:K75" si="2">IF(AND(ISNUMBER(G44),ISNUMBER(J44)),G44-J44,"")</f>
        <v/>
      </c>
      <c r="L44" s="82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s="11" customFormat="1" ht="19.95" customHeight="1">
      <c r="A45" s="79"/>
      <c r="B45" s="79" t="s">
        <v>297</v>
      </c>
      <c r="C45" s="79" t="s">
        <v>301</v>
      </c>
      <c r="D45" s="79" t="s">
        <v>223</v>
      </c>
      <c r="E45" s="79" t="s">
        <v>302</v>
      </c>
      <c r="F45" s="79"/>
      <c r="G45" s="80"/>
      <c r="H45" s="81"/>
      <c r="I45" s="81" t="s">
        <v>303</v>
      </c>
      <c r="J45" s="80">
        <v>600000</v>
      </c>
      <c r="K45" s="80" t="str">
        <f t="shared" si="2"/>
        <v/>
      </c>
      <c r="L45" s="82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s="11" customFormat="1" ht="19.95" customHeight="1">
      <c r="A46" s="79"/>
      <c r="B46" s="79" t="s">
        <v>304</v>
      </c>
      <c r="C46" s="79" t="s">
        <v>305</v>
      </c>
      <c r="D46" s="79" t="s">
        <v>306</v>
      </c>
      <c r="E46" s="79" t="s">
        <v>307</v>
      </c>
      <c r="F46" s="79"/>
      <c r="G46" s="80"/>
      <c r="H46" s="81"/>
      <c r="I46" s="81" t="s">
        <v>232</v>
      </c>
      <c r="J46" s="80">
        <v>3000000</v>
      </c>
      <c r="K46" s="80" t="str">
        <f t="shared" si="2"/>
        <v/>
      </c>
      <c r="L46" s="82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s="11" customFormat="1" ht="19.95" customHeight="1">
      <c r="A47" s="79"/>
      <c r="B47" s="79" t="s">
        <v>304</v>
      </c>
      <c r="C47" s="79" t="s">
        <v>305</v>
      </c>
      <c r="D47" s="79" t="s">
        <v>306</v>
      </c>
      <c r="E47" s="79" t="s">
        <v>308</v>
      </c>
      <c r="F47" s="79"/>
      <c r="G47" s="80"/>
      <c r="H47" s="81"/>
      <c r="I47" s="81" t="s">
        <v>309</v>
      </c>
      <c r="J47" s="80">
        <v>21000000</v>
      </c>
      <c r="K47" s="80" t="str">
        <f t="shared" si="2"/>
        <v/>
      </c>
      <c r="L47" s="82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s="11" customFormat="1" ht="19.95" customHeight="1">
      <c r="A48" s="79"/>
      <c r="B48" s="79" t="s">
        <v>304</v>
      </c>
      <c r="C48" s="79" t="s">
        <v>305</v>
      </c>
      <c r="D48" s="79" t="s">
        <v>306</v>
      </c>
      <c r="E48" s="79" t="s">
        <v>310</v>
      </c>
      <c r="F48" s="79"/>
      <c r="G48" s="80"/>
      <c r="H48" s="81"/>
      <c r="I48" s="81" t="s">
        <v>311</v>
      </c>
      <c r="J48" s="80">
        <v>3600000</v>
      </c>
      <c r="K48" s="80" t="str">
        <f t="shared" si="2"/>
        <v/>
      </c>
      <c r="L48" s="82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s="11" customFormat="1" ht="19.95" customHeight="1">
      <c r="A49" s="79"/>
      <c r="B49" s="79" t="s">
        <v>304</v>
      </c>
      <c r="C49" s="79" t="s">
        <v>312</v>
      </c>
      <c r="D49" s="79" t="s">
        <v>227</v>
      </c>
      <c r="E49" s="79" t="s">
        <v>313</v>
      </c>
      <c r="F49" s="79"/>
      <c r="G49" s="80"/>
      <c r="H49" s="81"/>
      <c r="I49" s="81" t="s">
        <v>314</v>
      </c>
      <c r="J49" s="80">
        <v>2000000</v>
      </c>
      <c r="K49" s="80" t="str">
        <f t="shared" si="2"/>
        <v/>
      </c>
      <c r="L49" s="82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s="11" customFormat="1" ht="19.95" customHeight="1">
      <c r="A50" s="79"/>
      <c r="B50" s="79" t="s">
        <v>304</v>
      </c>
      <c r="C50" s="79" t="s">
        <v>312</v>
      </c>
      <c r="D50" s="79" t="s">
        <v>227</v>
      </c>
      <c r="E50" s="79" t="s">
        <v>315</v>
      </c>
      <c r="F50" s="79"/>
      <c r="G50" s="80"/>
      <c r="H50" s="81"/>
      <c r="I50" s="81" t="s">
        <v>316</v>
      </c>
      <c r="J50" s="80">
        <v>1500000</v>
      </c>
      <c r="K50" s="80" t="str">
        <f t="shared" si="2"/>
        <v/>
      </c>
      <c r="L50" s="82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s="11" customFormat="1" ht="19.95" customHeight="1">
      <c r="A51" s="79"/>
      <c r="B51" s="79" t="s">
        <v>304</v>
      </c>
      <c r="C51" s="79" t="s">
        <v>312</v>
      </c>
      <c r="D51" s="79" t="s">
        <v>227</v>
      </c>
      <c r="E51" s="79" t="s">
        <v>317</v>
      </c>
      <c r="F51" s="79"/>
      <c r="G51" s="80"/>
      <c r="H51" s="81"/>
      <c r="I51" s="81" t="s">
        <v>318</v>
      </c>
      <c r="J51" s="80">
        <v>150000</v>
      </c>
      <c r="K51" s="80" t="str">
        <f t="shared" si="2"/>
        <v/>
      </c>
      <c r="L51" s="82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s="11" customFormat="1" ht="19.95" customHeight="1">
      <c r="A52" s="79"/>
      <c r="B52" s="79" t="s">
        <v>304</v>
      </c>
      <c r="C52" s="79" t="s">
        <v>319</v>
      </c>
      <c r="D52" s="79" t="s">
        <v>230</v>
      </c>
      <c r="E52" s="79" t="s">
        <v>320</v>
      </c>
      <c r="F52" s="79"/>
      <c r="G52" s="80"/>
      <c r="H52" s="81"/>
      <c r="I52" s="81" t="s">
        <v>321</v>
      </c>
      <c r="J52" s="80">
        <v>500000</v>
      </c>
      <c r="K52" s="80" t="str">
        <f t="shared" si="2"/>
        <v/>
      </c>
      <c r="L52" s="82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s="11" customFormat="1" ht="19.95" customHeight="1">
      <c r="A53" s="79"/>
      <c r="B53" s="79" t="s">
        <v>304</v>
      </c>
      <c r="C53" s="79" t="s">
        <v>319</v>
      </c>
      <c r="D53" s="79" t="s">
        <v>223</v>
      </c>
      <c r="E53" s="79" t="s">
        <v>322</v>
      </c>
      <c r="F53" s="79"/>
      <c r="G53" s="80"/>
      <c r="H53" s="81"/>
      <c r="I53" s="81" t="s">
        <v>323</v>
      </c>
      <c r="J53" s="80">
        <v>3000000</v>
      </c>
      <c r="K53" s="80" t="str">
        <f t="shared" si="2"/>
        <v/>
      </c>
      <c r="L53" s="82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s="11" customFormat="1" ht="19.95" customHeight="1">
      <c r="A54" s="79"/>
      <c r="B54" s="79" t="s">
        <v>304</v>
      </c>
      <c r="C54" s="79" t="s">
        <v>319</v>
      </c>
      <c r="D54" s="79" t="s">
        <v>223</v>
      </c>
      <c r="E54" s="79" t="s">
        <v>324</v>
      </c>
      <c r="F54" s="79"/>
      <c r="G54" s="80"/>
      <c r="H54" s="81"/>
      <c r="I54" s="81" t="s">
        <v>323</v>
      </c>
      <c r="J54" s="80">
        <v>3000000</v>
      </c>
      <c r="K54" s="80" t="str">
        <f t="shared" si="2"/>
        <v/>
      </c>
      <c r="L54" s="82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s="11" customFormat="1" ht="19.95" customHeight="1">
      <c r="A55" s="79"/>
      <c r="B55" s="79" t="s">
        <v>304</v>
      </c>
      <c r="C55" s="79" t="s">
        <v>319</v>
      </c>
      <c r="D55" s="79" t="s">
        <v>223</v>
      </c>
      <c r="E55" s="79" t="s">
        <v>325</v>
      </c>
      <c r="F55" s="79"/>
      <c r="G55" s="80"/>
      <c r="H55" s="81"/>
      <c r="I55" s="81" t="s">
        <v>326</v>
      </c>
      <c r="J55" s="80">
        <v>2000000</v>
      </c>
      <c r="K55" s="80" t="str">
        <f t="shared" si="2"/>
        <v/>
      </c>
      <c r="L55" s="82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s="11" customFormat="1" ht="19.95" customHeight="1">
      <c r="A56" s="79"/>
      <c r="B56" s="79" t="s">
        <v>304</v>
      </c>
      <c r="C56" s="79" t="s">
        <v>319</v>
      </c>
      <c r="D56" s="79" t="s">
        <v>223</v>
      </c>
      <c r="E56" s="79" t="s">
        <v>327</v>
      </c>
      <c r="F56" s="79"/>
      <c r="G56" s="80"/>
      <c r="H56" s="81"/>
      <c r="I56" s="81" t="s">
        <v>326</v>
      </c>
      <c r="J56" s="80">
        <v>2000000</v>
      </c>
      <c r="K56" s="80" t="str">
        <f t="shared" si="2"/>
        <v/>
      </c>
      <c r="L56" s="82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s="11" customFormat="1" ht="19.95" customHeight="1">
      <c r="A57" s="79"/>
      <c r="B57" s="79" t="s">
        <v>304</v>
      </c>
      <c r="C57" s="79" t="s">
        <v>319</v>
      </c>
      <c r="D57" s="79" t="s">
        <v>223</v>
      </c>
      <c r="E57" s="79" t="s">
        <v>328</v>
      </c>
      <c r="F57" s="79"/>
      <c r="G57" s="80"/>
      <c r="H57" s="81"/>
      <c r="I57" s="81" t="s">
        <v>326</v>
      </c>
      <c r="J57" s="80">
        <v>2000000</v>
      </c>
      <c r="K57" s="80" t="str">
        <f t="shared" si="2"/>
        <v/>
      </c>
      <c r="L57" s="82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s="11" customFormat="1" ht="19.95" customHeight="1">
      <c r="A58" s="79"/>
      <c r="B58" s="79" t="s">
        <v>304</v>
      </c>
      <c r="C58" s="79" t="s">
        <v>319</v>
      </c>
      <c r="D58" s="79" t="s">
        <v>223</v>
      </c>
      <c r="E58" s="79" t="s">
        <v>329</v>
      </c>
      <c r="F58" s="79"/>
      <c r="G58" s="80"/>
      <c r="H58" s="81"/>
      <c r="I58" s="81" t="s">
        <v>326</v>
      </c>
      <c r="J58" s="80">
        <v>2000000</v>
      </c>
      <c r="K58" s="80" t="str">
        <f t="shared" si="2"/>
        <v/>
      </c>
      <c r="L58" s="82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s="11" customFormat="1" ht="19.95" customHeight="1">
      <c r="A59" s="79"/>
      <c r="B59" s="79" t="s">
        <v>304</v>
      </c>
      <c r="C59" s="79" t="s">
        <v>330</v>
      </c>
      <c r="D59" s="79" t="s">
        <v>217</v>
      </c>
      <c r="E59" s="79" t="s">
        <v>331</v>
      </c>
      <c r="F59" s="79"/>
      <c r="G59" s="80"/>
      <c r="H59" s="81"/>
      <c r="I59" s="81" t="s">
        <v>332</v>
      </c>
      <c r="J59" s="80">
        <v>13020000</v>
      </c>
      <c r="K59" s="80" t="str">
        <f t="shared" si="2"/>
        <v/>
      </c>
      <c r="L59" s="82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s="11" customFormat="1" ht="19.95" customHeight="1">
      <c r="A60" s="79"/>
      <c r="B60" s="79" t="s">
        <v>304</v>
      </c>
      <c r="C60" s="79" t="s">
        <v>333</v>
      </c>
      <c r="D60" s="79" t="s">
        <v>223</v>
      </c>
      <c r="E60" s="79" t="s">
        <v>334</v>
      </c>
      <c r="F60" s="79"/>
      <c r="G60" s="80"/>
      <c r="H60" s="81"/>
      <c r="I60" s="81" t="s">
        <v>335</v>
      </c>
      <c r="J60" s="80">
        <v>2500000</v>
      </c>
      <c r="K60" s="80" t="str">
        <f t="shared" si="2"/>
        <v/>
      </c>
      <c r="L60" s="82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s="11" customFormat="1" ht="19.95" customHeight="1">
      <c r="A61" s="79"/>
      <c r="B61" s="79" t="s">
        <v>304</v>
      </c>
      <c r="C61" s="79" t="s">
        <v>333</v>
      </c>
      <c r="D61" s="79" t="s">
        <v>223</v>
      </c>
      <c r="E61" s="79" t="s">
        <v>336</v>
      </c>
      <c r="F61" s="79"/>
      <c r="G61" s="80"/>
      <c r="H61" s="81"/>
      <c r="I61" s="81" t="s">
        <v>335</v>
      </c>
      <c r="J61" s="80">
        <v>2500000</v>
      </c>
      <c r="K61" s="80" t="str">
        <f t="shared" si="2"/>
        <v/>
      </c>
      <c r="L61" s="82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s="11" customFormat="1" ht="19.95" customHeight="1">
      <c r="A62" s="79"/>
      <c r="B62" s="79" t="s">
        <v>304</v>
      </c>
      <c r="C62" s="79" t="s">
        <v>333</v>
      </c>
      <c r="D62" s="79" t="s">
        <v>223</v>
      </c>
      <c r="E62" s="79" t="s">
        <v>337</v>
      </c>
      <c r="F62" s="79"/>
      <c r="G62" s="80"/>
      <c r="H62" s="81"/>
      <c r="I62" s="81" t="s">
        <v>335</v>
      </c>
      <c r="J62" s="80">
        <v>2500000</v>
      </c>
      <c r="K62" s="80" t="str">
        <f t="shared" si="2"/>
        <v/>
      </c>
      <c r="L62" s="82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s="11" customFormat="1" ht="19.95" customHeight="1">
      <c r="A63" s="79"/>
      <c r="B63" s="79" t="s">
        <v>304</v>
      </c>
      <c r="C63" s="79" t="s">
        <v>333</v>
      </c>
      <c r="D63" s="79" t="s">
        <v>223</v>
      </c>
      <c r="E63" s="79" t="s">
        <v>338</v>
      </c>
      <c r="F63" s="79"/>
      <c r="G63" s="80"/>
      <c r="H63" s="81"/>
      <c r="I63" s="81" t="s">
        <v>335</v>
      </c>
      <c r="J63" s="80">
        <v>2500000</v>
      </c>
      <c r="K63" s="80" t="str">
        <f t="shared" si="2"/>
        <v/>
      </c>
      <c r="L63" s="82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s="11" customFormat="1" ht="19.95" customHeight="1">
      <c r="A64" s="79"/>
      <c r="B64" s="79" t="s">
        <v>304</v>
      </c>
      <c r="C64" s="79" t="s">
        <v>333</v>
      </c>
      <c r="D64" s="79" t="s">
        <v>223</v>
      </c>
      <c r="E64" s="79" t="s">
        <v>339</v>
      </c>
      <c r="F64" s="79"/>
      <c r="G64" s="80"/>
      <c r="H64" s="81"/>
      <c r="I64" s="81" t="s">
        <v>335</v>
      </c>
      <c r="J64" s="80">
        <v>2500000</v>
      </c>
      <c r="K64" s="80" t="str">
        <f t="shared" si="2"/>
        <v/>
      </c>
      <c r="L64" s="82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s="11" customFormat="1" ht="19.95" customHeight="1">
      <c r="A65" s="79"/>
      <c r="B65" s="79" t="s">
        <v>304</v>
      </c>
      <c r="C65" s="79" t="s">
        <v>333</v>
      </c>
      <c r="D65" s="79" t="s">
        <v>223</v>
      </c>
      <c r="E65" s="79" t="s">
        <v>340</v>
      </c>
      <c r="F65" s="79"/>
      <c r="G65" s="80"/>
      <c r="H65" s="81"/>
      <c r="I65" s="81" t="s">
        <v>335</v>
      </c>
      <c r="J65" s="80">
        <v>2500000</v>
      </c>
      <c r="K65" s="80" t="str">
        <f t="shared" si="2"/>
        <v/>
      </c>
      <c r="L65" s="82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s="11" customFormat="1" ht="19.95" customHeight="1">
      <c r="A66" s="79"/>
      <c r="B66" s="79" t="s">
        <v>304</v>
      </c>
      <c r="C66" s="79" t="s">
        <v>341</v>
      </c>
      <c r="D66" s="79" t="s">
        <v>230</v>
      </c>
      <c r="E66" s="79" t="s">
        <v>342</v>
      </c>
      <c r="F66" s="79"/>
      <c r="G66" s="80"/>
      <c r="H66" s="81"/>
      <c r="I66" s="81" t="s">
        <v>343</v>
      </c>
      <c r="J66" s="80">
        <v>4000000</v>
      </c>
      <c r="K66" s="80" t="str">
        <f t="shared" si="2"/>
        <v/>
      </c>
      <c r="L66" s="82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s="11" customFormat="1" ht="19.95" customHeight="1">
      <c r="A67" s="79"/>
      <c r="B67" s="79" t="s">
        <v>304</v>
      </c>
      <c r="C67" s="79" t="s">
        <v>341</v>
      </c>
      <c r="D67" s="79" t="s">
        <v>217</v>
      </c>
      <c r="E67" s="79" t="s">
        <v>344</v>
      </c>
      <c r="F67" s="79"/>
      <c r="G67" s="80"/>
      <c r="H67" s="81"/>
      <c r="I67" s="81" t="s">
        <v>345</v>
      </c>
      <c r="J67" s="80">
        <v>800000</v>
      </c>
      <c r="K67" s="80" t="str">
        <f t="shared" si="2"/>
        <v/>
      </c>
      <c r="L67" s="82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s="11" customFormat="1" ht="19.95" customHeight="1">
      <c r="A68" s="79"/>
      <c r="B68" s="79" t="s">
        <v>304</v>
      </c>
      <c r="C68" s="79" t="s">
        <v>341</v>
      </c>
      <c r="D68" s="79" t="s">
        <v>223</v>
      </c>
      <c r="E68" s="79" t="s">
        <v>346</v>
      </c>
      <c r="F68" s="79"/>
      <c r="G68" s="80"/>
      <c r="H68" s="81"/>
      <c r="I68" s="81" t="s">
        <v>347</v>
      </c>
      <c r="J68" s="80">
        <v>1200000</v>
      </c>
      <c r="K68" s="80" t="str">
        <f t="shared" si="2"/>
        <v/>
      </c>
      <c r="L68" s="82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s="11" customFormat="1" ht="19.95" customHeight="1">
      <c r="A69" s="79"/>
      <c r="B69" s="79" t="s">
        <v>304</v>
      </c>
      <c r="C69" s="79" t="s">
        <v>341</v>
      </c>
      <c r="D69" s="79" t="s">
        <v>223</v>
      </c>
      <c r="E69" s="79" t="s">
        <v>348</v>
      </c>
      <c r="F69" s="79"/>
      <c r="G69" s="80"/>
      <c r="H69" s="81"/>
      <c r="I69" s="81" t="s">
        <v>349</v>
      </c>
      <c r="J69" s="80">
        <v>1000000</v>
      </c>
      <c r="K69" s="80" t="str">
        <f t="shared" si="2"/>
        <v/>
      </c>
      <c r="L69" s="82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s="11" customFormat="1" ht="19.95" customHeight="1">
      <c r="A70" s="79"/>
      <c r="B70" s="79" t="s">
        <v>304</v>
      </c>
      <c r="C70" s="79" t="s">
        <v>341</v>
      </c>
      <c r="D70" s="79" t="s">
        <v>227</v>
      </c>
      <c r="E70" s="79" t="s">
        <v>350</v>
      </c>
      <c r="F70" s="79"/>
      <c r="G70" s="80"/>
      <c r="H70" s="81"/>
      <c r="I70" s="81" t="s">
        <v>351</v>
      </c>
      <c r="J70" s="80">
        <v>1500000</v>
      </c>
      <c r="K70" s="80" t="str">
        <f t="shared" si="2"/>
        <v/>
      </c>
      <c r="L70" s="82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s="11" customFormat="1" ht="19.95" customHeight="1">
      <c r="A71" s="79"/>
      <c r="B71" s="79" t="s">
        <v>352</v>
      </c>
      <c r="C71" s="79" t="s">
        <v>353</v>
      </c>
      <c r="D71" s="79" t="s">
        <v>230</v>
      </c>
      <c r="E71" s="79" t="s">
        <v>354</v>
      </c>
      <c r="F71" s="79"/>
      <c r="G71" s="80"/>
      <c r="H71" s="81"/>
      <c r="I71" s="81" t="s">
        <v>355</v>
      </c>
      <c r="J71" s="80">
        <v>200000</v>
      </c>
      <c r="K71" s="80" t="str">
        <f t="shared" si="2"/>
        <v/>
      </c>
      <c r="L71" s="82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s="11" customFormat="1" ht="19.95" customHeight="1">
      <c r="A72" s="79"/>
      <c r="B72" s="79" t="s">
        <v>352</v>
      </c>
      <c r="C72" s="79" t="s">
        <v>353</v>
      </c>
      <c r="D72" s="79" t="s">
        <v>223</v>
      </c>
      <c r="E72" s="79" t="s">
        <v>356</v>
      </c>
      <c r="F72" s="79"/>
      <c r="G72" s="80"/>
      <c r="H72" s="81"/>
      <c r="I72" s="81" t="s">
        <v>357</v>
      </c>
      <c r="J72" s="80">
        <v>4000000</v>
      </c>
      <c r="K72" s="80" t="str">
        <f t="shared" si="2"/>
        <v/>
      </c>
      <c r="L72" s="82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s="11" customFormat="1" ht="19.95" customHeight="1">
      <c r="A73" s="79"/>
      <c r="B73" s="79" t="s">
        <v>352</v>
      </c>
      <c r="C73" s="79" t="s">
        <v>353</v>
      </c>
      <c r="D73" s="79" t="s">
        <v>223</v>
      </c>
      <c r="E73" s="79" t="s">
        <v>358</v>
      </c>
      <c r="F73" s="79"/>
      <c r="G73" s="80"/>
      <c r="H73" s="81"/>
      <c r="I73" s="81" t="s">
        <v>359</v>
      </c>
      <c r="J73" s="80">
        <v>4000000</v>
      </c>
      <c r="K73" s="80" t="str">
        <f t="shared" si="2"/>
        <v/>
      </c>
      <c r="L73" s="82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s="11" customFormat="1" ht="19.95" customHeight="1">
      <c r="A74" s="79"/>
      <c r="B74" s="79" t="s">
        <v>352</v>
      </c>
      <c r="C74" s="79" t="s">
        <v>353</v>
      </c>
      <c r="D74" s="79" t="s">
        <v>223</v>
      </c>
      <c r="E74" s="79" t="s">
        <v>360</v>
      </c>
      <c r="F74" s="79"/>
      <c r="G74" s="80"/>
      <c r="H74" s="81"/>
      <c r="I74" s="81" t="s">
        <v>361</v>
      </c>
      <c r="J74" s="80">
        <v>2000000</v>
      </c>
      <c r="K74" s="80" t="str">
        <f t="shared" si="2"/>
        <v/>
      </c>
      <c r="L74" s="82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s="11" customFormat="1" ht="19.95" customHeight="1">
      <c r="A75" s="79"/>
      <c r="B75" s="79" t="s">
        <v>362</v>
      </c>
      <c r="C75" s="79" t="s">
        <v>353</v>
      </c>
      <c r="D75" s="79" t="s">
        <v>223</v>
      </c>
      <c r="E75" s="79" t="s">
        <v>363</v>
      </c>
      <c r="F75" s="79"/>
      <c r="G75" s="80"/>
      <c r="H75" s="81"/>
      <c r="I75" s="81" t="s">
        <v>364</v>
      </c>
      <c r="J75" s="80">
        <v>500000</v>
      </c>
      <c r="K75" s="80" t="str">
        <f t="shared" si="2"/>
        <v/>
      </c>
      <c r="L75" s="82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s="11" customFormat="1" ht="19.95" customHeight="1">
      <c r="A76" s="79"/>
      <c r="B76" s="79" t="s">
        <v>362</v>
      </c>
      <c r="C76" s="79" t="s">
        <v>365</v>
      </c>
      <c r="D76" s="79" t="s">
        <v>230</v>
      </c>
      <c r="E76" s="79" t="s">
        <v>366</v>
      </c>
      <c r="F76" s="79"/>
      <c r="G76" s="80"/>
      <c r="H76" s="81"/>
      <c r="I76" s="81" t="s">
        <v>367</v>
      </c>
      <c r="J76" s="80">
        <v>2400000</v>
      </c>
      <c r="K76" s="80" t="str">
        <f t="shared" ref="K76:K107" si="3">IF(AND(ISNUMBER(G76),ISNUMBER(J76)),G76-J76,"")</f>
        <v/>
      </c>
      <c r="L76" s="82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s="11" customFormat="1" ht="19.95" customHeight="1">
      <c r="A77" s="79"/>
      <c r="B77" s="79" t="s">
        <v>362</v>
      </c>
      <c r="C77" s="79" t="s">
        <v>368</v>
      </c>
      <c r="D77" s="79" t="s">
        <v>223</v>
      </c>
      <c r="E77" s="79" t="s">
        <v>369</v>
      </c>
      <c r="F77" s="79"/>
      <c r="G77" s="80"/>
      <c r="H77" s="81"/>
      <c r="I77" s="81" t="s">
        <v>370</v>
      </c>
      <c r="J77" s="80">
        <v>6000000</v>
      </c>
      <c r="K77" s="80" t="str">
        <f t="shared" si="3"/>
        <v/>
      </c>
      <c r="L77" s="82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s="11" customFormat="1" ht="19.95" customHeight="1">
      <c r="A78" s="79"/>
      <c r="B78" s="79" t="s">
        <v>362</v>
      </c>
      <c r="C78" s="79" t="s">
        <v>368</v>
      </c>
      <c r="D78" s="79" t="s">
        <v>223</v>
      </c>
      <c r="E78" s="79" t="s">
        <v>371</v>
      </c>
      <c r="F78" s="79"/>
      <c r="G78" s="80"/>
      <c r="H78" s="81"/>
      <c r="I78" s="81" t="s">
        <v>370</v>
      </c>
      <c r="J78" s="80">
        <v>6000000</v>
      </c>
      <c r="K78" s="80" t="str">
        <f t="shared" si="3"/>
        <v/>
      </c>
      <c r="L78" s="82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s="11" customFormat="1" ht="19.95" customHeight="1">
      <c r="A79" s="79"/>
      <c r="B79" s="79" t="s">
        <v>362</v>
      </c>
      <c r="C79" s="79" t="s">
        <v>372</v>
      </c>
      <c r="D79" s="79" t="s">
        <v>230</v>
      </c>
      <c r="E79" s="79" t="s">
        <v>373</v>
      </c>
      <c r="F79" s="79"/>
      <c r="G79" s="80"/>
      <c r="H79" s="81"/>
      <c r="I79" s="81" t="s">
        <v>374</v>
      </c>
      <c r="J79" s="80">
        <v>4000000</v>
      </c>
      <c r="K79" s="80" t="str">
        <f t="shared" si="3"/>
        <v/>
      </c>
      <c r="L79" s="82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s="11" customFormat="1" ht="19.95" customHeight="1">
      <c r="A80" s="79"/>
      <c r="B80" s="79" t="s">
        <v>375</v>
      </c>
      <c r="C80" s="79" t="s">
        <v>365</v>
      </c>
      <c r="D80" s="79" t="s">
        <v>376</v>
      </c>
      <c r="E80" s="79" t="s">
        <v>377</v>
      </c>
      <c r="F80" s="79"/>
      <c r="G80" s="80"/>
      <c r="H80" s="81"/>
      <c r="I80" s="81" t="s">
        <v>378</v>
      </c>
      <c r="J80" s="80">
        <v>13500000</v>
      </c>
      <c r="K80" s="80" t="str">
        <f t="shared" si="3"/>
        <v/>
      </c>
      <c r="L80" s="82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s="11" customFormat="1" ht="19.95" customHeight="1">
      <c r="A81" s="79"/>
      <c r="B81" s="79" t="s">
        <v>375</v>
      </c>
      <c r="C81" s="79" t="s">
        <v>365</v>
      </c>
      <c r="D81" s="79" t="s">
        <v>223</v>
      </c>
      <c r="E81" s="79" t="s">
        <v>379</v>
      </c>
      <c r="F81" s="79"/>
      <c r="G81" s="80"/>
      <c r="H81" s="81"/>
      <c r="I81" s="81" t="s">
        <v>380</v>
      </c>
      <c r="J81" s="80">
        <v>1050000</v>
      </c>
      <c r="K81" s="80" t="str">
        <f t="shared" si="3"/>
        <v/>
      </c>
      <c r="L81" s="82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s="11" customFormat="1" ht="19.95" customHeight="1">
      <c r="A82" s="79"/>
      <c r="B82" s="79" t="s">
        <v>375</v>
      </c>
      <c r="C82" s="79" t="s">
        <v>365</v>
      </c>
      <c r="D82" s="79" t="s">
        <v>227</v>
      </c>
      <c r="E82" s="79" t="s">
        <v>381</v>
      </c>
      <c r="F82" s="79"/>
      <c r="G82" s="80"/>
      <c r="H82" s="81"/>
      <c r="I82" s="81" t="s">
        <v>382</v>
      </c>
      <c r="J82" s="80">
        <v>450000</v>
      </c>
      <c r="K82" s="80" t="str">
        <f t="shared" si="3"/>
        <v/>
      </c>
      <c r="L82" s="82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s="11" customFormat="1" ht="19.95" customHeight="1">
      <c r="A83" s="79"/>
      <c r="B83" s="79" t="s">
        <v>375</v>
      </c>
      <c r="C83" s="79" t="s">
        <v>383</v>
      </c>
      <c r="D83" s="79" t="s">
        <v>223</v>
      </c>
      <c r="E83" s="79" t="s">
        <v>383</v>
      </c>
      <c r="F83" s="79"/>
      <c r="G83" s="80"/>
      <c r="H83" s="81"/>
      <c r="I83" s="81" t="s">
        <v>323</v>
      </c>
      <c r="J83" s="80">
        <v>3000000</v>
      </c>
      <c r="K83" s="80" t="str">
        <f t="shared" si="3"/>
        <v/>
      </c>
      <c r="L83" s="82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s="11" customFormat="1" ht="19.95" customHeight="1">
      <c r="A84" s="79"/>
      <c r="B84" s="79" t="s">
        <v>384</v>
      </c>
      <c r="C84" s="79" t="s">
        <v>385</v>
      </c>
      <c r="D84" s="79" t="s">
        <v>223</v>
      </c>
      <c r="E84" s="79" t="s">
        <v>386</v>
      </c>
      <c r="F84" s="79"/>
      <c r="G84" s="80"/>
      <c r="H84" s="81"/>
      <c r="I84" s="81" t="s">
        <v>387</v>
      </c>
      <c r="J84" s="80">
        <v>1000000</v>
      </c>
      <c r="K84" s="80" t="str">
        <f t="shared" si="3"/>
        <v/>
      </c>
      <c r="L84" s="82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s="11" customFormat="1" ht="19.95" customHeight="1">
      <c r="A85" s="79"/>
      <c r="B85" s="79" t="s">
        <v>388</v>
      </c>
      <c r="C85" s="79" t="s">
        <v>353</v>
      </c>
      <c r="D85" s="79" t="s">
        <v>223</v>
      </c>
      <c r="E85" s="79" t="s">
        <v>389</v>
      </c>
      <c r="F85" s="79"/>
      <c r="G85" s="80"/>
      <c r="H85" s="81"/>
      <c r="I85" s="81" t="s">
        <v>390</v>
      </c>
      <c r="J85" s="80">
        <v>1000000</v>
      </c>
      <c r="K85" s="80" t="str">
        <f t="shared" si="3"/>
        <v/>
      </c>
      <c r="L85" s="82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s="11" customFormat="1" ht="19.95" customHeight="1">
      <c r="A86" s="79"/>
      <c r="B86" s="79" t="s">
        <v>391</v>
      </c>
      <c r="C86" s="79" t="s">
        <v>353</v>
      </c>
      <c r="D86" s="79" t="s">
        <v>223</v>
      </c>
      <c r="E86" s="79" t="s">
        <v>392</v>
      </c>
      <c r="F86" s="79"/>
      <c r="G86" s="80"/>
      <c r="H86" s="81"/>
      <c r="I86" s="81" t="s">
        <v>393</v>
      </c>
      <c r="J86" s="80">
        <v>1000000</v>
      </c>
      <c r="K86" s="80" t="str">
        <f t="shared" si="3"/>
        <v/>
      </c>
      <c r="L86" s="82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s="11" customFormat="1" ht="19.95" customHeight="1">
      <c r="A87" s="79"/>
      <c r="B87" s="79" t="s">
        <v>391</v>
      </c>
      <c r="C87" s="79" t="s">
        <v>353</v>
      </c>
      <c r="D87" s="79" t="s">
        <v>223</v>
      </c>
      <c r="E87" s="79" t="s">
        <v>394</v>
      </c>
      <c r="F87" s="79"/>
      <c r="G87" s="80"/>
      <c r="H87" s="81"/>
      <c r="I87" s="81" t="s">
        <v>395</v>
      </c>
      <c r="J87" s="80">
        <v>1000000</v>
      </c>
      <c r="K87" s="80" t="str">
        <f t="shared" si="3"/>
        <v/>
      </c>
      <c r="L87" s="82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s="11" customFormat="1" ht="19.95" customHeight="1">
      <c r="A88" s="79"/>
      <c r="B88" s="79" t="s">
        <v>391</v>
      </c>
      <c r="C88" s="79" t="s">
        <v>353</v>
      </c>
      <c r="D88" s="79" t="s">
        <v>227</v>
      </c>
      <c r="E88" s="79" t="s">
        <v>396</v>
      </c>
      <c r="F88" s="79"/>
      <c r="G88" s="80"/>
      <c r="H88" s="81"/>
      <c r="I88" s="81" t="s">
        <v>397</v>
      </c>
      <c r="J88" s="80">
        <v>300000</v>
      </c>
      <c r="K88" s="80" t="str">
        <f t="shared" si="3"/>
        <v/>
      </c>
      <c r="L88" s="82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s="11" customFormat="1" ht="19.95" customHeight="1">
      <c r="A89" s="79"/>
      <c r="B89" s="79" t="s">
        <v>391</v>
      </c>
      <c r="C89" s="79" t="s">
        <v>353</v>
      </c>
      <c r="D89" s="79" t="s">
        <v>398</v>
      </c>
      <c r="E89" s="79" t="s">
        <v>399</v>
      </c>
      <c r="F89" s="79"/>
      <c r="G89" s="80"/>
      <c r="H89" s="81"/>
      <c r="I89" s="81" t="s">
        <v>326</v>
      </c>
      <c r="J89" s="80">
        <v>2000000</v>
      </c>
      <c r="K89" s="80" t="str">
        <f t="shared" si="3"/>
        <v/>
      </c>
      <c r="L89" s="82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s="11" customFormat="1" ht="19.95" customHeight="1">
      <c r="A90" s="79"/>
      <c r="B90" s="79" t="s">
        <v>391</v>
      </c>
      <c r="C90" s="79" t="s">
        <v>365</v>
      </c>
      <c r="D90" s="79" t="s">
        <v>223</v>
      </c>
      <c r="E90" s="79" t="s">
        <v>400</v>
      </c>
      <c r="F90" s="79"/>
      <c r="G90" s="80"/>
      <c r="H90" s="81"/>
      <c r="I90" s="81" t="s">
        <v>401</v>
      </c>
      <c r="J90" s="80">
        <v>1700000</v>
      </c>
      <c r="K90" s="80" t="str">
        <f t="shared" si="3"/>
        <v/>
      </c>
      <c r="L90" s="82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s="11" customFormat="1" ht="19.95" customHeight="1">
      <c r="A91" s="79"/>
      <c r="B91" s="79" t="s">
        <v>391</v>
      </c>
      <c r="C91" s="79" t="s">
        <v>365</v>
      </c>
      <c r="D91" s="79" t="s">
        <v>223</v>
      </c>
      <c r="E91" s="79" t="s">
        <v>402</v>
      </c>
      <c r="F91" s="79"/>
      <c r="G91" s="80"/>
      <c r="H91" s="81"/>
      <c r="I91" s="81" t="s">
        <v>403</v>
      </c>
      <c r="J91" s="80">
        <v>2000000</v>
      </c>
      <c r="K91" s="80" t="str">
        <f t="shared" si="3"/>
        <v/>
      </c>
      <c r="L91" s="82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s="11" customFormat="1" ht="19.95" customHeight="1">
      <c r="A92" s="79"/>
      <c r="B92" s="79" t="s">
        <v>404</v>
      </c>
      <c r="C92" s="79" t="s">
        <v>405</v>
      </c>
      <c r="D92" s="79" t="s">
        <v>230</v>
      </c>
      <c r="E92" s="79" t="s">
        <v>406</v>
      </c>
      <c r="F92" s="79"/>
      <c r="G92" s="80"/>
      <c r="H92" s="81"/>
      <c r="I92" s="81" t="s">
        <v>407</v>
      </c>
      <c r="J92" s="80">
        <v>1800000</v>
      </c>
      <c r="K92" s="80" t="str">
        <f t="shared" si="3"/>
        <v/>
      </c>
      <c r="L92" s="82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s="11" customFormat="1" ht="19.95" customHeight="1">
      <c r="A93" s="79"/>
      <c r="B93" s="79" t="s">
        <v>404</v>
      </c>
      <c r="C93" s="79" t="s">
        <v>405</v>
      </c>
      <c r="D93" s="79" t="s">
        <v>227</v>
      </c>
      <c r="E93" s="79" t="s">
        <v>233</v>
      </c>
      <c r="F93" s="79"/>
      <c r="G93" s="80"/>
      <c r="H93" s="81"/>
      <c r="I93" s="81" t="s">
        <v>407</v>
      </c>
      <c r="J93" s="80">
        <v>1800000</v>
      </c>
      <c r="K93" s="80" t="str">
        <f t="shared" si="3"/>
        <v/>
      </c>
      <c r="L93" s="82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s="11" customFormat="1" ht="19.95" customHeight="1">
      <c r="A94" s="79"/>
      <c r="B94" s="79" t="s">
        <v>408</v>
      </c>
      <c r="C94" s="79" t="s">
        <v>409</v>
      </c>
      <c r="D94" s="79" t="s">
        <v>217</v>
      </c>
      <c r="E94" s="79" t="s">
        <v>410</v>
      </c>
      <c r="F94" s="79"/>
      <c r="G94" s="80"/>
      <c r="H94" s="81"/>
      <c r="I94" s="81" t="s">
        <v>411</v>
      </c>
      <c r="J94" s="80">
        <v>420000</v>
      </c>
      <c r="K94" s="80" t="str">
        <f t="shared" si="3"/>
        <v/>
      </c>
      <c r="L94" s="82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s="11" customFormat="1" ht="19.95" customHeight="1">
      <c r="A95" s="79"/>
      <c r="B95" s="79" t="s">
        <v>408</v>
      </c>
      <c r="C95" s="79" t="s">
        <v>409</v>
      </c>
      <c r="D95" s="79" t="s">
        <v>223</v>
      </c>
      <c r="E95" s="79" t="s">
        <v>412</v>
      </c>
      <c r="F95" s="79"/>
      <c r="G95" s="80"/>
      <c r="H95" s="81"/>
      <c r="I95" s="81" t="s">
        <v>413</v>
      </c>
      <c r="J95" s="80">
        <v>1280000</v>
      </c>
      <c r="K95" s="80" t="str">
        <f t="shared" si="3"/>
        <v/>
      </c>
      <c r="L95" s="82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s="11" customFormat="1" ht="19.95" customHeight="1">
      <c r="A96" s="79"/>
      <c r="B96" s="79" t="s">
        <v>414</v>
      </c>
      <c r="C96" s="79" t="s">
        <v>415</v>
      </c>
      <c r="D96" s="79" t="s">
        <v>230</v>
      </c>
      <c r="E96" s="79" t="s">
        <v>416</v>
      </c>
      <c r="F96" s="79"/>
      <c r="G96" s="80"/>
      <c r="H96" s="81"/>
      <c r="I96" s="81" t="s">
        <v>417</v>
      </c>
      <c r="J96" s="80">
        <v>480000</v>
      </c>
      <c r="K96" s="80" t="str">
        <f t="shared" si="3"/>
        <v/>
      </c>
      <c r="L96" s="82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s="11" customFormat="1" ht="19.95" customHeight="1">
      <c r="A97" s="79"/>
      <c r="B97" s="79" t="s">
        <v>414</v>
      </c>
      <c r="C97" s="79" t="s">
        <v>415</v>
      </c>
      <c r="D97" s="79" t="s">
        <v>418</v>
      </c>
      <c r="E97" s="79" t="s">
        <v>415</v>
      </c>
      <c r="F97" s="79"/>
      <c r="G97" s="80"/>
      <c r="H97" s="81"/>
      <c r="I97" s="81" t="s">
        <v>419</v>
      </c>
      <c r="J97" s="80">
        <v>14000000</v>
      </c>
      <c r="K97" s="80" t="str">
        <f t="shared" si="3"/>
        <v/>
      </c>
      <c r="L97" s="82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s="11" customFormat="1" ht="19.95" customHeight="1">
      <c r="A98" s="79"/>
      <c r="B98" s="79" t="s">
        <v>414</v>
      </c>
      <c r="C98" s="79" t="s">
        <v>420</v>
      </c>
      <c r="D98" s="79" t="s">
        <v>230</v>
      </c>
      <c r="E98" s="79" t="s">
        <v>421</v>
      </c>
      <c r="F98" s="79"/>
      <c r="G98" s="80"/>
      <c r="H98" s="81"/>
      <c r="I98" s="81" t="s">
        <v>422</v>
      </c>
      <c r="J98" s="80">
        <v>1200000</v>
      </c>
      <c r="K98" s="80" t="str">
        <f t="shared" si="3"/>
        <v/>
      </c>
      <c r="L98" s="82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s="11" customFormat="1" ht="19.95" customHeight="1">
      <c r="A99" s="79"/>
      <c r="B99" s="79" t="s">
        <v>414</v>
      </c>
      <c r="C99" s="79" t="s">
        <v>420</v>
      </c>
      <c r="D99" s="79" t="s">
        <v>223</v>
      </c>
      <c r="E99" s="79" t="s">
        <v>423</v>
      </c>
      <c r="F99" s="79"/>
      <c r="G99" s="80"/>
      <c r="H99" s="81"/>
      <c r="I99" s="81" t="s">
        <v>424</v>
      </c>
      <c r="J99" s="80">
        <v>600000</v>
      </c>
      <c r="K99" s="80" t="str">
        <f t="shared" si="3"/>
        <v/>
      </c>
      <c r="L99" s="82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s="11" customFormat="1" ht="19.95" customHeight="1">
      <c r="A100" s="79"/>
      <c r="B100" s="79" t="s">
        <v>414</v>
      </c>
      <c r="C100" s="79" t="s">
        <v>420</v>
      </c>
      <c r="D100" s="79" t="s">
        <v>227</v>
      </c>
      <c r="E100" s="79" t="s">
        <v>425</v>
      </c>
      <c r="F100" s="79"/>
      <c r="G100" s="80"/>
      <c r="H100" s="81"/>
      <c r="I100" s="81" t="s">
        <v>426</v>
      </c>
      <c r="J100" s="80">
        <v>100000</v>
      </c>
      <c r="K100" s="80" t="str">
        <f t="shared" si="3"/>
        <v/>
      </c>
      <c r="L100" s="82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s="11" customFormat="1" ht="19.95" customHeight="1">
      <c r="A101" s="79"/>
      <c r="B101" s="79" t="s">
        <v>414</v>
      </c>
      <c r="C101" s="79" t="s">
        <v>420</v>
      </c>
      <c r="D101" s="79" t="s">
        <v>398</v>
      </c>
      <c r="E101" s="79" t="s">
        <v>427</v>
      </c>
      <c r="F101" s="79"/>
      <c r="G101" s="80"/>
      <c r="H101" s="81"/>
      <c r="I101" s="81" t="s">
        <v>428</v>
      </c>
      <c r="J101" s="80">
        <v>1500000</v>
      </c>
      <c r="K101" s="80" t="str">
        <f t="shared" si="3"/>
        <v/>
      </c>
      <c r="L101" s="82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s="11" customFormat="1" ht="19.95" customHeight="1">
      <c r="A102" s="79"/>
      <c r="B102" s="79" t="s">
        <v>414</v>
      </c>
      <c r="C102" s="79" t="s">
        <v>429</v>
      </c>
      <c r="D102" s="79" t="s">
        <v>223</v>
      </c>
      <c r="E102" s="79" t="s">
        <v>430</v>
      </c>
      <c r="F102" s="79"/>
      <c r="G102" s="80"/>
      <c r="H102" s="81"/>
      <c r="I102" s="81" t="s">
        <v>431</v>
      </c>
      <c r="J102" s="80">
        <v>4000000</v>
      </c>
      <c r="K102" s="80" t="str">
        <f t="shared" si="3"/>
        <v/>
      </c>
      <c r="L102" s="82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s="11" customFormat="1" ht="19.95" customHeight="1">
      <c r="A103" s="79"/>
      <c r="B103" s="79" t="s">
        <v>414</v>
      </c>
      <c r="C103" s="79" t="s">
        <v>429</v>
      </c>
      <c r="D103" s="79" t="s">
        <v>223</v>
      </c>
      <c r="E103" s="79" t="s">
        <v>432</v>
      </c>
      <c r="F103" s="79"/>
      <c r="G103" s="80"/>
      <c r="H103" s="81"/>
      <c r="I103" s="81" t="s">
        <v>321</v>
      </c>
      <c r="J103" s="80">
        <v>500000</v>
      </c>
      <c r="K103" s="80" t="str">
        <f t="shared" si="3"/>
        <v/>
      </c>
      <c r="L103" s="82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s="11" customFormat="1" ht="19.95" customHeight="1">
      <c r="A104" s="79"/>
      <c r="B104" s="79" t="s">
        <v>414</v>
      </c>
      <c r="C104" s="79" t="s">
        <v>429</v>
      </c>
      <c r="D104" s="79" t="s">
        <v>223</v>
      </c>
      <c r="E104" s="79" t="s">
        <v>433</v>
      </c>
      <c r="F104" s="79"/>
      <c r="G104" s="80"/>
      <c r="H104" s="81"/>
      <c r="I104" s="81" t="s">
        <v>434</v>
      </c>
      <c r="J104" s="80">
        <v>250000</v>
      </c>
      <c r="K104" s="80" t="str">
        <f t="shared" si="3"/>
        <v/>
      </c>
      <c r="L104" s="82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s="11" customFormat="1" ht="19.95" customHeight="1">
      <c r="A105" s="79"/>
      <c r="B105" s="79" t="s">
        <v>435</v>
      </c>
      <c r="C105" s="79" t="s">
        <v>436</v>
      </c>
      <c r="D105" s="79" t="s">
        <v>230</v>
      </c>
      <c r="E105" s="79" t="s">
        <v>437</v>
      </c>
      <c r="F105" s="79"/>
      <c r="G105" s="80"/>
      <c r="H105" s="81"/>
      <c r="I105" s="81" t="s">
        <v>438</v>
      </c>
      <c r="J105" s="80">
        <v>2000000</v>
      </c>
      <c r="K105" s="80" t="str">
        <f t="shared" si="3"/>
        <v/>
      </c>
      <c r="L105" s="82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s="11" customFormat="1" ht="19.95" customHeight="1">
      <c r="A106" s="79"/>
      <c r="B106" s="79" t="s">
        <v>435</v>
      </c>
      <c r="C106" s="79" t="s">
        <v>436</v>
      </c>
      <c r="D106" s="79" t="s">
        <v>230</v>
      </c>
      <c r="E106" s="79" t="s">
        <v>439</v>
      </c>
      <c r="F106" s="79"/>
      <c r="G106" s="80"/>
      <c r="H106" s="81"/>
      <c r="I106" s="81" t="s">
        <v>440</v>
      </c>
      <c r="J106" s="80">
        <v>500000</v>
      </c>
      <c r="K106" s="80" t="str">
        <f t="shared" si="3"/>
        <v/>
      </c>
      <c r="L106" s="82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s="11" customFormat="1" ht="19.95" customHeight="1">
      <c r="A107" s="79"/>
      <c r="B107" s="79" t="s">
        <v>441</v>
      </c>
      <c r="C107" s="79" t="s">
        <v>441</v>
      </c>
      <c r="D107" s="79" t="s">
        <v>230</v>
      </c>
      <c r="E107" s="79" t="s">
        <v>442</v>
      </c>
      <c r="F107" s="79"/>
      <c r="G107" s="80"/>
      <c r="H107" s="81"/>
      <c r="I107" s="81" t="s">
        <v>443</v>
      </c>
      <c r="J107" s="80">
        <v>1000000</v>
      </c>
      <c r="K107" s="80" t="str">
        <f t="shared" si="3"/>
        <v/>
      </c>
      <c r="L107" s="82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s="11" customFormat="1" ht="19.95" customHeight="1">
      <c r="A108" s="79"/>
      <c r="B108" s="79" t="s">
        <v>441</v>
      </c>
      <c r="C108" s="79" t="s">
        <v>441</v>
      </c>
      <c r="D108" s="79" t="s">
        <v>230</v>
      </c>
      <c r="E108" s="79" t="s">
        <v>444</v>
      </c>
      <c r="F108" s="79"/>
      <c r="G108" s="80"/>
      <c r="H108" s="81"/>
      <c r="I108" s="81" t="s">
        <v>445</v>
      </c>
      <c r="J108" s="80">
        <v>1500000</v>
      </c>
      <c r="K108" s="80" t="str">
        <f t="shared" ref="K108:K139" si="4">IF(AND(ISNUMBER(G108),ISNUMBER(J108)),G108-J108,"")</f>
        <v/>
      </c>
      <c r="L108" s="82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s="11" customFormat="1" ht="19.95" customHeight="1">
      <c r="A109" s="79"/>
      <c r="B109" s="79" t="s">
        <v>441</v>
      </c>
      <c r="C109" s="79" t="s">
        <v>441</v>
      </c>
      <c r="D109" s="79" t="s">
        <v>230</v>
      </c>
      <c r="E109" s="79" t="s">
        <v>446</v>
      </c>
      <c r="F109" s="79"/>
      <c r="G109" s="80"/>
      <c r="H109" s="81"/>
      <c r="I109" s="81" t="s">
        <v>447</v>
      </c>
      <c r="J109" s="80">
        <v>1584000</v>
      </c>
      <c r="K109" s="80" t="str">
        <f t="shared" si="4"/>
        <v/>
      </c>
      <c r="L109" s="82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s="11" customFormat="1" ht="19.95" customHeight="1">
      <c r="A110" s="79"/>
      <c r="B110" s="79" t="s">
        <v>441</v>
      </c>
      <c r="C110" s="79" t="s">
        <v>441</v>
      </c>
      <c r="D110" s="79" t="s">
        <v>230</v>
      </c>
      <c r="E110" s="79" t="s">
        <v>448</v>
      </c>
      <c r="F110" s="79"/>
      <c r="G110" s="80"/>
      <c r="H110" s="81"/>
      <c r="I110" s="81" t="s">
        <v>449</v>
      </c>
      <c r="J110" s="80">
        <v>3000000</v>
      </c>
      <c r="K110" s="80" t="str">
        <f t="shared" si="4"/>
        <v/>
      </c>
      <c r="L110" s="82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s="11" customFormat="1" ht="19.95" customHeight="1">
      <c r="A111" s="79"/>
      <c r="B111" s="79" t="s">
        <v>441</v>
      </c>
      <c r="C111" s="79" t="s">
        <v>441</v>
      </c>
      <c r="D111" s="79" t="s">
        <v>230</v>
      </c>
      <c r="E111" s="79" t="s">
        <v>450</v>
      </c>
      <c r="F111" s="79"/>
      <c r="G111" s="80"/>
      <c r="H111" s="81"/>
      <c r="I111" s="81" t="s">
        <v>451</v>
      </c>
      <c r="J111" s="80">
        <v>1020000</v>
      </c>
      <c r="K111" s="80" t="str">
        <f t="shared" si="4"/>
        <v/>
      </c>
      <c r="L111" s="82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s="11" customFormat="1" ht="19.95" customHeight="1">
      <c r="A112" s="79"/>
      <c r="B112" s="79" t="s">
        <v>441</v>
      </c>
      <c r="C112" s="79" t="s">
        <v>441</v>
      </c>
      <c r="D112" s="79" t="s">
        <v>230</v>
      </c>
      <c r="E112" s="79" t="s">
        <v>452</v>
      </c>
      <c r="F112" s="79"/>
      <c r="G112" s="80"/>
      <c r="H112" s="81"/>
      <c r="I112" s="81" t="s">
        <v>453</v>
      </c>
      <c r="J112" s="80">
        <v>10800000</v>
      </c>
      <c r="K112" s="80" t="str">
        <f t="shared" si="4"/>
        <v/>
      </c>
      <c r="L112" s="82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s="11" customFormat="1" ht="19.95" customHeight="1">
      <c r="A113" s="79"/>
      <c r="B113" s="79" t="s">
        <v>441</v>
      </c>
      <c r="C113" s="79" t="s">
        <v>441</v>
      </c>
      <c r="D113" s="79" t="s">
        <v>230</v>
      </c>
      <c r="E113" s="79" t="s">
        <v>454</v>
      </c>
      <c r="F113" s="79"/>
      <c r="G113" s="80"/>
      <c r="H113" s="81"/>
      <c r="I113" s="81" t="s">
        <v>455</v>
      </c>
      <c r="J113" s="80">
        <v>1400000</v>
      </c>
      <c r="K113" s="80" t="str">
        <f t="shared" si="4"/>
        <v/>
      </c>
      <c r="L113" s="82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s="11" customFormat="1" ht="19.95" customHeight="1">
      <c r="A114" s="79"/>
      <c r="B114" s="79" t="s">
        <v>441</v>
      </c>
      <c r="C114" s="79" t="s">
        <v>441</v>
      </c>
      <c r="D114" s="79" t="s">
        <v>230</v>
      </c>
      <c r="E114" s="79" t="s">
        <v>456</v>
      </c>
      <c r="F114" s="79"/>
      <c r="G114" s="80"/>
      <c r="H114" s="81"/>
      <c r="I114" s="81" t="s">
        <v>457</v>
      </c>
      <c r="J114" s="80">
        <v>300000</v>
      </c>
      <c r="K114" s="80" t="str">
        <f t="shared" si="4"/>
        <v/>
      </c>
      <c r="L114" s="82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s="11" customFormat="1" ht="19.95" customHeight="1">
      <c r="A115" s="79"/>
      <c r="B115" s="79" t="s">
        <v>441</v>
      </c>
      <c r="C115" s="79" t="s">
        <v>441</v>
      </c>
      <c r="D115" s="79" t="s">
        <v>217</v>
      </c>
      <c r="E115" s="79" t="s">
        <v>458</v>
      </c>
      <c r="F115" s="79"/>
      <c r="G115" s="80"/>
      <c r="H115" s="81"/>
      <c r="I115" s="81" t="s">
        <v>459</v>
      </c>
      <c r="J115" s="80">
        <v>3000000</v>
      </c>
      <c r="K115" s="80" t="str">
        <f t="shared" si="4"/>
        <v/>
      </c>
      <c r="L115" s="82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s="11" customFormat="1" ht="19.95" customHeight="1">
      <c r="A116" s="79"/>
      <c r="B116" s="79" t="s">
        <v>441</v>
      </c>
      <c r="C116" s="79" t="s">
        <v>441</v>
      </c>
      <c r="D116" s="79" t="s">
        <v>217</v>
      </c>
      <c r="E116" s="79" t="s">
        <v>460</v>
      </c>
      <c r="F116" s="79"/>
      <c r="G116" s="80"/>
      <c r="H116" s="81"/>
      <c r="I116" s="81" t="s">
        <v>461</v>
      </c>
      <c r="J116" s="80">
        <v>4500000</v>
      </c>
      <c r="K116" s="80" t="str">
        <f t="shared" si="4"/>
        <v/>
      </c>
      <c r="L116" s="82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s="11" customFormat="1" ht="19.95" customHeight="1">
      <c r="A117" s="79"/>
      <c r="B117" s="79" t="s">
        <v>441</v>
      </c>
      <c r="C117" s="79" t="s">
        <v>441</v>
      </c>
      <c r="D117" s="79" t="s">
        <v>223</v>
      </c>
      <c r="E117" s="79" t="s">
        <v>462</v>
      </c>
      <c r="F117" s="79"/>
      <c r="G117" s="80"/>
      <c r="H117" s="81"/>
      <c r="I117" s="81" t="s">
        <v>443</v>
      </c>
      <c r="J117" s="80">
        <v>1000000</v>
      </c>
      <c r="K117" s="80" t="str">
        <f t="shared" si="4"/>
        <v/>
      </c>
      <c r="L117" s="82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s="11" customFormat="1" ht="19.95" customHeight="1">
      <c r="A118" s="79"/>
      <c r="B118" s="79" t="s">
        <v>441</v>
      </c>
      <c r="C118" s="79" t="s">
        <v>441</v>
      </c>
      <c r="D118" s="79" t="s">
        <v>223</v>
      </c>
      <c r="E118" s="79" t="s">
        <v>463</v>
      </c>
      <c r="F118" s="79"/>
      <c r="G118" s="80"/>
      <c r="H118" s="81"/>
      <c r="I118" s="81" t="s">
        <v>443</v>
      </c>
      <c r="J118" s="80">
        <v>1000000</v>
      </c>
      <c r="K118" s="80" t="str">
        <f t="shared" si="4"/>
        <v/>
      </c>
      <c r="L118" s="82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s="11" customFormat="1" ht="19.95" customHeight="1">
      <c r="A119" s="79"/>
      <c r="B119" s="79" t="s">
        <v>441</v>
      </c>
      <c r="C119" s="79" t="s">
        <v>441</v>
      </c>
      <c r="D119" s="79" t="s">
        <v>227</v>
      </c>
      <c r="E119" s="79" t="s">
        <v>464</v>
      </c>
      <c r="F119" s="79"/>
      <c r="G119" s="80"/>
      <c r="H119" s="81"/>
      <c r="I119" s="81" t="s">
        <v>465</v>
      </c>
      <c r="J119" s="80">
        <v>1300000</v>
      </c>
      <c r="K119" s="80" t="str">
        <f t="shared" si="4"/>
        <v/>
      </c>
      <c r="L119" s="82" t="s">
        <v>466</v>
      </c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s="11" customFormat="1" ht="19.95" customHeight="1">
      <c r="A120" s="79"/>
      <c r="B120" s="79" t="s">
        <v>441</v>
      </c>
      <c r="C120" s="79" t="s">
        <v>441</v>
      </c>
      <c r="D120" s="79" t="s">
        <v>227</v>
      </c>
      <c r="E120" s="79" t="s">
        <v>467</v>
      </c>
      <c r="F120" s="79"/>
      <c r="G120" s="80"/>
      <c r="H120" s="81"/>
      <c r="I120" s="81" t="s">
        <v>468</v>
      </c>
      <c r="J120" s="80">
        <v>300000</v>
      </c>
      <c r="K120" s="80" t="str">
        <f t="shared" si="4"/>
        <v/>
      </c>
      <c r="L120" s="82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s="11" customFormat="1" ht="19.95" customHeight="1">
      <c r="A121" s="79"/>
      <c r="B121" s="79" t="s">
        <v>441</v>
      </c>
      <c r="C121" s="79" t="s">
        <v>441</v>
      </c>
      <c r="D121" s="79" t="s">
        <v>227</v>
      </c>
      <c r="E121" s="79" t="s">
        <v>469</v>
      </c>
      <c r="F121" s="79"/>
      <c r="G121" s="80"/>
      <c r="H121" s="81"/>
      <c r="I121" s="81" t="s">
        <v>443</v>
      </c>
      <c r="J121" s="80">
        <v>1000000</v>
      </c>
      <c r="K121" s="80" t="str">
        <f t="shared" si="4"/>
        <v/>
      </c>
      <c r="L121" s="82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s="11" customFormat="1" ht="19.95" customHeight="1">
      <c r="A122" s="79"/>
      <c r="B122" s="79" t="s">
        <v>441</v>
      </c>
      <c r="C122" s="79" t="s">
        <v>441</v>
      </c>
      <c r="D122" s="79" t="s">
        <v>227</v>
      </c>
      <c r="E122" s="79" t="s">
        <v>470</v>
      </c>
      <c r="F122" s="79"/>
      <c r="G122" s="80"/>
      <c r="H122" s="81"/>
      <c r="I122" s="81" t="s">
        <v>471</v>
      </c>
      <c r="J122" s="80">
        <v>600000</v>
      </c>
      <c r="K122" s="80" t="str">
        <f t="shared" si="4"/>
        <v/>
      </c>
      <c r="L122" s="82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s="11" customFormat="1" ht="19.95" customHeight="1">
      <c r="A123" s="79"/>
      <c r="B123" s="79" t="s">
        <v>441</v>
      </c>
      <c r="C123" s="79" t="s">
        <v>441</v>
      </c>
      <c r="D123" s="79" t="s">
        <v>227</v>
      </c>
      <c r="E123" s="79" t="s">
        <v>472</v>
      </c>
      <c r="F123" s="79"/>
      <c r="G123" s="80"/>
      <c r="H123" s="81"/>
      <c r="I123" s="81" t="s">
        <v>473</v>
      </c>
      <c r="J123" s="80">
        <v>2500000</v>
      </c>
      <c r="K123" s="80" t="str">
        <f t="shared" si="4"/>
        <v/>
      </c>
      <c r="L123" s="82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s="11" customFormat="1" ht="19.95" customHeight="1">
      <c r="A124" s="79"/>
      <c r="B124" s="79" t="s">
        <v>441</v>
      </c>
      <c r="C124" s="79" t="s">
        <v>441</v>
      </c>
      <c r="D124" s="79" t="s">
        <v>227</v>
      </c>
      <c r="E124" s="79" t="s">
        <v>474</v>
      </c>
      <c r="F124" s="79"/>
      <c r="G124" s="80"/>
      <c r="H124" s="81"/>
      <c r="I124" s="81" t="s">
        <v>475</v>
      </c>
      <c r="J124" s="80">
        <v>2000000</v>
      </c>
      <c r="K124" s="80" t="str">
        <f t="shared" si="4"/>
        <v/>
      </c>
      <c r="L124" s="82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s="11" customFormat="1" ht="19.95" customHeight="1">
      <c r="A125" s="79"/>
      <c r="B125" s="79" t="s">
        <v>441</v>
      </c>
      <c r="C125" s="79" t="s">
        <v>476</v>
      </c>
      <c r="D125" s="79" t="s">
        <v>223</v>
      </c>
      <c r="E125" s="79" t="s">
        <v>477</v>
      </c>
      <c r="F125" s="79"/>
      <c r="G125" s="80"/>
      <c r="H125" s="81"/>
      <c r="I125" s="81" t="s">
        <v>445</v>
      </c>
      <c r="J125" s="80">
        <v>1500000</v>
      </c>
      <c r="K125" s="80" t="str">
        <f t="shared" si="4"/>
        <v/>
      </c>
      <c r="L125" s="82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s="11" customFormat="1" ht="19.95" customHeight="1">
      <c r="A126" s="79"/>
      <c r="B126" s="79" t="s">
        <v>441</v>
      </c>
      <c r="C126" s="79" t="s">
        <v>476</v>
      </c>
      <c r="D126" s="79" t="s">
        <v>223</v>
      </c>
      <c r="E126" s="79" t="s">
        <v>478</v>
      </c>
      <c r="F126" s="79"/>
      <c r="G126" s="80"/>
      <c r="H126" s="81"/>
      <c r="I126" s="81" t="s">
        <v>479</v>
      </c>
      <c r="J126" s="80">
        <v>2900000</v>
      </c>
      <c r="K126" s="80" t="str">
        <f t="shared" si="4"/>
        <v/>
      </c>
      <c r="L126" s="82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s="11" customFormat="1" ht="19.95" customHeight="1">
      <c r="A127" s="79"/>
      <c r="B127" s="79" t="s">
        <v>480</v>
      </c>
      <c r="C127" s="79" t="s">
        <v>481</v>
      </c>
      <c r="D127" s="79" t="s">
        <v>230</v>
      </c>
      <c r="E127" s="79" t="s">
        <v>482</v>
      </c>
      <c r="F127" s="79"/>
      <c r="G127" s="80"/>
      <c r="H127" s="81"/>
      <c r="I127" s="81" t="s">
        <v>483</v>
      </c>
      <c r="J127" s="80">
        <v>200000</v>
      </c>
      <c r="K127" s="80" t="str">
        <f t="shared" si="4"/>
        <v/>
      </c>
      <c r="L127" s="82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s="11" customFormat="1" ht="19.95" customHeight="1">
      <c r="A128" s="79"/>
      <c r="B128" s="79" t="s">
        <v>480</v>
      </c>
      <c r="C128" s="79" t="s">
        <v>481</v>
      </c>
      <c r="D128" s="79" t="s">
        <v>227</v>
      </c>
      <c r="E128" s="79" t="s">
        <v>484</v>
      </c>
      <c r="F128" s="79"/>
      <c r="G128" s="80"/>
      <c r="H128" s="81"/>
      <c r="I128" s="81" t="s">
        <v>485</v>
      </c>
      <c r="J128" s="80">
        <v>100000</v>
      </c>
      <c r="K128" s="80" t="str">
        <f t="shared" si="4"/>
        <v/>
      </c>
      <c r="L128" s="82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s="11" customFormat="1" ht="19.95" customHeight="1">
      <c r="A129" s="79"/>
      <c r="B129" s="79" t="s">
        <v>480</v>
      </c>
      <c r="C129" s="79" t="s">
        <v>486</v>
      </c>
      <c r="D129" s="79" t="s">
        <v>223</v>
      </c>
      <c r="E129" s="79" t="s">
        <v>487</v>
      </c>
      <c r="F129" s="79"/>
      <c r="G129" s="80"/>
      <c r="H129" s="81"/>
      <c r="I129" s="81" t="s">
        <v>326</v>
      </c>
      <c r="J129" s="80">
        <v>2000000</v>
      </c>
      <c r="K129" s="80" t="str">
        <f t="shared" si="4"/>
        <v/>
      </c>
      <c r="L129" s="82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s="11" customFormat="1" ht="19.95" customHeight="1">
      <c r="A130" s="79"/>
      <c r="B130" s="79" t="s">
        <v>480</v>
      </c>
      <c r="C130" s="79" t="s">
        <v>32</v>
      </c>
      <c r="D130" s="79" t="s">
        <v>223</v>
      </c>
      <c r="E130" s="79" t="s">
        <v>488</v>
      </c>
      <c r="F130" s="79"/>
      <c r="G130" s="80"/>
      <c r="H130" s="81"/>
      <c r="I130" s="81" t="s">
        <v>489</v>
      </c>
      <c r="J130" s="80">
        <v>2200000</v>
      </c>
      <c r="K130" s="80" t="str">
        <f t="shared" si="4"/>
        <v/>
      </c>
      <c r="L130" s="82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s="11" customFormat="1" ht="19.95" customHeight="1">
      <c r="A131" s="79"/>
      <c r="B131" s="79" t="s">
        <v>490</v>
      </c>
      <c r="C131" s="79" t="s">
        <v>491</v>
      </c>
      <c r="D131" s="79" t="s">
        <v>230</v>
      </c>
      <c r="E131" s="79" t="s">
        <v>492</v>
      </c>
      <c r="F131" s="79"/>
      <c r="G131" s="80"/>
      <c r="H131" s="81"/>
      <c r="I131" s="81" t="s">
        <v>321</v>
      </c>
      <c r="J131" s="80">
        <v>500000</v>
      </c>
      <c r="K131" s="80" t="str">
        <f t="shared" si="4"/>
        <v/>
      </c>
      <c r="L131" s="82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s="11" customFormat="1" ht="19.95" customHeight="1">
      <c r="A132" s="79"/>
      <c r="B132" s="79" t="s">
        <v>490</v>
      </c>
      <c r="C132" s="79" t="s">
        <v>493</v>
      </c>
      <c r="D132" s="79" t="s">
        <v>217</v>
      </c>
      <c r="E132" s="79" t="s">
        <v>494</v>
      </c>
      <c r="F132" s="79"/>
      <c r="G132" s="80"/>
      <c r="H132" s="81"/>
      <c r="I132" s="81" t="s">
        <v>495</v>
      </c>
      <c r="J132" s="80">
        <v>3625000</v>
      </c>
      <c r="K132" s="80" t="str">
        <f t="shared" si="4"/>
        <v/>
      </c>
      <c r="L132" s="82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s="11" customFormat="1" ht="19.95" customHeight="1">
      <c r="A133" s="79"/>
      <c r="B133" s="79" t="s">
        <v>490</v>
      </c>
      <c r="C133" s="79" t="s">
        <v>493</v>
      </c>
      <c r="D133" s="79" t="s">
        <v>223</v>
      </c>
      <c r="E133" s="79" t="s">
        <v>496</v>
      </c>
      <c r="F133" s="79"/>
      <c r="G133" s="80"/>
      <c r="H133" s="81"/>
      <c r="I133" s="81" t="s">
        <v>497</v>
      </c>
      <c r="J133" s="80">
        <v>700000</v>
      </c>
      <c r="K133" s="80" t="str">
        <f t="shared" si="4"/>
        <v/>
      </c>
      <c r="L133" s="82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s="11" customFormat="1" ht="19.95" customHeight="1">
      <c r="A134" s="79"/>
      <c r="B134" s="79" t="s">
        <v>498</v>
      </c>
      <c r="C134" s="79" t="s">
        <v>499</v>
      </c>
      <c r="D134" s="79" t="s">
        <v>223</v>
      </c>
      <c r="E134" s="79" t="s">
        <v>500</v>
      </c>
      <c r="F134" s="79"/>
      <c r="G134" s="80"/>
      <c r="H134" s="81"/>
      <c r="I134" s="81" t="s">
        <v>501</v>
      </c>
      <c r="J134" s="80">
        <v>1200000</v>
      </c>
      <c r="K134" s="80" t="str">
        <f t="shared" si="4"/>
        <v/>
      </c>
      <c r="L134" s="82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s="11" customFormat="1" ht="19.95" customHeight="1">
      <c r="A135" s="79"/>
      <c r="B135" s="79" t="s">
        <v>502</v>
      </c>
      <c r="C135" s="79" t="s">
        <v>502</v>
      </c>
      <c r="D135" s="79" t="s">
        <v>230</v>
      </c>
      <c r="E135" s="79" t="s">
        <v>503</v>
      </c>
      <c r="F135" s="79"/>
      <c r="G135" s="80"/>
      <c r="H135" s="81"/>
      <c r="I135" s="81">
        <v>1000000</v>
      </c>
      <c r="J135" s="80">
        <v>1000000</v>
      </c>
      <c r="K135" s="80" t="str">
        <f t="shared" si="4"/>
        <v/>
      </c>
      <c r="L135" s="82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s="11" customFormat="1" ht="19.95" customHeight="1">
      <c r="A136" s="79"/>
      <c r="B136" s="79" t="s">
        <v>502</v>
      </c>
      <c r="C136" s="79" t="s">
        <v>502</v>
      </c>
      <c r="D136" s="79" t="s">
        <v>230</v>
      </c>
      <c r="E136" s="79" t="s">
        <v>504</v>
      </c>
      <c r="F136" s="79"/>
      <c r="G136" s="80"/>
      <c r="H136" s="81"/>
      <c r="I136" s="81">
        <v>200000</v>
      </c>
      <c r="J136" s="80">
        <v>200000</v>
      </c>
      <c r="K136" s="80" t="str">
        <f t="shared" si="4"/>
        <v/>
      </c>
      <c r="L136" s="82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s="11" customFormat="1" ht="19.95" customHeight="1">
      <c r="A137" s="79"/>
      <c r="B137" s="79" t="s">
        <v>505</v>
      </c>
      <c r="C137" s="79" t="s">
        <v>506</v>
      </c>
      <c r="D137" s="79" t="s">
        <v>230</v>
      </c>
      <c r="E137" s="79" t="s">
        <v>507</v>
      </c>
      <c r="F137" s="79"/>
      <c r="G137" s="80"/>
      <c r="H137" s="81"/>
      <c r="I137" s="81" t="s">
        <v>508</v>
      </c>
      <c r="J137" s="80">
        <v>4800000</v>
      </c>
      <c r="K137" s="80" t="str">
        <f t="shared" si="4"/>
        <v/>
      </c>
      <c r="L137" s="82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s="11" customFormat="1" ht="19.95" customHeight="1">
      <c r="A138" s="79"/>
      <c r="B138" s="79" t="s">
        <v>505</v>
      </c>
      <c r="C138" s="79" t="s">
        <v>506</v>
      </c>
      <c r="D138" s="79" t="s">
        <v>230</v>
      </c>
      <c r="E138" s="79" t="s">
        <v>509</v>
      </c>
      <c r="F138" s="79"/>
      <c r="G138" s="80"/>
      <c r="H138" s="81"/>
      <c r="I138" s="81" t="s">
        <v>510</v>
      </c>
      <c r="J138" s="80">
        <v>3432000</v>
      </c>
      <c r="K138" s="80" t="str">
        <f t="shared" si="4"/>
        <v/>
      </c>
      <c r="L138" s="82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s="11" customFormat="1" ht="19.95" customHeight="1">
      <c r="A139" s="79"/>
      <c r="B139" s="79" t="s">
        <v>505</v>
      </c>
      <c r="C139" s="79" t="s">
        <v>506</v>
      </c>
      <c r="D139" s="79" t="s">
        <v>230</v>
      </c>
      <c r="E139" s="79" t="s">
        <v>511</v>
      </c>
      <c r="F139" s="79"/>
      <c r="G139" s="80"/>
      <c r="H139" s="81"/>
      <c r="I139" s="81" t="s">
        <v>512</v>
      </c>
      <c r="J139" s="80">
        <v>2000000</v>
      </c>
      <c r="K139" s="80" t="str">
        <f t="shared" si="4"/>
        <v/>
      </c>
      <c r="L139" s="82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s="11" customFormat="1" ht="19.95" customHeight="1">
      <c r="A140" s="79"/>
      <c r="B140" s="79" t="s">
        <v>505</v>
      </c>
      <c r="C140" s="79" t="s">
        <v>506</v>
      </c>
      <c r="D140" s="79" t="s">
        <v>230</v>
      </c>
      <c r="E140" s="79" t="s">
        <v>513</v>
      </c>
      <c r="F140" s="79"/>
      <c r="G140" s="80"/>
      <c r="H140" s="81"/>
      <c r="I140" s="81" t="s">
        <v>514</v>
      </c>
      <c r="J140" s="80">
        <v>6000000</v>
      </c>
      <c r="K140" s="80" t="str">
        <f t="shared" ref="K140:K171" si="5">IF(AND(ISNUMBER(G140),ISNUMBER(J140)),G140-J140,"")</f>
        <v/>
      </c>
      <c r="L140" s="82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s="11" customFormat="1" ht="19.95" customHeight="1">
      <c r="A141" s="79"/>
      <c r="B141" s="79" t="s">
        <v>505</v>
      </c>
      <c r="C141" s="79" t="s">
        <v>506</v>
      </c>
      <c r="D141" s="79" t="s">
        <v>230</v>
      </c>
      <c r="E141" s="79" t="s">
        <v>515</v>
      </c>
      <c r="F141" s="79"/>
      <c r="G141" s="80"/>
      <c r="H141" s="81"/>
      <c r="I141" s="81" t="s">
        <v>516</v>
      </c>
      <c r="J141" s="80">
        <v>1000000</v>
      </c>
      <c r="K141" s="80" t="str">
        <f t="shared" si="5"/>
        <v/>
      </c>
      <c r="L141" s="82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s="11" customFormat="1" ht="19.95" customHeight="1">
      <c r="A142" s="79"/>
      <c r="B142" s="79" t="s">
        <v>505</v>
      </c>
      <c r="C142" s="79" t="s">
        <v>506</v>
      </c>
      <c r="D142" s="79" t="s">
        <v>398</v>
      </c>
      <c r="E142" s="79" t="s">
        <v>517</v>
      </c>
      <c r="F142" s="79"/>
      <c r="G142" s="80"/>
      <c r="H142" s="81"/>
      <c r="I142" s="81" t="s">
        <v>518</v>
      </c>
      <c r="J142" s="80">
        <v>8495000</v>
      </c>
      <c r="K142" s="80" t="str">
        <f t="shared" si="5"/>
        <v/>
      </c>
      <c r="L142" s="82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s="11" customFormat="1" ht="19.95" customHeight="1">
      <c r="A143" s="79"/>
      <c r="B143" s="79" t="s">
        <v>505</v>
      </c>
      <c r="C143" s="79" t="s">
        <v>506</v>
      </c>
      <c r="D143" s="79" t="s">
        <v>398</v>
      </c>
      <c r="E143" s="79" t="s">
        <v>519</v>
      </c>
      <c r="F143" s="79"/>
      <c r="G143" s="80"/>
      <c r="H143" s="81"/>
      <c r="I143" s="81" t="s">
        <v>520</v>
      </c>
      <c r="J143" s="80">
        <v>3000000</v>
      </c>
      <c r="K143" s="80" t="str">
        <f t="shared" si="5"/>
        <v/>
      </c>
      <c r="L143" s="82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s="11" customFormat="1" ht="19.95" customHeight="1">
      <c r="A144" s="79"/>
      <c r="B144" s="79" t="s">
        <v>521</v>
      </c>
      <c r="C144" s="79" t="s">
        <v>522</v>
      </c>
      <c r="D144" s="79" t="s">
        <v>227</v>
      </c>
      <c r="E144" s="79" t="s">
        <v>523</v>
      </c>
      <c r="F144" s="79"/>
      <c r="G144" s="80"/>
      <c r="H144" s="81"/>
      <c r="I144" s="81" t="s">
        <v>524</v>
      </c>
      <c r="J144" s="80">
        <v>1740000</v>
      </c>
      <c r="K144" s="80" t="str">
        <f t="shared" si="5"/>
        <v/>
      </c>
      <c r="L144" s="82" t="s">
        <v>466</v>
      </c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s="11" customFormat="1" ht="19.95" customHeight="1">
      <c r="A145" s="79"/>
      <c r="B145" s="79" t="s">
        <v>521</v>
      </c>
      <c r="C145" s="79" t="s">
        <v>522</v>
      </c>
      <c r="D145" s="79" t="s">
        <v>525</v>
      </c>
      <c r="E145" s="79" t="s">
        <v>525</v>
      </c>
      <c r="F145" s="79"/>
      <c r="G145" s="80"/>
      <c r="H145" s="81"/>
      <c r="I145" s="81" t="s">
        <v>526</v>
      </c>
      <c r="J145" s="80">
        <v>3960000</v>
      </c>
      <c r="K145" s="80" t="str">
        <f t="shared" si="5"/>
        <v/>
      </c>
      <c r="L145" s="82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s="11" customFormat="1" ht="19.95" customHeight="1">
      <c r="A146" s="79"/>
      <c r="B146" s="79" t="s">
        <v>521</v>
      </c>
      <c r="C146" s="79" t="s">
        <v>527</v>
      </c>
      <c r="D146" s="79" t="s">
        <v>230</v>
      </c>
      <c r="E146" s="79" t="s">
        <v>423</v>
      </c>
      <c r="F146" s="79"/>
      <c r="G146" s="80"/>
      <c r="H146" s="81"/>
      <c r="I146" s="81" t="s">
        <v>528</v>
      </c>
      <c r="J146" s="80">
        <v>2000000</v>
      </c>
      <c r="K146" s="80" t="str">
        <f t="shared" si="5"/>
        <v/>
      </c>
      <c r="L146" s="82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s="11" customFormat="1" ht="19.95" customHeight="1">
      <c r="A147" s="79"/>
      <c r="B147" s="79" t="s">
        <v>521</v>
      </c>
      <c r="C147" s="79" t="s">
        <v>527</v>
      </c>
      <c r="D147" s="79" t="s">
        <v>230</v>
      </c>
      <c r="E147" s="79" t="s">
        <v>529</v>
      </c>
      <c r="F147" s="79"/>
      <c r="G147" s="80"/>
      <c r="H147" s="81"/>
      <c r="I147" s="81" t="s">
        <v>530</v>
      </c>
      <c r="J147" s="80">
        <v>6000000</v>
      </c>
      <c r="K147" s="80" t="str">
        <f t="shared" si="5"/>
        <v/>
      </c>
      <c r="L147" s="82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s="11" customFormat="1" ht="19.95" customHeight="1">
      <c r="A148" s="79"/>
      <c r="B148" s="79" t="s">
        <v>521</v>
      </c>
      <c r="C148" s="79" t="s">
        <v>527</v>
      </c>
      <c r="D148" s="79" t="s">
        <v>230</v>
      </c>
      <c r="E148" s="79" t="s">
        <v>531</v>
      </c>
      <c r="F148" s="79"/>
      <c r="G148" s="80"/>
      <c r="H148" s="81"/>
      <c r="I148" s="81" t="s">
        <v>532</v>
      </c>
      <c r="J148" s="80">
        <v>400000</v>
      </c>
      <c r="K148" s="80" t="str">
        <f t="shared" si="5"/>
        <v/>
      </c>
      <c r="L148" s="82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s="11" customFormat="1" ht="19.95" customHeight="1">
      <c r="A149" s="79"/>
      <c r="B149" s="79" t="s">
        <v>521</v>
      </c>
      <c r="C149" s="79" t="s">
        <v>527</v>
      </c>
      <c r="D149" s="79" t="s">
        <v>230</v>
      </c>
      <c r="E149" s="79" t="s">
        <v>533</v>
      </c>
      <c r="F149" s="79"/>
      <c r="G149" s="80"/>
      <c r="H149" s="81"/>
      <c r="I149" s="81" t="s">
        <v>534</v>
      </c>
      <c r="J149" s="80">
        <v>3000000</v>
      </c>
      <c r="K149" s="80" t="str">
        <f t="shared" si="5"/>
        <v/>
      </c>
      <c r="L149" s="82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s="11" customFormat="1" ht="19.95" customHeight="1">
      <c r="A150" s="79"/>
      <c r="B150" s="79" t="s">
        <v>521</v>
      </c>
      <c r="C150" s="79" t="s">
        <v>527</v>
      </c>
      <c r="D150" s="79" t="s">
        <v>230</v>
      </c>
      <c r="E150" s="79" t="s">
        <v>535</v>
      </c>
      <c r="F150" s="79"/>
      <c r="G150" s="80"/>
      <c r="H150" s="81"/>
      <c r="I150" s="81" t="s">
        <v>536</v>
      </c>
      <c r="J150" s="80">
        <v>300000</v>
      </c>
      <c r="K150" s="80" t="str">
        <f t="shared" si="5"/>
        <v/>
      </c>
      <c r="L150" s="82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s="11" customFormat="1" ht="19.95" customHeight="1">
      <c r="A151" s="79"/>
      <c r="B151" s="79" t="s">
        <v>521</v>
      </c>
      <c r="C151" s="79" t="s">
        <v>527</v>
      </c>
      <c r="D151" s="79" t="s">
        <v>230</v>
      </c>
      <c r="E151" s="79" t="s">
        <v>537</v>
      </c>
      <c r="F151" s="79"/>
      <c r="G151" s="80"/>
      <c r="H151" s="81"/>
      <c r="I151" s="81" t="s">
        <v>538</v>
      </c>
      <c r="J151" s="80">
        <v>1000000</v>
      </c>
      <c r="K151" s="80" t="str">
        <f t="shared" si="5"/>
        <v/>
      </c>
      <c r="L151" s="82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s="11" customFormat="1" ht="19.95" customHeight="1">
      <c r="A152" s="79"/>
      <c r="B152" s="79" t="s">
        <v>521</v>
      </c>
      <c r="C152" s="79" t="s">
        <v>527</v>
      </c>
      <c r="D152" s="79" t="s">
        <v>230</v>
      </c>
      <c r="E152" s="79" t="s">
        <v>539</v>
      </c>
      <c r="F152" s="79"/>
      <c r="G152" s="80"/>
      <c r="H152" s="81"/>
      <c r="I152" s="81" t="s">
        <v>540</v>
      </c>
      <c r="J152" s="80">
        <v>300000</v>
      </c>
      <c r="K152" s="80" t="str">
        <f t="shared" si="5"/>
        <v/>
      </c>
      <c r="L152" s="82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s="11" customFormat="1" ht="19.95" customHeight="1">
      <c r="A153" s="79"/>
      <c r="B153" s="79" t="s">
        <v>521</v>
      </c>
      <c r="C153" s="79" t="s">
        <v>527</v>
      </c>
      <c r="D153" s="79" t="s">
        <v>541</v>
      </c>
      <c r="E153" s="79" t="s">
        <v>542</v>
      </c>
      <c r="F153" s="79"/>
      <c r="G153" s="80"/>
      <c r="H153" s="81"/>
      <c r="I153" s="81" t="s">
        <v>543</v>
      </c>
      <c r="J153" s="80">
        <v>14400000</v>
      </c>
      <c r="K153" s="80" t="str">
        <f t="shared" si="5"/>
        <v/>
      </c>
      <c r="L153" s="82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s="11" customFormat="1" ht="19.95" customHeight="1">
      <c r="A154" s="79"/>
      <c r="B154" s="79" t="s">
        <v>521</v>
      </c>
      <c r="C154" s="79" t="s">
        <v>527</v>
      </c>
      <c r="D154" s="79" t="s">
        <v>541</v>
      </c>
      <c r="E154" s="79" t="s">
        <v>544</v>
      </c>
      <c r="F154" s="79"/>
      <c r="G154" s="80"/>
      <c r="H154" s="81"/>
      <c r="I154" s="81" t="s">
        <v>545</v>
      </c>
      <c r="J154" s="80">
        <v>300000</v>
      </c>
      <c r="K154" s="80" t="str">
        <f t="shared" si="5"/>
        <v/>
      </c>
      <c r="L154" s="82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s="11" customFormat="1" ht="19.95" customHeight="1">
      <c r="A155" s="79"/>
      <c r="B155" s="79" t="s">
        <v>521</v>
      </c>
      <c r="C155" s="79" t="s">
        <v>527</v>
      </c>
      <c r="D155" s="79" t="s">
        <v>220</v>
      </c>
      <c r="E155" s="79" t="s">
        <v>546</v>
      </c>
      <c r="F155" s="79"/>
      <c r="G155" s="80"/>
      <c r="H155" s="81"/>
      <c r="I155" s="81" t="s">
        <v>547</v>
      </c>
      <c r="J155" s="80">
        <v>750000</v>
      </c>
      <c r="K155" s="80" t="str">
        <f t="shared" si="5"/>
        <v/>
      </c>
      <c r="L155" s="82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s="11" customFormat="1" ht="19.95" customHeight="1">
      <c r="A156" s="79"/>
      <c r="B156" s="79" t="s">
        <v>521</v>
      </c>
      <c r="C156" s="79" t="s">
        <v>527</v>
      </c>
      <c r="D156" s="79" t="s">
        <v>220</v>
      </c>
      <c r="E156" s="79" t="s">
        <v>548</v>
      </c>
      <c r="F156" s="79"/>
      <c r="G156" s="80"/>
      <c r="H156" s="81"/>
      <c r="I156" s="81" t="s">
        <v>549</v>
      </c>
      <c r="J156" s="80">
        <v>150000</v>
      </c>
      <c r="K156" s="80" t="str">
        <f t="shared" si="5"/>
        <v/>
      </c>
      <c r="L156" s="82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s="11" customFormat="1" ht="19.95" customHeight="1">
      <c r="A157" s="79"/>
      <c r="B157" s="79" t="s">
        <v>521</v>
      </c>
      <c r="C157" s="79" t="s">
        <v>527</v>
      </c>
      <c r="D157" s="79" t="s">
        <v>220</v>
      </c>
      <c r="E157" s="79" t="s">
        <v>550</v>
      </c>
      <c r="F157" s="79"/>
      <c r="G157" s="80"/>
      <c r="H157" s="81"/>
      <c r="I157" s="81" t="s">
        <v>551</v>
      </c>
      <c r="J157" s="80">
        <v>480000</v>
      </c>
      <c r="K157" s="80" t="str">
        <f t="shared" si="5"/>
        <v/>
      </c>
      <c r="L157" s="82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s="11" customFormat="1" ht="19.95" customHeight="1">
      <c r="A158" s="79"/>
      <c r="B158" s="79" t="s">
        <v>521</v>
      </c>
      <c r="C158" s="79" t="s">
        <v>527</v>
      </c>
      <c r="D158" s="79" t="s">
        <v>220</v>
      </c>
      <c r="E158" s="79" t="s">
        <v>552</v>
      </c>
      <c r="F158" s="79"/>
      <c r="G158" s="80"/>
      <c r="H158" s="81"/>
      <c r="I158" s="81" t="s">
        <v>553</v>
      </c>
      <c r="J158" s="80">
        <v>3000000</v>
      </c>
      <c r="K158" s="80" t="str">
        <f t="shared" si="5"/>
        <v/>
      </c>
      <c r="L158" s="82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s="11" customFormat="1" ht="19.95" customHeight="1">
      <c r="A159" s="79"/>
      <c r="B159" s="79" t="s">
        <v>521</v>
      </c>
      <c r="C159" s="79" t="s">
        <v>527</v>
      </c>
      <c r="D159" s="79" t="s">
        <v>227</v>
      </c>
      <c r="E159" s="79" t="s">
        <v>554</v>
      </c>
      <c r="F159" s="79"/>
      <c r="G159" s="80"/>
      <c r="H159" s="81"/>
      <c r="I159" s="81" t="s">
        <v>555</v>
      </c>
      <c r="J159" s="80">
        <v>800000</v>
      </c>
      <c r="K159" s="80" t="str">
        <f t="shared" si="5"/>
        <v/>
      </c>
      <c r="L159" s="82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s="11" customFormat="1" ht="19.95" customHeight="1">
      <c r="A160" s="79"/>
      <c r="B160" s="79" t="s">
        <v>521</v>
      </c>
      <c r="C160" s="79" t="s">
        <v>527</v>
      </c>
      <c r="D160" s="79" t="s">
        <v>227</v>
      </c>
      <c r="E160" s="79" t="s">
        <v>556</v>
      </c>
      <c r="F160" s="79"/>
      <c r="G160" s="80"/>
      <c r="H160" s="81"/>
      <c r="I160" s="81" t="s">
        <v>557</v>
      </c>
      <c r="J160" s="80">
        <v>1000000</v>
      </c>
      <c r="K160" s="80" t="str">
        <f t="shared" si="5"/>
        <v/>
      </c>
      <c r="L160" s="82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s="11" customFormat="1" ht="19.95" customHeight="1">
      <c r="A161" s="79"/>
      <c r="B161" s="79" t="s">
        <v>558</v>
      </c>
      <c r="C161" s="79" t="s">
        <v>559</v>
      </c>
      <c r="D161" s="79" t="s">
        <v>376</v>
      </c>
      <c r="E161" s="79" t="s">
        <v>560</v>
      </c>
      <c r="F161" s="79"/>
      <c r="G161" s="80"/>
      <c r="H161" s="81"/>
      <c r="I161" s="81" t="s">
        <v>561</v>
      </c>
      <c r="J161" s="80">
        <v>2000000</v>
      </c>
      <c r="K161" s="80" t="str">
        <f t="shared" si="5"/>
        <v/>
      </c>
      <c r="L161" s="82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s="11" customFormat="1" ht="19.95" customHeight="1">
      <c r="A162" s="79"/>
      <c r="B162" s="79" t="s">
        <v>562</v>
      </c>
      <c r="C162" s="79" t="s">
        <v>563</v>
      </c>
      <c r="D162" s="79" t="s">
        <v>564</v>
      </c>
      <c r="E162" s="79" t="s">
        <v>565</v>
      </c>
      <c r="F162" s="79"/>
      <c r="G162" s="80"/>
      <c r="H162" s="81"/>
      <c r="I162" s="81" t="s">
        <v>566</v>
      </c>
      <c r="J162" s="80">
        <v>5040000</v>
      </c>
      <c r="K162" s="80" t="str">
        <f t="shared" si="5"/>
        <v/>
      </c>
      <c r="L162" s="82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s="11" customFormat="1" ht="19.95" customHeight="1">
      <c r="A163" s="79"/>
      <c r="B163" s="79" t="s">
        <v>562</v>
      </c>
      <c r="C163" s="79" t="s">
        <v>563</v>
      </c>
      <c r="D163" s="79" t="s">
        <v>564</v>
      </c>
      <c r="E163" s="79" t="s">
        <v>567</v>
      </c>
      <c r="F163" s="79"/>
      <c r="G163" s="80"/>
      <c r="H163" s="81"/>
      <c r="I163" s="81" t="s">
        <v>568</v>
      </c>
      <c r="J163" s="80">
        <v>420000</v>
      </c>
      <c r="K163" s="80" t="str">
        <f t="shared" si="5"/>
        <v/>
      </c>
      <c r="L163" s="82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s="11" customFormat="1" ht="19.95" customHeight="1">
      <c r="A164" s="79"/>
      <c r="B164" s="79" t="s">
        <v>562</v>
      </c>
      <c r="C164" s="79" t="s">
        <v>563</v>
      </c>
      <c r="D164" s="79" t="s">
        <v>564</v>
      </c>
      <c r="E164" s="79" t="s">
        <v>569</v>
      </c>
      <c r="F164" s="79"/>
      <c r="G164" s="80"/>
      <c r="H164" s="81"/>
      <c r="I164" s="81" t="s">
        <v>570</v>
      </c>
      <c r="J164" s="80">
        <v>100000</v>
      </c>
      <c r="K164" s="80" t="str">
        <f t="shared" si="5"/>
        <v/>
      </c>
      <c r="L164" s="82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s="11" customFormat="1" ht="19.95" customHeight="1">
      <c r="A165" s="79"/>
      <c r="B165" s="79" t="s">
        <v>562</v>
      </c>
      <c r="C165" s="79" t="s">
        <v>571</v>
      </c>
      <c r="D165" s="79" t="s">
        <v>571</v>
      </c>
      <c r="E165" s="79" t="s">
        <v>571</v>
      </c>
      <c r="F165" s="79"/>
      <c r="G165" s="80"/>
      <c r="H165" s="81"/>
      <c r="I165" s="81" t="s">
        <v>572</v>
      </c>
      <c r="J165" s="80">
        <v>90000000</v>
      </c>
      <c r="K165" s="80" t="str">
        <f t="shared" si="5"/>
        <v/>
      </c>
      <c r="L165" s="82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s="11" customFormat="1" ht="19.95" customHeight="1">
      <c r="A166" s="79"/>
      <c r="B166" s="79" t="s">
        <v>562</v>
      </c>
      <c r="C166" s="79" t="s">
        <v>573</v>
      </c>
      <c r="D166" s="79" t="s">
        <v>573</v>
      </c>
      <c r="E166" s="79" t="s">
        <v>574</v>
      </c>
      <c r="F166" s="79"/>
      <c r="G166" s="80"/>
      <c r="H166" s="81"/>
      <c r="I166" s="81" t="s">
        <v>575</v>
      </c>
      <c r="J166" s="80">
        <v>54000000</v>
      </c>
      <c r="K166" s="80" t="str">
        <f t="shared" si="5"/>
        <v/>
      </c>
      <c r="L166" s="82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s="11" customFormat="1" ht="19.95" customHeight="1">
      <c r="A167" s="79"/>
      <c r="B167" s="79" t="s">
        <v>562</v>
      </c>
      <c r="C167" s="79" t="s">
        <v>576</v>
      </c>
      <c r="D167" s="79" t="s">
        <v>576</v>
      </c>
      <c r="E167" s="79" t="s">
        <v>577</v>
      </c>
      <c r="F167" s="79"/>
      <c r="G167" s="80"/>
      <c r="H167" s="81"/>
      <c r="I167" s="81" t="s">
        <v>578</v>
      </c>
      <c r="J167" s="80">
        <v>26400000</v>
      </c>
      <c r="K167" s="80" t="str">
        <f t="shared" si="5"/>
        <v/>
      </c>
      <c r="L167" s="82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s="11" customFormat="1" ht="19.95" customHeight="1">
      <c r="A168" s="79"/>
      <c r="B168" s="79" t="s">
        <v>562</v>
      </c>
      <c r="C168" s="79" t="s">
        <v>579</v>
      </c>
      <c r="D168" s="79" t="s">
        <v>230</v>
      </c>
      <c r="E168" s="79" t="s">
        <v>580</v>
      </c>
      <c r="F168" s="79"/>
      <c r="G168" s="80"/>
      <c r="H168" s="81"/>
      <c r="I168" s="81" t="s">
        <v>581</v>
      </c>
      <c r="J168" s="80">
        <v>35508000</v>
      </c>
      <c r="K168" s="80" t="str">
        <f t="shared" si="5"/>
        <v/>
      </c>
      <c r="L168" s="82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s="11" customFormat="1" ht="19.95" customHeight="1">
      <c r="A169" s="79"/>
      <c r="B169" s="79" t="s">
        <v>562</v>
      </c>
      <c r="C169" s="79" t="s">
        <v>579</v>
      </c>
      <c r="D169" s="79" t="s">
        <v>230</v>
      </c>
      <c r="E169" s="79" t="s">
        <v>582</v>
      </c>
      <c r="F169" s="79"/>
      <c r="G169" s="80"/>
      <c r="H169" s="81"/>
      <c r="I169" s="81" t="s">
        <v>583</v>
      </c>
      <c r="J169" s="80">
        <v>600000</v>
      </c>
      <c r="K169" s="80" t="str">
        <f t="shared" si="5"/>
        <v/>
      </c>
      <c r="L169" s="82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s="11" customFormat="1" ht="19.95" customHeight="1">
      <c r="A170" s="79"/>
      <c r="B170" s="79" t="s">
        <v>562</v>
      </c>
      <c r="C170" s="79" t="s">
        <v>579</v>
      </c>
      <c r="D170" s="79" t="s">
        <v>230</v>
      </c>
      <c r="E170" s="79" t="s">
        <v>584</v>
      </c>
      <c r="F170" s="79"/>
      <c r="G170" s="80"/>
      <c r="H170" s="81"/>
      <c r="I170" s="81" t="s">
        <v>585</v>
      </c>
      <c r="J170" s="80">
        <v>1920000</v>
      </c>
      <c r="K170" s="80" t="str">
        <f t="shared" si="5"/>
        <v/>
      </c>
      <c r="L170" s="82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s="11" customFormat="1" ht="19.95" customHeight="1">
      <c r="A171" s="79"/>
      <c r="B171" s="79" t="s">
        <v>562</v>
      </c>
      <c r="C171" s="79" t="s">
        <v>579</v>
      </c>
      <c r="D171" s="79" t="s">
        <v>230</v>
      </c>
      <c r="E171" s="79" t="s">
        <v>586</v>
      </c>
      <c r="F171" s="79"/>
      <c r="G171" s="80"/>
      <c r="H171" s="81"/>
      <c r="I171" s="81" t="s">
        <v>587</v>
      </c>
      <c r="J171" s="80">
        <v>2000000</v>
      </c>
      <c r="K171" s="80" t="str">
        <f t="shared" si="5"/>
        <v/>
      </c>
      <c r="L171" s="82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s="11" customFormat="1" ht="19.95" customHeight="1">
      <c r="A172" s="79"/>
      <c r="B172" s="79" t="s">
        <v>562</v>
      </c>
      <c r="C172" s="79" t="s">
        <v>579</v>
      </c>
      <c r="D172" s="79" t="s">
        <v>230</v>
      </c>
      <c r="E172" s="79" t="s">
        <v>588</v>
      </c>
      <c r="F172" s="79"/>
      <c r="G172" s="80"/>
      <c r="H172" s="81"/>
      <c r="I172" s="81" t="s">
        <v>589</v>
      </c>
      <c r="J172" s="80">
        <v>1080000</v>
      </c>
      <c r="K172" s="80" t="str">
        <f t="shared" ref="K172:K201" si="6">IF(AND(ISNUMBER(G172),ISNUMBER(J172)),G172-J172,"")</f>
        <v/>
      </c>
      <c r="L172" s="82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s="11" customFormat="1" ht="19.95" customHeight="1">
      <c r="A173" s="79"/>
      <c r="B173" s="79" t="s">
        <v>562</v>
      </c>
      <c r="C173" s="79" t="s">
        <v>579</v>
      </c>
      <c r="D173" s="79" t="s">
        <v>230</v>
      </c>
      <c r="E173" s="79" t="s">
        <v>590</v>
      </c>
      <c r="F173" s="79"/>
      <c r="G173" s="80"/>
      <c r="H173" s="81"/>
      <c r="I173" s="81" t="s">
        <v>591</v>
      </c>
      <c r="J173" s="80">
        <v>3072000</v>
      </c>
      <c r="K173" s="80" t="str">
        <f t="shared" si="6"/>
        <v/>
      </c>
      <c r="L173" s="82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s="11" customFormat="1" ht="19.95" customHeight="1">
      <c r="A174" s="79"/>
      <c r="B174" s="79" t="s">
        <v>562</v>
      </c>
      <c r="C174" s="79" t="s">
        <v>579</v>
      </c>
      <c r="D174" s="79" t="s">
        <v>230</v>
      </c>
      <c r="E174" s="79" t="s">
        <v>592</v>
      </c>
      <c r="F174" s="79"/>
      <c r="G174" s="80"/>
      <c r="H174" s="81"/>
      <c r="I174" s="81" t="s">
        <v>593</v>
      </c>
      <c r="J174" s="80">
        <v>1200000</v>
      </c>
      <c r="K174" s="80" t="str">
        <f t="shared" si="6"/>
        <v/>
      </c>
      <c r="L174" s="82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s="11" customFormat="1" ht="19.95" customHeight="1">
      <c r="A175" s="79"/>
      <c r="B175" s="79" t="s">
        <v>562</v>
      </c>
      <c r="C175" s="79" t="s">
        <v>579</v>
      </c>
      <c r="D175" s="79" t="s">
        <v>230</v>
      </c>
      <c r="E175" s="79" t="s">
        <v>594</v>
      </c>
      <c r="F175" s="79"/>
      <c r="G175" s="80"/>
      <c r="H175" s="81"/>
      <c r="I175" s="81" t="s">
        <v>595</v>
      </c>
      <c r="J175" s="80">
        <v>7920000</v>
      </c>
      <c r="K175" s="80" t="str">
        <f t="shared" si="6"/>
        <v/>
      </c>
      <c r="L175" s="82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s="11" customFormat="1" ht="19.95" customHeight="1">
      <c r="A176" s="79"/>
      <c r="B176" s="79" t="s">
        <v>562</v>
      </c>
      <c r="C176" s="79" t="s">
        <v>579</v>
      </c>
      <c r="D176" s="79" t="s">
        <v>230</v>
      </c>
      <c r="E176" s="79" t="s">
        <v>596</v>
      </c>
      <c r="F176" s="79"/>
      <c r="G176" s="80"/>
      <c r="H176" s="81"/>
      <c r="I176" s="81" t="s">
        <v>597</v>
      </c>
      <c r="J176" s="80">
        <v>1000000</v>
      </c>
      <c r="K176" s="80" t="str">
        <f t="shared" si="6"/>
        <v/>
      </c>
      <c r="L176" s="82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9.95" customHeight="1">
      <c r="A177" s="83"/>
      <c r="B177" s="83" t="s">
        <v>562</v>
      </c>
      <c r="C177" s="83" t="s">
        <v>579</v>
      </c>
      <c r="D177" s="83" t="s">
        <v>230</v>
      </c>
      <c r="E177" s="83" t="s">
        <v>598</v>
      </c>
      <c r="F177" s="83"/>
      <c r="G177" s="84"/>
      <c r="H177" s="85"/>
      <c r="I177" s="85" t="s">
        <v>599</v>
      </c>
      <c r="J177" s="84">
        <v>725000</v>
      </c>
      <c r="K177" s="84" t="str">
        <f t="shared" si="6"/>
        <v/>
      </c>
      <c r="L177" s="8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9.95" customHeight="1">
      <c r="A178" s="83"/>
      <c r="B178" s="83" t="s">
        <v>562</v>
      </c>
      <c r="C178" s="83" t="s">
        <v>579</v>
      </c>
      <c r="D178" s="83" t="s">
        <v>230</v>
      </c>
      <c r="E178" s="83" t="s">
        <v>600</v>
      </c>
      <c r="F178" s="83"/>
      <c r="G178" s="84"/>
      <c r="H178" s="85"/>
      <c r="I178" s="85" t="s">
        <v>593</v>
      </c>
      <c r="J178" s="84">
        <v>1200000</v>
      </c>
      <c r="K178" s="84" t="str">
        <f t="shared" si="6"/>
        <v/>
      </c>
      <c r="L178" s="8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9.95" customHeight="1">
      <c r="A179" s="83"/>
      <c r="B179" s="83" t="s">
        <v>562</v>
      </c>
      <c r="C179" s="83" t="s">
        <v>579</v>
      </c>
      <c r="D179" s="83" t="s">
        <v>230</v>
      </c>
      <c r="E179" s="83" t="s">
        <v>601</v>
      </c>
      <c r="F179" s="83"/>
      <c r="G179" s="84"/>
      <c r="H179" s="85"/>
      <c r="I179" s="85" t="s">
        <v>602</v>
      </c>
      <c r="J179" s="84">
        <v>2000000</v>
      </c>
      <c r="K179" s="84" t="str">
        <f t="shared" si="6"/>
        <v/>
      </c>
      <c r="L179" s="8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9.95" customHeight="1">
      <c r="A180" s="83"/>
      <c r="B180" s="83" t="s">
        <v>562</v>
      </c>
      <c r="C180" s="83" t="s">
        <v>579</v>
      </c>
      <c r="D180" s="83" t="s">
        <v>230</v>
      </c>
      <c r="E180" s="83" t="s">
        <v>603</v>
      </c>
      <c r="F180" s="83"/>
      <c r="G180" s="84"/>
      <c r="H180" s="85"/>
      <c r="I180" s="85" t="s">
        <v>604</v>
      </c>
      <c r="J180" s="84">
        <v>20000000</v>
      </c>
      <c r="K180" s="84" t="str">
        <f t="shared" si="6"/>
        <v/>
      </c>
      <c r="L180" s="8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9.95" customHeight="1">
      <c r="A181" s="83"/>
      <c r="B181" s="83" t="s">
        <v>562</v>
      </c>
      <c r="C181" s="83" t="s">
        <v>579</v>
      </c>
      <c r="D181" s="83" t="s">
        <v>230</v>
      </c>
      <c r="E181" s="83" t="s">
        <v>605</v>
      </c>
      <c r="F181" s="83"/>
      <c r="G181" s="84"/>
      <c r="H181" s="85"/>
      <c r="I181" s="85" t="s">
        <v>606</v>
      </c>
      <c r="J181" s="84">
        <v>5208000</v>
      </c>
      <c r="K181" s="84" t="str">
        <f t="shared" si="6"/>
        <v/>
      </c>
      <c r="L181" s="8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9.95" customHeight="1">
      <c r="A182" s="83"/>
      <c r="B182" s="83" t="s">
        <v>562</v>
      </c>
      <c r="C182" s="83" t="s">
        <v>579</v>
      </c>
      <c r="D182" s="83" t="s">
        <v>230</v>
      </c>
      <c r="E182" s="83" t="s">
        <v>607</v>
      </c>
      <c r="F182" s="83"/>
      <c r="G182" s="84"/>
      <c r="H182" s="85"/>
      <c r="I182" s="85" t="s">
        <v>608</v>
      </c>
      <c r="J182" s="84">
        <v>252000</v>
      </c>
      <c r="K182" s="84" t="str">
        <f t="shared" si="6"/>
        <v/>
      </c>
      <c r="L182" s="8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9.95" customHeight="1">
      <c r="A183" s="83"/>
      <c r="B183" s="83" t="s">
        <v>562</v>
      </c>
      <c r="C183" s="83" t="s">
        <v>579</v>
      </c>
      <c r="D183" s="83" t="s">
        <v>230</v>
      </c>
      <c r="E183" s="83" t="s">
        <v>609</v>
      </c>
      <c r="F183" s="83"/>
      <c r="G183" s="84"/>
      <c r="H183" s="85"/>
      <c r="I183" s="85" t="s">
        <v>610</v>
      </c>
      <c r="J183" s="84">
        <v>504000</v>
      </c>
      <c r="K183" s="84" t="str">
        <f t="shared" si="6"/>
        <v/>
      </c>
      <c r="L183" s="8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9.95" customHeight="1">
      <c r="A184" s="83"/>
      <c r="B184" s="83" t="s">
        <v>562</v>
      </c>
      <c r="C184" s="83" t="s">
        <v>579</v>
      </c>
      <c r="D184" s="83" t="s">
        <v>230</v>
      </c>
      <c r="E184" s="83" t="s">
        <v>611</v>
      </c>
      <c r="F184" s="83"/>
      <c r="G184" s="84"/>
      <c r="H184" s="85"/>
      <c r="I184" s="85" t="s">
        <v>612</v>
      </c>
      <c r="J184" s="84">
        <v>18336000</v>
      </c>
      <c r="K184" s="84" t="str">
        <f t="shared" si="6"/>
        <v/>
      </c>
      <c r="L184" s="8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19.95" customHeight="1">
      <c r="A185" s="83"/>
      <c r="B185" s="83" t="s">
        <v>562</v>
      </c>
      <c r="C185" s="83" t="s">
        <v>579</v>
      </c>
      <c r="D185" s="83" t="s">
        <v>230</v>
      </c>
      <c r="E185" s="83" t="s">
        <v>613</v>
      </c>
      <c r="F185" s="83"/>
      <c r="G185" s="84"/>
      <c r="H185" s="85"/>
      <c r="I185" s="85" t="s">
        <v>614</v>
      </c>
      <c r="J185" s="84">
        <v>3000000</v>
      </c>
      <c r="K185" s="84" t="str">
        <f t="shared" si="6"/>
        <v/>
      </c>
      <c r="L185" s="8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9.95" customHeight="1">
      <c r="A186" s="83"/>
      <c r="B186" s="83" t="s">
        <v>562</v>
      </c>
      <c r="C186" s="83" t="s">
        <v>579</v>
      </c>
      <c r="D186" s="83" t="s">
        <v>230</v>
      </c>
      <c r="E186" s="83" t="s">
        <v>615</v>
      </c>
      <c r="F186" s="83"/>
      <c r="G186" s="84"/>
      <c r="H186" s="85"/>
      <c r="I186" s="85" t="s">
        <v>616</v>
      </c>
      <c r="J186" s="84">
        <v>2040000</v>
      </c>
      <c r="K186" s="84" t="str">
        <f t="shared" si="6"/>
        <v/>
      </c>
      <c r="L186" s="8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9.95" customHeight="1">
      <c r="A187" s="83"/>
      <c r="B187" s="83" t="s">
        <v>562</v>
      </c>
      <c r="C187" s="83" t="s">
        <v>579</v>
      </c>
      <c r="D187" s="83" t="s">
        <v>230</v>
      </c>
      <c r="E187" s="83" t="s">
        <v>617</v>
      </c>
      <c r="F187" s="83"/>
      <c r="G187" s="84"/>
      <c r="H187" s="85"/>
      <c r="I187" s="85" t="s">
        <v>618</v>
      </c>
      <c r="J187" s="84">
        <v>2400000</v>
      </c>
      <c r="K187" s="84" t="str">
        <f t="shared" si="6"/>
        <v/>
      </c>
      <c r="L187" s="8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9.95" customHeight="1">
      <c r="A188" s="83"/>
      <c r="B188" s="83" t="s">
        <v>562</v>
      </c>
      <c r="C188" s="83" t="s">
        <v>579</v>
      </c>
      <c r="D188" s="83" t="s">
        <v>230</v>
      </c>
      <c r="E188" s="83" t="s">
        <v>619</v>
      </c>
      <c r="F188" s="83"/>
      <c r="G188" s="84"/>
      <c r="H188" s="85"/>
      <c r="I188" s="85" t="s">
        <v>620</v>
      </c>
      <c r="J188" s="84">
        <v>24000000</v>
      </c>
      <c r="K188" s="84" t="str">
        <f t="shared" si="6"/>
        <v/>
      </c>
      <c r="L188" s="8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9.95" customHeight="1">
      <c r="A189" s="83"/>
      <c r="B189" s="83" t="s">
        <v>562</v>
      </c>
      <c r="C189" s="83" t="s">
        <v>621</v>
      </c>
      <c r="D189" s="83" t="s">
        <v>230</v>
      </c>
      <c r="E189" s="83" t="s">
        <v>622</v>
      </c>
      <c r="F189" s="83"/>
      <c r="G189" s="84"/>
      <c r="H189" s="85"/>
      <c r="I189" s="85" t="s">
        <v>623</v>
      </c>
      <c r="J189" s="84">
        <v>1200000</v>
      </c>
      <c r="K189" s="84" t="str">
        <f t="shared" si="6"/>
        <v/>
      </c>
      <c r="L189" s="8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19.95" customHeight="1">
      <c r="A190" s="83"/>
      <c r="B190" s="83" t="s">
        <v>562</v>
      </c>
      <c r="C190" s="83" t="s">
        <v>621</v>
      </c>
      <c r="D190" s="83" t="s">
        <v>230</v>
      </c>
      <c r="E190" s="83" t="s">
        <v>624</v>
      </c>
      <c r="F190" s="83"/>
      <c r="G190" s="84"/>
      <c r="H190" s="85"/>
      <c r="I190" s="85" t="s">
        <v>625</v>
      </c>
      <c r="J190" s="84">
        <v>2892000</v>
      </c>
      <c r="K190" s="84" t="str">
        <f t="shared" si="6"/>
        <v/>
      </c>
      <c r="L190" s="8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19.95" customHeight="1">
      <c r="A191" s="83"/>
      <c r="B191" s="83" t="s">
        <v>562</v>
      </c>
      <c r="C191" s="83" t="s">
        <v>621</v>
      </c>
      <c r="D191" s="83" t="s">
        <v>230</v>
      </c>
      <c r="E191" s="83" t="s">
        <v>626</v>
      </c>
      <c r="F191" s="83"/>
      <c r="G191" s="84"/>
      <c r="H191" s="85"/>
      <c r="I191" s="85" t="s">
        <v>627</v>
      </c>
      <c r="J191" s="84">
        <v>13200000</v>
      </c>
      <c r="K191" s="84" t="str">
        <f t="shared" si="6"/>
        <v/>
      </c>
      <c r="L191" s="8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19.95" customHeight="1">
      <c r="A192" s="83"/>
      <c r="B192" s="83" t="s">
        <v>562</v>
      </c>
      <c r="C192" s="83" t="s">
        <v>621</v>
      </c>
      <c r="D192" s="83" t="s">
        <v>230</v>
      </c>
      <c r="E192" s="83" t="s">
        <v>628</v>
      </c>
      <c r="F192" s="83"/>
      <c r="G192" s="84"/>
      <c r="H192" s="85"/>
      <c r="I192" s="85" t="s">
        <v>629</v>
      </c>
      <c r="J192" s="84">
        <v>750000</v>
      </c>
      <c r="K192" s="84" t="str">
        <f t="shared" si="6"/>
        <v/>
      </c>
      <c r="L192" s="8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9.95" customHeight="1">
      <c r="A193" s="83"/>
      <c r="B193" s="83" t="s">
        <v>562</v>
      </c>
      <c r="C193" s="83" t="s">
        <v>621</v>
      </c>
      <c r="D193" s="83" t="s">
        <v>230</v>
      </c>
      <c r="E193" s="83" t="s">
        <v>630</v>
      </c>
      <c r="F193" s="83"/>
      <c r="G193" s="84"/>
      <c r="H193" s="85"/>
      <c r="I193" s="85" t="s">
        <v>631</v>
      </c>
      <c r="J193" s="84">
        <v>3000000</v>
      </c>
      <c r="K193" s="84" t="str">
        <f t="shared" si="6"/>
        <v/>
      </c>
      <c r="L193" s="8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9.95" customHeight="1">
      <c r="A194" s="83"/>
      <c r="B194" s="83" t="s">
        <v>562</v>
      </c>
      <c r="C194" s="83" t="s">
        <v>621</v>
      </c>
      <c r="D194" s="83" t="s">
        <v>398</v>
      </c>
      <c r="E194" s="83" t="s">
        <v>632</v>
      </c>
      <c r="F194" s="83"/>
      <c r="G194" s="84"/>
      <c r="H194" s="85"/>
      <c r="I194" s="85" t="s">
        <v>633</v>
      </c>
      <c r="J194" s="84">
        <v>4000000</v>
      </c>
      <c r="K194" s="84" t="str">
        <f t="shared" si="6"/>
        <v/>
      </c>
      <c r="L194" s="8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9.95" customHeight="1">
      <c r="A195" s="83"/>
      <c r="B195" s="83" t="s">
        <v>562</v>
      </c>
      <c r="C195" s="83" t="s">
        <v>634</v>
      </c>
      <c r="D195" s="83" t="s">
        <v>230</v>
      </c>
      <c r="E195" s="83" t="s">
        <v>634</v>
      </c>
      <c r="F195" s="83"/>
      <c r="G195" s="84"/>
      <c r="H195" s="85"/>
      <c r="I195" s="85" t="s">
        <v>635</v>
      </c>
      <c r="J195" s="84">
        <v>34305000</v>
      </c>
      <c r="K195" s="84" t="str">
        <f t="shared" si="6"/>
        <v/>
      </c>
      <c r="L195" s="8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9.95" customHeight="1">
      <c r="A196" s="83"/>
      <c r="B196" s="83" t="s">
        <v>636</v>
      </c>
      <c r="C196" s="83" t="s">
        <v>636</v>
      </c>
      <c r="D196" s="83" t="s">
        <v>227</v>
      </c>
      <c r="E196" s="83" t="s">
        <v>637</v>
      </c>
      <c r="F196" s="83"/>
      <c r="G196" s="84"/>
      <c r="H196" s="85"/>
      <c r="I196" s="85" t="s">
        <v>638</v>
      </c>
      <c r="J196" s="84">
        <v>440000</v>
      </c>
      <c r="K196" s="84" t="str">
        <f t="shared" si="6"/>
        <v/>
      </c>
      <c r="L196" s="8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9.95" customHeight="1">
      <c r="A197" s="83"/>
      <c r="B197" s="83" t="s">
        <v>636</v>
      </c>
      <c r="C197" s="83" t="s">
        <v>636</v>
      </c>
      <c r="D197" s="83" t="s">
        <v>227</v>
      </c>
      <c r="E197" s="83" t="s">
        <v>639</v>
      </c>
      <c r="F197" s="83"/>
      <c r="G197" s="84"/>
      <c r="H197" s="85"/>
      <c r="I197" s="85" t="s">
        <v>570</v>
      </c>
      <c r="J197" s="84">
        <v>100000</v>
      </c>
      <c r="K197" s="84" t="str">
        <f t="shared" si="6"/>
        <v/>
      </c>
      <c r="L197" s="8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9.95" customHeight="1">
      <c r="A198" s="83"/>
      <c r="B198" s="83" t="s">
        <v>640</v>
      </c>
      <c r="C198" s="83" t="s">
        <v>641</v>
      </c>
      <c r="D198" s="83" t="s">
        <v>230</v>
      </c>
      <c r="E198" s="83" t="s">
        <v>642</v>
      </c>
      <c r="F198" s="83"/>
      <c r="G198" s="84"/>
      <c r="H198" s="85"/>
      <c r="I198" s="85" t="s">
        <v>443</v>
      </c>
      <c r="J198" s="84">
        <v>1000000</v>
      </c>
      <c r="K198" s="84" t="str">
        <f t="shared" si="6"/>
        <v/>
      </c>
      <c r="L198" s="8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9.95" customHeight="1">
      <c r="A199" s="83"/>
      <c r="B199" s="83" t="s">
        <v>640</v>
      </c>
      <c r="C199" s="83" t="s">
        <v>641</v>
      </c>
      <c r="D199" s="83" t="s">
        <v>217</v>
      </c>
      <c r="E199" s="83" t="s">
        <v>643</v>
      </c>
      <c r="F199" s="83"/>
      <c r="G199" s="84"/>
      <c r="H199" s="85"/>
      <c r="I199" s="85" t="s">
        <v>644</v>
      </c>
      <c r="J199" s="84">
        <v>1200000</v>
      </c>
      <c r="K199" s="84" t="str">
        <f t="shared" si="6"/>
        <v/>
      </c>
      <c r="L199" s="8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9.95" customHeight="1">
      <c r="A200" s="83"/>
      <c r="B200" s="83" t="s">
        <v>640</v>
      </c>
      <c r="C200" s="83" t="s">
        <v>641</v>
      </c>
      <c r="D200" s="83" t="s">
        <v>227</v>
      </c>
      <c r="E200" s="83" t="s">
        <v>645</v>
      </c>
      <c r="F200" s="83"/>
      <c r="G200" s="84"/>
      <c r="H200" s="85"/>
      <c r="I200" s="85" t="s">
        <v>646</v>
      </c>
      <c r="J200" s="84">
        <v>300000</v>
      </c>
      <c r="K200" s="84" t="str">
        <f t="shared" si="6"/>
        <v/>
      </c>
      <c r="L200" s="8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9.95" customHeight="1">
      <c r="A201" s="83"/>
      <c r="B201" s="83" t="s">
        <v>647</v>
      </c>
      <c r="C201" s="83" t="s">
        <v>648</v>
      </c>
      <c r="D201" s="83" t="s">
        <v>648</v>
      </c>
      <c r="E201" s="83" t="s">
        <v>649</v>
      </c>
      <c r="F201" s="83"/>
      <c r="G201" s="84"/>
      <c r="H201" s="85"/>
      <c r="I201" s="85" t="s">
        <v>650</v>
      </c>
      <c r="J201" s="84">
        <v>6000000</v>
      </c>
      <c r="K201" s="84" t="str">
        <f t="shared" si="6"/>
        <v/>
      </c>
      <c r="L201" s="8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24" customHeight="1">
      <c r="A202" s="70"/>
      <c r="B202" s="70"/>
      <c r="C202" s="70"/>
      <c r="D202" s="70"/>
      <c r="E202" s="70"/>
      <c r="F202" s="70" t="s">
        <v>658</v>
      </c>
      <c r="G202" s="71">
        <f>SUM(G11:G201)</f>
        <v>0</v>
      </c>
      <c r="H202" s="73"/>
      <c r="I202" s="73" t="s">
        <v>659</v>
      </c>
      <c r="J202" s="71">
        <f>SUM(J11:J201)</f>
        <v>745853000</v>
      </c>
      <c r="K202" s="71">
        <f>SUM(K11:K201)</f>
        <v>0</v>
      </c>
      <c r="L202" s="74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9.95" customHeight="1">
      <c r="A203" s="50"/>
      <c r="B203" s="50"/>
      <c r="C203" s="50"/>
      <c r="D203" s="50"/>
      <c r="E203" s="50"/>
      <c r="F203" s="50"/>
      <c r="G203" s="51"/>
      <c r="H203" s="55"/>
      <c r="I203" s="55"/>
      <c r="J203" s="51"/>
      <c r="K203" s="51"/>
      <c r="L203" s="5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9.95" customHeight="1">
      <c r="A204" s="50"/>
      <c r="B204" s="50"/>
      <c r="C204" s="50"/>
      <c r="D204" s="50"/>
      <c r="E204" s="50"/>
      <c r="F204" s="50"/>
      <c r="G204" s="51"/>
      <c r="H204" s="55"/>
      <c r="I204" s="55"/>
      <c r="J204" s="51"/>
      <c r="K204" s="51"/>
      <c r="L204" s="5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9.95" customHeight="1">
      <c r="A205" s="50"/>
      <c r="B205" s="50"/>
      <c r="C205" s="50"/>
      <c r="D205" s="50"/>
      <c r="E205" s="50"/>
      <c r="F205" s="50"/>
      <c r="G205" s="51"/>
      <c r="H205" s="55"/>
      <c r="I205" s="55"/>
      <c r="J205" s="51"/>
      <c r="K205" s="51"/>
      <c r="L205" s="5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9.95" customHeight="1">
      <c r="A206" s="50"/>
      <c r="B206" s="50"/>
      <c r="C206" s="50"/>
      <c r="D206" s="50"/>
      <c r="E206" s="50"/>
      <c r="F206" s="50"/>
      <c r="G206" s="51"/>
      <c r="H206" s="55"/>
      <c r="I206" s="55"/>
      <c r="J206" s="51"/>
      <c r="K206" s="51"/>
      <c r="L206" s="5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9.95" customHeight="1">
      <c r="A207" s="50"/>
      <c r="B207" s="50"/>
      <c r="C207" s="50"/>
      <c r="D207" s="50"/>
      <c r="E207" s="50"/>
      <c r="F207" s="50"/>
      <c r="G207" s="51"/>
      <c r="H207" s="55"/>
      <c r="I207" s="55"/>
      <c r="J207" s="51"/>
      <c r="K207" s="51"/>
      <c r="L207" s="5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9.95" customHeight="1">
      <c r="A208" s="50"/>
      <c r="B208" s="50"/>
      <c r="C208" s="50"/>
      <c r="D208" s="50"/>
      <c r="E208" s="50"/>
      <c r="F208" s="50"/>
      <c r="G208" s="51"/>
      <c r="H208" s="55"/>
      <c r="I208" s="55"/>
      <c r="J208" s="51"/>
      <c r="K208" s="51"/>
      <c r="L208" s="5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9.95" customHeight="1">
      <c r="A209" s="50"/>
      <c r="B209" s="50"/>
      <c r="C209" s="50"/>
      <c r="D209" s="50"/>
      <c r="E209" s="50"/>
      <c r="F209" s="50"/>
      <c r="G209" s="51"/>
      <c r="H209" s="55"/>
      <c r="I209" s="55"/>
      <c r="J209" s="51"/>
      <c r="K209" s="51"/>
      <c r="L209" s="5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9.95" customHeight="1">
      <c r="A210" s="50"/>
      <c r="B210" s="50"/>
      <c r="C210" s="50"/>
      <c r="D210" s="50"/>
      <c r="E210" s="50"/>
      <c r="F210" s="50"/>
      <c r="G210" s="51"/>
      <c r="H210" s="55"/>
      <c r="I210" s="55"/>
      <c r="J210" s="51"/>
      <c r="K210" s="51"/>
      <c r="L210" s="5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9.95" customHeight="1">
      <c r="A211" s="50"/>
      <c r="B211" s="50"/>
      <c r="C211" s="50"/>
      <c r="D211" s="50"/>
      <c r="E211" s="50"/>
      <c r="F211" s="50"/>
      <c r="G211" s="51"/>
      <c r="H211" s="55"/>
      <c r="I211" s="55"/>
      <c r="J211" s="51"/>
      <c r="K211" s="51"/>
      <c r="L211" s="5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9.95" customHeight="1">
      <c r="A212" s="50"/>
      <c r="B212" s="50"/>
      <c r="C212" s="50"/>
      <c r="D212" s="50"/>
      <c r="E212" s="50"/>
      <c r="F212" s="50"/>
      <c r="G212" s="51"/>
      <c r="H212" s="55"/>
      <c r="I212" s="55"/>
      <c r="J212" s="51"/>
      <c r="K212" s="51"/>
      <c r="L212" s="5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9.95" customHeight="1">
      <c r="A213" s="50"/>
      <c r="B213" s="50"/>
      <c r="C213" s="50"/>
      <c r="D213" s="50"/>
      <c r="E213" s="50"/>
      <c r="F213" s="50"/>
      <c r="G213" s="51"/>
      <c r="H213" s="55"/>
      <c r="I213" s="55"/>
      <c r="J213" s="51"/>
      <c r="K213" s="51"/>
      <c r="L213" s="5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9.95" customHeight="1">
      <c r="A214" s="50"/>
      <c r="B214" s="50"/>
      <c r="C214" s="50"/>
      <c r="D214" s="50"/>
      <c r="E214" s="50"/>
      <c r="F214" s="50"/>
      <c r="G214" s="51"/>
      <c r="H214" s="55"/>
      <c r="I214" s="55"/>
      <c r="J214" s="51"/>
      <c r="K214" s="51"/>
      <c r="L214" s="5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9.95" customHeight="1">
      <c r="A215" s="50"/>
      <c r="B215" s="50"/>
      <c r="C215" s="50"/>
      <c r="D215" s="50"/>
      <c r="E215" s="50"/>
      <c r="F215" s="50"/>
      <c r="G215" s="51"/>
      <c r="H215" s="55"/>
      <c r="I215" s="55"/>
      <c r="J215" s="51"/>
      <c r="K215" s="51"/>
      <c r="L215" s="5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9.95" customHeight="1">
      <c r="A216" s="50"/>
      <c r="B216" s="50"/>
      <c r="C216" s="50"/>
      <c r="D216" s="50"/>
      <c r="E216" s="50"/>
      <c r="F216" s="50"/>
      <c r="G216" s="51"/>
      <c r="H216" s="55"/>
      <c r="I216" s="55"/>
      <c r="J216" s="51"/>
      <c r="K216" s="51"/>
      <c r="L216" s="5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9.95" customHeight="1">
      <c r="A217" s="50"/>
      <c r="B217" s="50"/>
      <c r="C217" s="50"/>
      <c r="D217" s="50"/>
      <c r="E217" s="50"/>
      <c r="F217" s="50"/>
      <c r="G217" s="51"/>
      <c r="H217" s="55"/>
      <c r="I217" s="55"/>
      <c r="J217" s="51"/>
      <c r="K217" s="51"/>
      <c r="L217" s="5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9.95" customHeight="1">
      <c r="A218" s="50"/>
      <c r="B218" s="50"/>
      <c r="C218" s="50"/>
      <c r="D218" s="50"/>
      <c r="E218" s="50"/>
      <c r="F218" s="50"/>
      <c r="G218" s="51"/>
      <c r="H218" s="55"/>
      <c r="I218" s="55"/>
      <c r="J218" s="51"/>
      <c r="K218" s="51"/>
      <c r="L218" s="5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9.95" customHeight="1">
      <c r="A219" s="50"/>
      <c r="B219" s="50"/>
      <c r="C219" s="50"/>
      <c r="D219" s="50"/>
      <c r="E219" s="50"/>
      <c r="F219" s="50"/>
      <c r="G219" s="51"/>
      <c r="H219" s="55"/>
      <c r="I219" s="55"/>
      <c r="J219" s="51"/>
      <c r="K219" s="51"/>
      <c r="L219" s="5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9.95" customHeight="1">
      <c r="A220" s="50"/>
      <c r="B220" s="50"/>
      <c r="C220" s="50"/>
      <c r="D220" s="50"/>
      <c r="E220" s="50"/>
      <c r="F220" s="50"/>
      <c r="G220" s="51"/>
      <c r="H220" s="55"/>
      <c r="I220" s="55"/>
      <c r="J220" s="51"/>
      <c r="K220" s="51"/>
      <c r="L220" s="5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9.95" customHeight="1">
      <c r="A221" s="50"/>
      <c r="B221" s="50"/>
      <c r="C221" s="50"/>
      <c r="D221" s="50"/>
      <c r="E221" s="50"/>
      <c r="F221" s="50"/>
      <c r="G221" s="51"/>
      <c r="H221" s="55"/>
      <c r="I221" s="55"/>
      <c r="J221" s="51"/>
      <c r="K221" s="51"/>
      <c r="L221" s="5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9.95" customHeight="1">
      <c r="A222" s="50"/>
      <c r="B222" s="50"/>
      <c r="C222" s="50"/>
      <c r="D222" s="50"/>
      <c r="E222" s="50"/>
      <c r="F222" s="50"/>
      <c r="G222" s="51"/>
      <c r="H222" s="55"/>
      <c r="I222" s="55"/>
      <c r="J222" s="51"/>
      <c r="K222" s="51"/>
      <c r="L222" s="5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9.95" customHeight="1">
      <c r="A223" s="50"/>
      <c r="B223" s="50"/>
      <c r="C223" s="50"/>
      <c r="D223" s="50"/>
      <c r="E223" s="50"/>
      <c r="F223" s="50"/>
      <c r="G223" s="51"/>
      <c r="H223" s="55"/>
      <c r="I223" s="55"/>
      <c r="J223" s="51"/>
      <c r="K223" s="51"/>
      <c r="L223" s="5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9.95" customHeight="1">
      <c r="A224" s="50"/>
      <c r="B224" s="50"/>
      <c r="C224" s="50"/>
      <c r="D224" s="50"/>
      <c r="E224" s="50"/>
      <c r="F224" s="50"/>
      <c r="G224" s="51"/>
      <c r="H224" s="55"/>
      <c r="I224" s="55"/>
      <c r="J224" s="51"/>
      <c r="K224" s="51"/>
      <c r="L224" s="5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9.95" customHeight="1">
      <c r="A225" s="50"/>
      <c r="B225" s="50"/>
      <c r="C225" s="50"/>
      <c r="D225" s="50"/>
      <c r="E225" s="50"/>
      <c r="F225" s="50"/>
      <c r="G225" s="51"/>
      <c r="H225" s="55"/>
      <c r="I225" s="55"/>
      <c r="J225" s="51"/>
      <c r="K225" s="51"/>
      <c r="L225" s="5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9.95" customHeight="1">
      <c r="A226" s="50"/>
      <c r="B226" s="50"/>
      <c r="C226" s="50"/>
      <c r="D226" s="50"/>
      <c r="E226" s="50"/>
      <c r="F226" s="50"/>
      <c r="G226" s="51"/>
      <c r="H226" s="55"/>
      <c r="I226" s="55"/>
      <c r="J226" s="51"/>
      <c r="K226" s="51"/>
      <c r="L226" s="5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9.95" customHeight="1">
      <c r="A227" s="50"/>
      <c r="B227" s="50"/>
      <c r="C227" s="50"/>
      <c r="D227" s="50"/>
      <c r="E227" s="50"/>
      <c r="F227" s="50"/>
      <c r="G227" s="51"/>
      <c r="H227" s="55"/>
      <c r="I227" s="55"/>
      <c r="J227" s="51"/>
      <c r="K227" s="51"/>
      <c r="L227" s="5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9.95" customHeight="1">
      <c r="A228" s="50"/>
      <c r="B228" s="50"/>
      <c r="C228" s="50"/>
      <c r="D228" s="50"/>
      <c r="E228" s="50"/>
      <c r="F228" s="50"/>
      <c r="G228" s="51"/>
      <c r="H228" s="55"/>
      <c r="I228" s="55"/>
      <c r="J228" s="51"/>
      <c r="K228" s="51"/>
      <c r="L228" s="5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9.95" customHeight="1">
      <c r="A229" s="50"/>
      <c r="B229" s="50"/>
      <c r="C229" s="50"/>
      <c r="D229" s="50"/>
      <c r="E229" s="50"/>
      <c r="F229" s="50"/>
      <c r="G229" s="51"/>
      <c r="H229" s="55"/>
      <c r="I229" s="55"/>
      <c r="J229" s="51"/>
      <c r="K229" s="51"/>
      <c r="L229" s="5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9.95" customHeight="1">
      <c r="A230" s="50"/>
      <c r="B230" s="50"/>
      <c r="C230" s="50"/>
      <c r="D230" s="50"/>
      <c r="E230" s="50"/>
      <c r="F230" s="50"/>
      <c r="G230" s="51"/>
      <c r="H230" s="55"/>
      <c r="I230" s="55"/>
      <c r="J230" s="51"/>
      <c r="K230" s="51"/>
      <c r="L230" s="5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9.95" customHeight="1">
      <c r="A231" s="50"/>
      <c r="B231" s="50"/>
      <c r="C231" s="50"/>
      <c r="D231" s="50"/>
      <c r="E231" s="50"/>
      <c r="F231" s="50"/>
      <c r="G231" s="51"/>
      <c r="H231" s="55"/>
      <c r="I231" s="55"/>
      <c r="J231" s="51"/>
      <c r="K231" s="51"/>
      <c r="L231" s="5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9.95" customHeight="1">
      <c r="A232" s="50"/>
      <c r="B232" s="50"/>
      <c r="C232" s="50"/>
      <c r="D232" s="50"/>
      <c r="E232" s="50"/>
      <c r="F232" s="50"/>
      <c r="G232" s="51"/>
      <c r="H232" s="55"/>
      <c r="I232" s="55"/>
      <c r="J232" s="51"/>
      <c r="K232" s="51"/>
      <c r="L232" s="5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9.95" customHeight="1">
      <c r="A233" s="50"/>
      <c r="B233" s="50"/>
      <c r="C233" s="50"/>
      <c r="D233" s="50"/>
      <c r="E233" s="50"/>
      <c r="F233" s="50"/>
      <c r="G233" s="51"/>
      <c r="H233" s="55"/>
      <c r="I233" s="55"/>
      <c r="J233" s="51"/>
      <c r="K233" s="51"/>
      <c r="L233" s="5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9.95" customHeight="1">
      <c r="A234" s="50"/>
      <c r="B234" s="50"/>
      <c r="C234" s="50"/>
      <c r="D234" s="50"/>
      <c r="E234" s="50"/>
      <c r="F234" s="50"/>
      <c r="G234" s="51"/>
      <c r="H234" s="55"/>
      <c r="I234" s="55"/>
      <c r="J234" s="51"/>
      <c r="K234" s="51"/>
      <c r="L234" s="5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9.95" customHeight="1">
      <c r="A235" s="50"/>
      <c r="B235" s="50"/>
      <c r="C235" s="50"/>
      <c r="D235" s="50"/>
      <c r="E235" s="50"/>
      <c r="F235" s="50"/>
      <c r="G235" s="51"/>
      <c r="H235" s="55"/>
      <c r="I235" s="55"/>
      <c r="J235" s="51"/>
      <c r="K235" s="51"/>
      <c r="L235" s="5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9.95" customHeight="1">
      <c r="A236" s="50"/>
      <c r="B236" s="50"/>
      <c r="C236" s="50"/>
      <c r="D236" s="50"/>
      <c r="E236" s="50"/>
      <c r="F236" s="50"/>
      <c r="G236" s="51"/>
      <c r="H236" s="55"/>
      <c r="I236" s="55"/>
      <c r="J236" s="51"/>
      <c r="K236" s="51"/>
      <c r="L236" s="5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9.95" customHeight="1">
      <c r="A237" s="50"/>
      <c r="B237" s="50"/>
      <c r="C237" s="50"/>
      <c r="D237" s="50"/>
      <c r="E237" s="50"/>
      <c r="F237" s="50"/>
      <c r="G237" s="51"/>
      <c r="H237" s="55"/>
      <c r="I237" s="55"/>
      <c r="J237" s="51"/>
      <c r="K237" s="51"/>
      <c r="L237" s="5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9.95" customHeight="1">
      <c r="A238" s="50"/>
      <c r="B238" s="50"/>
      <c r="C238" s="50"/>
      <c r="D238" s="50"/>
      <c r="E238" s="50"/>
      <c r="F238" s="50"/>
      <c r="G238" s="51"/>
      <c r="H238" s="55"/>
      <c r="I238" s="55"/>
      <c r="J238" s="51"/>
      <c r="K238" s="51"/>
      <c r="L238" s="5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9.95" customHeight="1">
      <c r="A239" s="50"/>
      <c r="B239" s="50"/>
      <c r="C239" s="50"/>
      <c r="D239" s="50"/>
      <c r="E239" s="50"/>
      <c r="F239" s="50"/>
      <c r="G239" s="51"/>
      <c r="H239" s="55"/>
      <c r="I239" s="55"/>
      <c r="J239" s="51"/>
      <c r="K239" s="51"/>
      <c r="L239" s="5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9.95" customHeight="1">
      <c r="A240" s="50"/>
      <c r="B240" s="50"/>
      <c r="C240" s="50"/>
      <c r="D240" s="50"/>
      <c r="E240" s="50"/>
      <c r="F240" s="50"/>
      <c r="G240" s="51"/>
      <c r="H240" s="55"/>
      <c r="I240" s="55"/>
      <c r="J240" s="51"/>
      <c r="K240" s="51"/>
      <c r="L240" s="5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9.95" customHeight="1">
      <c r="A241" s="50"/>
      <c r="B241" s="50"/>
      <c r="C241" s="50"/>
      <c r="D241" s="50"/>
      <c r="E241" s="50"/>
      <c r="F241" s="50"/>
      <c r="G241" s="51"/>
      <c r="H241" s="55"/>
      <c r="I241" s="55"/>
      <c r="J241" s="51"/>
      <c r="K241" s="51"/>
      <c r="L241" s="5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9.95" customHeight="1">
      <c r="A242" s="50"/>
      <c r="B242" s="50"/>
      <c r="C242" s="50"/>
      <c r="D242" s="50"/>
      <c r="E242" s="50"/>
      <c r="F242" s="50"/>
      <c r="G242" s="51"/>
      <c r="H242" s="55"/>
      <c r="I242" s="55"/>
      <c r="J242" s="51"/>
      <c r="K242" s="51"/>
      <c r="L242" s="5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9.95" customHeight="1">
      <c r="A243" s="50"/>
      <c r="B243" s="50"/>
      <c r="C243" s="50"/>
      <c r="D243" s="50"/>
      <c r="E243" s="50"/>
      <c r="F243" s="50"/>
      <c r="G243" s="51"/>
      <c r="H243" s="55"/>
      <c r="I243" s="55"/>
      <c r="J243" s="51"/>
      <c r="K243" s="51"/>
      <c r="L243" s="5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9.95" customHeight="1">
      <c r="A244" s="50"/>
      <c r="B244" s="50"/>
      <c r="C244" s="50"/>
      <c r="D244" s="50"/>
      <c r="E244" s="50"/>
      <c r="F244" s="50"/>
      <c r="G244" s="51"/>
      <c r="H244" s="55"/>
      <c r="I244" s="55"/>
      <c r="J244" s="51"/>
      <c r="K244" s="51"/>
      <c r="L244" s="5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9.95" customHeight="1">
      <c r="A245" s="50"/>
      <c r="B245" s="50"/>
      <c r="C245" s="50"/>
      <c r="D245" s="50"/>
      <c r="E245" s="50"/>
      <c r="F245" s="50"/>
      <c r="G245" s="51"/>
      <c r="H245" s="55"/>
      <c r="I245" s="55"/>
      <c r="J245" s="51"/>
      <c r="K245" s="51"/>
      <c r="L245" s="5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9.95" customHeight="1">
      <c r="A246" s="50"/>
      <c r="B246" s="50"/>
      <c r="C246" s="50"/>
      <c r="D246" s="50"/>
      <c r="E246" s="50"/>
      <c r="F246" s="50"/>
      <c r="G246" s="51"/>
      <c r="H246" s="55"/>
      <c r="I246" s="55"/>
      <c r="J246" s="51"/>
      <c r="K246" s="51"/>
      <c r="L246" s="5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9.95" customHeight="1">
      <c r="A247" s="50"/>
      <c r="B247" s="50"/>
      <c r="C247" s="50"/>
      <c r="D247" s="50"/>
      <c r="E247" s="50"/>
      <c r="F247" s="50"/>
      <c r="G247" s="51"/>
      <c r="H247" s="55"/>
      <c r="I247" s="55"/>
      <c r="J247" s="51"/>
      <c r="K247" s="51"/>
      <c r="L247" s="5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9.95" customHeight="1">
      <c r="A248" s="50"/>
      <c r="B248" s="50"/>
      <c r="C248" s="50"/>
      <c r="D248" s="50"/>
      <c r="E248" s="50"/>
      <c r="F248" s="50"/>
      <c r="G248" s="51"/>
      <c r="H248" s="55"/>
      <c r="I248" s="55"/>
      <c r="J248" s="51"/>
      <c r="K248" s="51"/>
      <c r="L248" s="5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9.95" customHeight="1">
      <c r="A249" s="50"/>
      <c r="B249" s="50"/>
      <c r="C249" s="50"/>
      <c r="D249" s="50"/>
      <c r="E249" s="50"/>
      <c r="F249" s="50"/>
      <c r="G249" s="51"/>
      <c r="H249" s="55"/>
      <c r="I249" s="55"/>
      <c r="J249" s="51"/>
      <c r="K249" s="51"/>
      <c r="L249" s="5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9.95" customHeight="1">
      <c r="A250" s="50"/>
      <c r="B250" s="50"/>
      <c r="C250" s="50"/>
      <c r="D250" s="50"/>
      <c r="E250" s="50"/>
      <c r="F250" s="50"/>
      <c r="G250" s="51"/>
      <c r="H250" s="55"/>
      <c r="I250" s="55"/>
      <c r="J250" s="51"/>
      <c r="K250" s="51"/>
      <c r="L250" s="5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9.95" customHeight="1">
      <c r="A251" s="50"/>
      <c r="B251" s="50"/>
      <c r="C251" s="50"/>
      <c r="D251" s="50"/>
      <c r="E251" s="50"/>
      <c r="F251" s="50"/>
      <c r="G251" s="51"/>
      <c r="H251" s="55"/>
      <c r="I251" s="55"/>
      <c r="J251" s="51"/>
      <c r="K251" s="51"/>
      <c r="L251" s="5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9.95" customHeight="1">
      <c r="A252" s="50"/>
      <c r="B252" s="50"/>
      <c r="C252" s="50"/>
      <c r="D252" s="50"/>
      <c r="E252" s="50"/>
      <c r="F252" s="50"/>
      <c r="G252" s="51"/>
      <c r="H252" s="55"/>
      <c r="I252" s="55"/>
      <c r="J252" s="51"/>
      <c r="K252" s="51"/>
      <c r="L252" s="5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9.95" customHeight="1">
      <c r="A253" s="50"/>
      <c r="B253" s="50"/>
      <c r="C253" s="50"/>
      <c r="D253" s="50"/>
      <c r="E253" s="50"/>
      <c r="F253" s="50"/>
      <c r="G253" s="51"/>
      <c r="H253" s="55"/>
      <c r="I253" s="55"/>
      <c r="J253" s="51"/>
      <c r="K253" s="51"/>
      <c r="L253" s="5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9.95" customHeight="1">
      <c r="A254" s="50"/>
      <c r="B254" s="50"/>
      <c r="C254" s="50"/>
      <c r="D254" s="50"/>
      <c r="E254" s="50"/>
      <c r="F254" s="50"/>
      <c r="G254" s="51"/>
      <c r="H254" s="55"/>
      <c r="I254" s="55"/>
      <c r="J254" s="51"/>
      <c r="K254" s="51"/>
      <c r="L254" s="5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9.95" customHeight="1">
      <c r="A255" s="50"/>
      <c r="B255" s="50"/>
      <c r="C255" s="50"/>
      <c r="D255" s="50"/>
      <c r="E255" s="50"/>
      <c r="F255" s="50"/>
      <c r="G255" s="51"/>
      <c r="H255" s="55"/>
      <c r="I255" s="55"/>
      <c r="J255" s="51"/>
      <c r="K255" s="51"/>
      <c r="L255" s="5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9.95" customHeight="1">
      <c r="A256" s="50"/>
      <c r="B256" s="50"/>
      <c r="C256" s="50"/>
      <c r="D256" s="50"/>
      <c r="E256" s="50"/>
      <c r="F256" s="50"/>
      <c r="G256" s="51"/>
      <c r="H256" s="55"/>
      <c r="I256" s="55"/>
      <c r="J256" s="51"/>
      <c r="K256" s="51"/>
      <c r="L256" s="5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9.95" customHeight="1">
      <c r="A257" s="50"/>
      <c r="B257" s="50"/>
      <c r="C257" s="50"/>
      <c r="D257" s="50"/>
      <c r="E257" s="50"/>
      <c r="F257" s="50"/>
      <c r="G257" s="51"/>
      <c r="H257" s="55"/>
      <c r="I257" s="55"/>
      <c r="J257" s="51"/>
      <c r="K257" s="51"/>
      <c r="L257" s="5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9.95" customHeight="1">
      <c r="A258" s="50"/>
      <c r="B258" s="50"/>
      <c r="C258" s="50"/>
      <c r="D258" s="50"/>
      <c r="E258" s="50"/>
      <c r="F258" s="50"/>
      <c r="G258" s="51"/>
      <c r="H258" s="55"/>
      <c r="I258" s="55"/>
      <c r="J258" s="51"/>
      <c r="K258" s="51"/>
      <c r="L258" s="5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9.95" customHeight="1">
      <c r="A259" s="50"/>
      <c r="B259" s="50"/>
      <c r="C259" s="50"/>
      <c r="D259" s="50"/>
      <c r="E259" s="50"/>
      <c r="F259" s="50"/>
      <c r="G259" s="51"/>
      <c r="H259" s="55"/>
      <c r="I259" s="55"/>
      <c r="J259" s="51"/>
      <c r="K259" s="51"/>
      <c r="L259" s="5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9.95" customHeight="1">
      <c r="A260" s="50"/>
      <c r="B260" s="50"/>
      <c r="C260" s="50"/>
      <c r="D260" s="50"/>
      <c r="E260" s="50"/>
      <c r="F260" s="50"/>
      <c r="G260" s="51"/>
      <c r="H260" s="55"/>
      <c r="I260" s="55"/>
      <c r="J260" s="51"/>
      <c r="K260" s="51"/>
      <c r="L260" s="5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9.95" customHeight="1">
      <c r="A261" s="50"/>
      <c r="B261" s="50"/>
      <c r="C261" s="50"/>
      <c r="D261" s="50"/>
      <c r="E261" s="50"/>
      <c r="F261" s="50"/>
      <c r="G261" s="51"/>
      <c r="H261" s="55"/>
      <c r="I261" s="55"/>
      <c r="J261" s="51"/>
      <c r="K261" s="51"/>
      <c r="L261" s="5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9.95" customHeight="1">
      <c r="A262" s="50"/>
      <c r="B262" s="50"/>
      <c r="C262" s="50"/>
      <c r="D262" s="50"/>
      <c r="E262" s="50"/>
      <c r="F262" s="50"/>
      <c r="G262" s="51"/>
      <c r="H262" s="55"/>
      <c r="I262" s="55"/>
      <c r="J262" s="51"/>
      <c r="K262" s="51"/>
      <c r="L262" s="5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9.95" customHeight="1">
      <c r="A263" s="50"/>
      <c r="B263" s="50"/>
      <c r="C263" s="50"/>
      <c r="D263" s="50"/>
      <c r="E263" s="50"/>
      <c r="F263" s="50"/>
      <c r="G263" s="51"/>
      <c r="H263" s="55"/>
      <c r="I263" s="55"/>
      <c r="J263" s="51"/>
      <c r="K263" s="51"/>
      <c r="L263" s="5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9.95" customHeight="1">
      <c r="A264" s="50"/>
      <c r="B264" s="50"/>
      <c r="C264" s="50"/>
      <c r="D264" s="50"/>
      <c r="E264" s="50"/>
      <c r="F264" s="50"/>
      <c r="G264" s="51"/>
      <c r="H264" s="55"/>
      <c r="I264" s="55"/>
      <c r="J264" s="51"/>
      <c r="K264" s="51"/>
      <c r="L264" s="5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9.95" customHeight="1">
      <c r="A265" s="50"/>
      <c r="B265" s="50"/>
      <c r="C265" s="50"/>
      <c r="D265" s="50"/>
      <c r="E265" s="50"/>
      <c r="F265" s="50"/>
      <c r="G265" s="51"/>
      <c r="H265" s="55"/>
      <c r="I265" s="55"/>
      <c r="J265" s="51"/>
      <c r="K265" s="51"/>
      <c r="L265" s="5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9.95" customHeight="1">
      <c r="A266" s="50"/>
      <c r="B266" s="50"/>
      <c r="C266" s="50"/>
      <c r="D266" s="50"/>
      <c r="E266" s="50"/>
      <c r="F266" s="50"/>
      <c r="G266" s="51"/>
      <c r="H266" s="55"/>
      <c r="I266" s="55"/>
      <c r="J266" s="51"/>
      <c r="K266" s="51"/>
      <c r="L266" s="5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9.95" customHeight="1">
      <c r="A267" s="50"/>
      <c r="B267" s="50"/>
      <c r="C267" s="50"/>
      <c r="D267" s="50"/>
      <c r="E267" s="50"/>
      <c r="F267" s="50"/>
      <c r="G267" s="51"/>
      <c r="H267" s="55"/>
      <c r="I267" s="55"/>
      <c r="J267" s="51"/>
      <c r="K267" s="51"/>
      <c r="L267" s="5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9.95" customHeight="1">
      <c r="A268" s="50"/>
      <c r="B268" s="50"/>
      <c r="C268" s="50"/>
      <c r="D268" s="50"/>
      <c r="E268" s="50"/>
      <c r="F268" s="50"/>
      <c r="G268" s="51"/>
      <c r="H268" s="55"/>
      <c r="I268" s="55"/>
      <c r="J268" s="51"/>
      <c r="K268" s="51"/>
      <c r="L268" s="5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9.95" customHeight="1">
      <c r="A269" s="50"/>
      <c r="B269" s="50"/>
      <c r="C269" s="50"/>
      <c r="D269" s="50"/>
      <c r="E269" s="50"/>
      <c r="F269" s="50"/>
      <c r="G269" s="51"/>
      <c r="H269" s="55"/>
      <c r="I269" s="55"/>
      <c r="J269" s="51"/>
      <c r="K269" s="51"/>
      <c r="L269" s="5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9.95" customHeight="1">
      <c r="A270" s="50"/>
      <c r="B270" s="50"/>
      <c r="C270" s="50"/>
      <c r="D270" s="50"/>
      <c r="E270" s="50"/>
      <c r="F270" s="50"/>
      <c r="G270" s="51"/>
      <c r="H270" s="55"/>
      <c r="I270" s="55"/>
      <c r="J270" s="51"/>
      <c r="K270" s="51"/>
      <c r="L270" s="5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9.95" customHeight="1">
      <c r="A271" s="50"/>
      <c r="B271" s="50"/>
      <c r="C271" s="50"/>
      <c r="D271" s="50"/>
      <c r="E271" s="50"/>
      <c r="F271" s="50"/>
      <c r="G271" s="51"/>
      <c r="H271" s="55"/>
      <c r="I271" s="55"/>
      <c r="J271" s="51"/>
      <c r="K271" s="51"/>
      <c r="L271" s="5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9.95" customHeight="1">
      <c r="A272" s="50"/>
      <c r="B272" s="50"/>
      <c r="C272" s="50"/>
      <c r="D272" s="50"/>
      <c r="E272" s="50"/>
      <c r="F272" s="50"/>
      <c r="G272" s="51"/>
      <c r="H272" s="55"/>
      <c r="I272" s="55"/>
      <c r="J272" s="51"/>
      <c r="K272" s="51"/>
      <c r="L272" s="5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9.95" customHeight="1">
      <c r="A273" s="50"/>
      <c r="B273" s="50"/>
      <c r="C273" s="50"/>
      <c r="D273" s="50"/>
      <c r="E273" s="50"/>
      <c r="F273" s="50"/>
      <c r="G273" s="51"/>
      <c r="H273" s="55"/>
      <c r="I273" s="55"/>
      <c r="J273" s="51"/>
      <c r="K273" s="51"/>
      <c r="L273" s="5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9.95" customHeight="1">
      <c r="A274" s="50"/>
      <c r="B274" s="50"/>
      <c r="C274" s="50"/>
      <c r="D274" s="50"/>
      <c r="E274" s="50"/>
      <c r="F274" s="50"/>
      <c r="G274" s="51"/>
      <c r="H274" s="55"/>
      <c r="I274" s="55"/>
      <c r="J274" s="51"/>
      <c r="K274" s="51"/>
      <c r="L274" s="5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9.95" customHeight="1">
      <c r="A275" s="50"/>
      <c r="B275" s="50"/>
      <c r="C275" s="50"/>
      <c r="D275" s="50"/>
      <c r="E275" s="50"/>
      <c r="F275" s="50"/>
      <c r="G275" s="51"/>
      <c r="H275" s="55"/>
      <c r="I275" s="55"/>
      <c r="J275" s="51"/>
      <c r="K275" s="51"/>
      <c r="L275" s="5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9.95" customHeight="1">
      <c r="A276" s="50"/>
      <c r="B276" s="50"/>
      <c r="C276" s="50"/>
      <c r="D276" s="50"/>
      <c r="E276" s="50"/>
      <c r="F276" s="50"/>
      <c r="G276" s="51"/>
      <c r="H276" s="55"/>
      <c r="I276" s="55"/>
      <c r="J276" s="51"/>
      <c r="K276" s="51"/>
      <c r="L276" s="5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9.95" customHeight="1">
      <c r="A277" s="50"/>
      <c r="B277" s="50"/>
      <c r="C277" s="50"/>
      <c r="D277" s="50"/>
      <c r="E277" s="50"/>
      <c r="F277" s="50"/>
      <c r="G277" s="51"/>
      <c r="H277" s="55"/>
      <c r="I277" s="55"/>
      <c r="J277" s="51"/>
      <c r="K277" s="51"/>
      <c r="L277" s="5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9.95" customHeight="1">
      <c r="A278" s="50"/>
      <c r="B278" s="50"/>
      <c r="C278" s="50"/>
      <c r="D278" s="50"/>
      <c r="E278" s="50"/>
      <c r="F278" s="50"/>
      <c r="G278" s="51"/>
      <c r="H278" s="55"/>
      <c r="I278" s="55"/>
      <c r="J278" s="51"/>
      <c r="K278" s="51"/>
      <c r="L278" s="56"/>
    </row>
    <row r="279" spans="1:26" ht="19.95" customHeight="1">
      <c r="A279" s="50"/>
      <c r="B279" s="50"/>
      <c r="C279" s="50"/>
      <c r="D279" s="50"/>
      <c r="E279" s="50"/>
      <c r="F279" s="50"/>
      <c r="G279" s="51"/>
      <c r="H279" s="55"/>
      <c r="I279" s="55"/>
      <c r="J279" s="51"/>
      <c r="K279" s="51"/>
      <c r="L279" s="56"/>
    </row>
    <row r="280" spans="1:26" ht="19.95" customHeight="1">
      <c r="A280" s="50"/>
      <c r="B280" s="50"/>
      <c r="C280" s="50"/>
      <c r="D280" s="50"/>
      <c r="E280" s="50"/>
      <c r="F280" s="50"/>
      <c r="G280" s="51"/>
      <c r="H280" s="55"/>
      <c r="I280" s="55"/>
      <c r="J280" s="51"/>
      <c r="K280" s="51"/>
      <c r="L280" s="56"/>
    </row>
    <row r="281" spans="1:26" ht="19.95" customHeight="1">
      <c r="A281" s="50"/>
      <c r="B281" s="50"/>
      <c r="C281" s="50"/>
      <c r="D281" s="50"/>
      <c r="E281" s="50"/>
      <c r="F281" s="50"/>
      <c r="G281" s="51"/>
      <c r="H281" s="55"/>
      <c r="I281" s="55"/>
      <c r="J281" s="51"/>
      <c r="K281" s="51"/>
      <c r="L281" s="56"/>
    </row>
    <row r="282" spans="1:26" ht="19.95" customHeight="1">
      <c r="A282" s="50"/>
      <c r="B282" s="50"/>
      <c r="C282" s="50"/>
      <c r="D282" s="50"/>
      <c r="E282" s="50"/>
      <c r="F282" s="50"/>
      <c r="G282" s="51"/>
      <c r="H282" s="55"/>
      <c r="I282" s="55"/>
      <c r="J282" s="51"/>
      <c r="K282" s="51"/>
      <c r="L282" s="56"/>
    </row>
    <row r="283" spans="1:26" ht="19.95" customHeight="1">
      <c r="A283" s="50"/>
      <c r="B283" s="50"/>
      <c r="C283" s="50"/>
      <c r="D283" s="50"/>
      <c r="E283" s="50"/>
      <c r="F283" s="50"/>
      <c r="G283" s="51"/>
      <c r="H283" s="55"/>
      <c r="I283" s="55"/>
      <c r="J283" s="51"/>
      <c r="K283" s="51"/>
      <c r="L283" s="56"/>
    </row>
    <row r="284" spans="1:26" ht="19.95" customHeight="1">
      <c r="A284" s="50"/>
      <c r="B284" s="50"/>
      <c r="C284" s="50"/>
      <c r="D284" s="50"/>
      <c r="E284" s="50"/>
      <c r="F284" s="50"/>
      <c r="G284" s="51"/>
      <c r="H284" s="55"/>
      <c r="I284" s="55"/>
      <c r="J284" s="51"/>
      <c r="K284" s="51"/>
      <c r="L284" s="56"/>
    </row>
    <row r="285" spans="1:26" ht="19.95" customHeight="1">
      <c r="A285" s="50"/>
      <c r="B285" s="50"/>
      <c r="C285" s="50"/>
      <c r="D285" s="50"/>
      <c r="E285" s="50"/>
      <c r="F285" s="50"/>
      <c r="G285" s="51"/>
      <c r="H285" s="55"/>
      <c r="I285" s="55"/>
      <c r="J285" s="51"/>
      <c r="K285" s="51"/>
      <c r="L285" s="56"/>
    </row>
    <row r="286" spans="1:26" ht="19.95" customHeight="1">
      <c r="A286" s="50"/>
      <c r="B286" s="50"/>
      <c r="C286" s="50"/>
      <c r="D286" s="50"/>
      <c r="E286" s="50"/>
      <c r="F286" s="50"/>
      <c r="G286" s="51"/>
      <c r="H286" s="55"/>
      <c r="I286" s="55"/>
      <c r="J286" s="51"/>
      <c r="K286" s="51"/>
      <c r="L286" s="56"/>
    </row>
    <row r="287" spans="1:26" ht="19.95" customHeight="1">
      <c r="A287" s="50"/>
      <c r="B287" s="50"/>
      <c r="C287" s="50"/>
      <c r="D287" s="50"/>
      <c r="E287" s="50"/>
      <c r="F287" s="50"/>
      <c r="G287" s="51"/>
      <c r="H287" s="55"/>
      <c r="I287" s="55"/>
      <c r="J287" s="51"/>
      <c r="K287" s="51"/>
      <c r="L287" s="56"/>
    </row>
    <row r="288" spans="1:26" ht="19.95" customHeight="1">
      <c r="A288" s="50"/>
      <c r="B288" s="50"/>
      <c r="C288" s="50"/>
      <c r="D288" s="50"/>
      <c r="E288" s="50"/>
      <c r="F288" s="50"/>
      <c r="G288" s="51"/>
      <c r="H288" s="55"/>
      <c r="I288" s="55"/>
      <c r="J288" s="51"/>
      <c r="K288" s="51"/>
      <c r="L288" s="56"/>
    </row>
    <row r="289" spans="1:12" ht="19.95" customHeight="1">
      <c r="A289" s="50"/>
      <c r="B289" s="50"/>
      <c r="C289" s="50"/>
      <c r="D289" s="50"/>
      <c r="E289" s="50"/>
      <c r="F289" s="50"/>
      <c r="G289" s="51"/>
      <c r="H289" s="55"/>
      <c r="I289" s="55"/>
      <c r="J289" s="51"/>
      <c r="K289" s="51"/>
      <c r="L289" s="56"/>
    </row>
    <row r="290" spans="1:12" ht="19.95" customHeight="1">
      <c r="A290" s="50"/>
      <c r="B290" s="50"/>
      <c r="C290" s="50"/>
      <c r="D290" s="50"/>
      <c r="E290" s="50"/>
      <c r="F290" s="50"/>
      <c r="G290" s="51"/>
      <c r="H290" s="55"/>
      <c r="I290" s="55"/>
      <c r="J290" s="51"/>
      <c r="K290" s="51"/>
      <c r="L290" s="56"/>
    </row>
    <row r="291" spans="1:12" ht="19.95" customHeight="1">
      <c r="A291" s="50"/>
      <c r="B291" s="50"/>
      <c r="C291" s="50"/>
      <c r="D291" s="50"/>
      <c r="E291" s="50"/>
      <c r="F291" s="50"/>
      <c r="G291" s="51"/>
      <c r="H291" s="55"/>
      <c r="I291" s="55"/>
      <c r="J291" s="51"/>
      <c r="K291" s="51"/>
      <c r="L291" s="56"/>
    </row>
    <row r="292" spans="1:12" ht="19.95" customHeight="1">
      <c r="A292" s="50"/>
      <c r="B292" s="50"/>
      <c r="C292" s="50"/>
      <c r="D292" s="50"/>
      <c r="E292" s="50"/>
      <c r="F292" s="50"/>
      <c r="G292" s="51"/>
      <c r="H292" s="55"/>
      <c r="I292" s="55"/>
      <c r="J292" s="51"/>
      <c r="K292" s="51"/>
      <c r="L292" s="56"/>
    </row>
    <row r="293" spans="1:12" ht="19.95" customHeight="1">
      <c r="A293" s="50"/>
      <c r="B293" s="50"/>
      <c r="C293" s="50"/>
      <c r="D293" s="50"/>
      <c r="E293" s="50"/>
      <c r="F293" s="50"/>
      <c r="G293" s="51"/>
      <c r="H293" s="55"/>
      <c r="I293" s="55"/>
      <c r="J293" s="51"/>
      <c r="K293" s="51"/>
      <c r="L293" s="56"/>
    </row>
    <row r="294" spans="1:12" ht="19.95" customHeight="1">
      <c r="A294" s="50"/>
      <c r="B294" s="50"/>
      <c r="C294" s="50"/>
      <c r="D294" s="50"/>
      <c r="E294" s="50"/>
      <c r="F294" s="50"/>
      <c r="G294" s="51"/>
      <c r="H294" s="55"/>
      <c r="I294" s="55"/>
      <c r="J294" s="51"/>
      <c r="K294" s="51"/>
      <c r="L294" s="56"/>
    </row>
    <row r="295" spans="1:12" ht="19.95" customHeight="1">
      <c r="A295" s="50"/>
      <c r="B295" s="50"/>
      <c r="C295" s="50"/>
      <c r="D295" s="50"/>
      <c r="E295" s="50"/>
      <c r="F295" s="50"/>
      <c r="G295" s="51"/>
      <c r="H295" s="55"/>
      <c r="I295" s="55"/>
      <c r="J295" s="51"/>
      <c r="K295" s="51"/>
      <c r="L295" s="56"/>
    </row>
    <row r="296" spans="1:12" ht="19.95" customHeight="1">
      <c r="A296" s="50"/>
      <c r="B296" s="50"/>
      <c r="C296" s="50"/>
      <c r="D296" s="50"/>
      <c r="E296" s="50"/>
      <c r="F296" s="50"/>
      <c r="G296" s="51"/>
      <c r="H296" s="55"/>
      <c r="I296" s="55"/>
      <c r="J296" s="51"/>
      <c r="K296" s="51"/>
      <c r="L296" s="56"/>
    </row>
    <row r="297" spans="1:12" ht="19.95" customHeight="1">
      <c r="A297" s="50"/>
      <c r="B297" s="50"/>
      <c r="C297" s="50"/>
      <c r="D297" s="50"/>
      <c r="E297" s="50"/>
      <c r="F297" s="50"/>
      <c r="G297" s="51"/>
      <c r="H297" s="55"/>
      <c r="I297" s="55"/>
      <c r="J297" s="51"/>
      <c r="K297" s="51"/>
      <c r="L297" s="56"/>
    </row>
    <row r="298" spans="1:12" ht="19.95" customHeight="1">
      <c r="A298" s="50"/>
      <c r="B298" s="50"/>
      <c r="C298" s="50"/>
      <c r="D298" s="50"/>
      <c r="E298" s="50"/>
      <c r="F298" s="50"/>
      <c r="G298" s="51"/>
      <c r="H298" s="55"/>
      <c r="I298" s="55"/>
      <c r="J298" s="51"/>
      <c r="K298" s="51"/>
      <c r="L298" s="56"/>
    </row>
    <row r="299" spans="1:12" ht="19.95" customHeight="1">
      <c r="A299" s="50"/>
      <c r="B299" s="50"/>
      <c r="C299" s="50"/>
      <c r="D299" s="50"/>
      <c r="E299" s="50"/>
      <c r="F299" s="50"/>
      <c r="G299" s="51"/>
      <c r="H299" s="55"/>
      <c r="I299" s="55"/>
      <c r="J299" s="51"/>
      <c r="K299" s="51"/>
      <c r="L299" s="56"/>
    </row>
    <row r="300" spans="1:12" ht="19.95" customHeight="1">
      <c r="A300" s="50"/>
      <c r="B300" s="50"/>
      <c r="C300" s="50"/>
      <c r="D300" s="50"/>
      <c r="E300" s="50"/>
      <c r="F300" s="50"/>
      <c r="G300" s="51"/>
      <c r="H300" s="55"/>
      <c r="I300" s="55"/>
      <c r="J300" s="51"/>
      <c r="K300" s="51"/>
      <c r="L300" s="56"/>
    </row>
    <row r="301" spans="1:12" ht="19.95" customHeight="1">
      <c r="A301" s="50"/>
      <c r="B301" s="50"/>
      <c r="C301" s="50"/>
      <c r="D301" s="50"/>
      <c r="E301" s="50"/>
      <c r="F301" s="50"/>
      <c r="G301" s="51"/>
      <c r="H301" s="55"/>
      <c r="I301" s="55"/>
      <c r="J301" s="51"/>
      <c r="K301" s="51"/>
      <c r="L301" s="56"/>
    </row>
    <row r="302" spans="1:12" ht="19.95" customHeight="1">
      <c r="A302" s="50"/>
      <c r="B302" s="50"/>
      <c r="C302" s="50"/>
      <c r="D302" s="50"/>
      <c r="E302" s="50"/>
      <c r="F302" s="50"/>
      <c r="G302" s="51"/>
      <c r="H302" s="55"/>
      <c r="I302" s="55"/>
      <c r="J302" s="51"/>
      <c r="K302" s="51"/>
      <c r="L302" s="56"/>
    </row>
    <row r="303" spans="1:12" ht="19.95" customHeight="1">
      <c r="A303" s="57"/>
      <c r="B303" s="57"/>
      <c r="C303" s="57"/>
      <c r="D303" s="57"/>
      <c r="E303" s="57"/>
      <c r="F303" s="57"/>
      <c r="G303" s="58"/>
      <c r="H303" s="58"/>
      <c r="I303" s="58"/>
      <c r="J303" s="58"/>
      <c r="K303" s="58"/>
      <c r="L303" s="57"/>
    </row>
    <row r="304" spans="1:12" ht="19.95" customHeight="1">
      <c r="A304" s="6"/>
      <c r="B304" s="6"/>
      <c r="C304" s="6"/>
      <c r="D304" s="6"/>
      <c r="E304" s="6"/>
      <c r="F304" s="6"/>
      <c r="G304" s="8"/>
      <c r="H304" s="8"/>
      <c r="I304" s="8"/>
      <c r="J304" s="8"/>
      <c r="K304" s="8"/>
      <c r="L304" s="6"/>
    </row>
    <row r="305" spans="1:12" ht="19.95" customHeight="1">
      <c r="A305" s="6"/>
      <c r="B305" s="6"/>
      <c r="C305" s="6"/>
      <c r="D305" s="6"/>
      <c r="E305" s="6"/>
      <c r="F305" s="6"/>
      <c r="G305" s="8"/>
      <c r="H305" s="8"/>
      <c r="I305" s="8"/>
      <c r="J305" s="8"/>
      <c r="K305" s="8"/>
      <c r="L305" s="6"/>
    </row>
    <row r="306" spans="1:12" ht="19.95" customHeight="1">
      <c r="A306" s="6"/>
      <c r="B306" s="6"/>
      <c r="C306" s="6"/>
      <c r="D306" s="6"/>
      <c r="E306" s="6"/>
      <c r="F306" s="6"/>
      <c r="G306" s="8"/>
      <c r="H306" s="8"/>
      <c r="I306" s="8"/>
      <c r="J306" s="8"/>
      <c r="K306" s="8"/>
      <c r="L306" s="6"/>
    </row>
    <row r="307" spans="1:12" ht="19.95" customHeight="1">
      <c r="A307" s="6"/>
      <c r="B307" s="6"/>
      <c r="C307" s="6"/>
      <c r="D307" s="6"/>
      <c r="E307" s="6"/>
      <c r="F307" s="6"/>
      <c r="G307" s="8"/>
      <c r="H307" s="8"/>
      <c r="I307" s="8"/>
      <c r="J307" s="8"/>
      <c r="K307" s="8"/>
      <c r="L307" s="6"/>
    </row>
    <row r="308" spans="1:12" ht="19.95" customHeight="1">
      <c r="A308" s="6"/>
      <c r="B308" s="6"/>
      <c r="C308" s="6"/>
      <c r="D308" s="6"/>
      <c r="E308" s="6"/>
      <c r="F308" s="6"/>
      <c r="G308" s="8"/>
      <c r="H308" s="8"/>
      <c r="I308" s="8"/>
      <c r="J308" s="8"/>
      <c r="K308" s="8"/>
      <c r="L308" s="6"/>
    </row>
    <row r="309" spans="1:12" ht="19.95" customHeight="1">
      <c r="A309" s="6"/>
      <c r="B309" s="6"/>
      <c r="C309" s="6"/>
      <c r="D309" s="6"/>
      <c r="E309" s="6"/>
      <c r="F309" s="6"/>
      <c r="G309" s="8"/>
      <c r="H309" s="8"/>
      <c r="I309" s="8"/>
      <c r="J309" s="8"/>
      <c r="K309" s="8"/>
      <c r="L309" s="6"/>
    </row>
    <row r="310" spans="1:12" ht="19.95" customHeight="1">
      <c r="A310" s="6"/>
      <c r="B310" s="6"/>
      <c r="C310" s="6"/>
      <c r="D310" s="6"/>
      <c r="E310" s="6"/>
      <c r="F310" s="6"/>
      <c r="G310" s="8"/>
      <c r="H310" s="8"/>
      <c r="I310" s="8"/>
      <c r="J310" s="8"/>
      <c r="K310" s="8"/>
      <c r="L310" s="6"/>
    </row>
    <row r="311" spans="1:12" ht="19.95" customHeight="1">
      <c r="A311" s="6"/>
      <c r="B311" s="6"/>
      <c r="C311" s="6"/>
      <c r="D311" s="6"/>
      <c r="E311" s="6"/>
      <c r="F311" s="6"/>
      <c r="G311" s="8"/>
      <c r="H311" s="8"/>
      <c r="I311" s="8"/>
      <c r="J311" s="8"/>
      <c r="K311" s="8"/>
      <c r="L311" s="6"/>
    </row>
    <row r="312" spans="1:12" ht="19.95" customHeight="1">
      <c r="A312" s="6"/>
      <c r="B312" s="6"/>
      <c r="C312" s="6"/>
      <c r="D312" s="6"/>
      <c r="E312" s="6"/>
      <c r="F312" s="6"/>
      <c r="G312" s="8"/>
      <c r="H312" s="8"/>
      <c r="I312" s="8"/>
      <c r="J312" s="8"/>
      <c r="K312" s="8"/>
      <c r="L312" s="6"/>
    </row>
    <row r="313" spans="1:12" ht="19.95" customHeight="1">
      <c r="A313" s="6"/>
      <c r="B313" s="6"/>
      <c r="C313" s="6"/>
      <c r="D313" s="6"/>
      <c r="E313" s="6"/>
      <c r="F313" s="6"/>
      <c r="G313" s="8"/>
      <c r="H313" s="8"/>
      <c r="I313" s="8"/>
      <c r="J313" s="8"/>
      <c r="K313" s="8"/>
      <c r="L313" s="6"/>
    </row>
    <row r="314" spans="1:12" ht="19.95" customHeight="1">
      <c r="A314" s="6"/>
      <c r="B314" s="6"/>
      <c r="C314" s="6"/>
      <c r="D314" s="6"/>
      <c r="E314" s="6"/>
      <c r="F314" s="6"/>
      <c r="G314" s="8"/>
      <c r="H314" s="8"/>
      <c r="I314" s="8"/>
      <c r="J314" s="8"/>
      <c r="K314" s="8"/>
      <c r="L314" s="6"/>
    </row>
    <row r="315" spans="1:12" ht="19.95" customHeight="1">
      <c r="A315" s="6"/>
      <c r="B315" s="6"/>
      <c r="C315" s="6"/>
      <c r="D315" s="6"/>
      <c r="E315" s="6"/>
      <c r="F315" s="6"/>
      <c r="G315" s="8"/>
      <c r="H315" s="8"/>
      <c r="I315" s="8"/>
      <c r="J315" s="8"/>
      <c r="K315" s="8"/>
      <c r="L315" s="6"/>
    </row>
    <row r="316" spans="1:12" ht="19.95" customHeight="1">
      <c r="A316" s="6"/>
      <c r="B316" s="6"/>
      <c r="C316" s="6"/>
      <c r="D316" s="6"/>
      <c r="E316" s="6"/>
      <c r="F316" s="6"/>
      <c r="G316" s="8"/>
      <c r="H316" s="8"/>
      <c r="I316" s="8"/>
      <c r="J316" s="8"/>
      <c r="K316" s="8"/>
      <c r="L316" s="6"/>
    </row>
    <row r="317" spans="1:12" ht="19.95" customHeight="1">
      <c r="A317" s="6"/>
      <c r="B317" s="6"/>
      <c r="C317" s="6"/>
      <c r="D317" s="6"/>
      <c r="E317" s="6"/>
      <c r="F317" s="6"/>
      <c r="G317" s="8"/>
      <c r="H317" s="8"/>
      <c r="I317" s="8"/>
      <c r="J317" s="8"/>
      <c r="K317" s="8"/>
      <c r="L317" s="6"/>
    </row>
    <row r="318" spans="1:12" ht="19.95" customHeight="1">
      <c r="A318" s="6"/>
      <c r="B318" s="6"/>
      <c r="C318" s="6"/>
      <c r="D318" s="6"/>
      <c r="E318" s="6"/>
      <c r="F318" s="6"/>
      <c r="G318" s="8"/>
      <c r="H318" s="8"/>
      <c r="I318" s="8"/>
      <c r="J318" s="8"/>
      <c r="K318" s="8"/>
      <c r="L318" s="6"/>
    </row>
    <row r="319" spans="1:12" ht="19.95" customHeight="1">
      <c r="A319" s="6"/>
      <c r="B319" s="6"/>
      <c r="C319" s="6"/>
      <c r="D319" s="6"/>
      <c r="E319" s="6"/>
      <c r="F319" s="6"/>
      <c r="G319" s="8"/>
      <c r="H319" s="8"/>
      <c r="I319" s="8"/>
      <c r="J319" s="8"/>
      <c r="K319" s="8"/>
      <c r="L319" s="6"/>
    </row>
    <row r="320" spans="1:12" ht="19.95" customHeight="1">
      <c r="A320" s="6"/>
      <c r="B320" s="6"/>
      <c r="C320" s="6"/>
      <c r="D320" s="6"/>
      <c r="E320" s="6"/>
      <c r="F320" s="6"/>
      <c r="G320" s="8"/>
      <c r="H320" s="8"/>
      <c r="I320" s="8"/>
      <c r="J320" s="8"/>
      <c r="K320" s="8"/>
      <c r="L320" s="6"/>
    </row>
    <row r="321" spans="1:12" ht="19.95" customHeight="1">
      <c r="A321" s="6"/>
      <c r="B321" s="6"/>
      <c r="C321" s="6"/>
      <c r="D321" s="6"/>
      <c r="E321" s="6"/>
      <c r="F321" s="6"/>
      <c r="G321" s="8"/>
      <c r="H321" s="8"/>
      <c r="I321" s="8"/>
      <c r="J321" s="8"/>
      <c r="K321" s="8"/>
      <c r="L321" s="6"/>
    </row>
    <row r="322" spans="1:12" ht="19.95" customHeight="1">
      <c r="A322" s="6"/>
      <c r="B322" s="6"/>
      <c r="C322" s="6"/>
      <c r="D322" s="6"/>
      <c r="E322" s="6"/>
      <c r="F322" s="6"/>
      <c r="G322" s="8"/>
      <c r="H322" s="8"/>
      <c r="I322" s="8"/>
      <c r="J322" s="8"/>
      <c r="K322" s="8"/>
      <c r="L322" s="6"/>
    </row>
    <row r="323" spans="1:12" ht="19.95" customHeight="1">
      <c r="A323" s="6"/>
      <c r="B323" s="6"/>
      <c r="C323" s="6"/>
      <c r="D323" s="6"/>
      <c r="E323" s="6"/>
      <c r="F323" s="6"/>
      <c r="G323" s="8"/>
      <c r="H323" s="8"/>
      <c r="I323" s="8"/>
      <c r="J323" s="8"/>
      <c r="K323" s="8"/>
      <c r="L323" s="6"/>
    </row>
    <row r="324" spans="1:12" ht="19.95" customHeight="1">
      <c r="A324" s="6"/>
      <c r="B324" s="6"/>
      <c r="C324" s="6"/>
      <c r="D324" s="6"/>
      <c r="E324" s="6"/>
      <c r="F324" s="6"/>
      <c r="G324" s="8"/>
      <c r="H324" s="8"/>
      <c r="I324" s="8"/>
      <c r="J324" s="8"/>
      <c r="K324" s="8"/>
      <c r="L324" s="6"/>
    </row>
    <row r="325" spans="1:12" ht="19.95" customHeight="1">
      <c r="A325" s="6"/>
      <c r="B325" s="6"/>
      <c r="C325" s="6"/>
      <c r="D325" s="6"/>
      <c r="E325" s="6"/>
      <c r="F325" s="6"/>
      <c r="G325" s="8"/>
      <c r="H325" s="8"/>
      <c r="I325" s="8"/>
      <c r="J325" s="8"/>
      <c r="K325" s="8"/>
      <c r="L325" s="6"/>
    </row>
    <row r="326" spans="1:12" ht="19.95" customHeight="1">
      <c r="A326" s="6"/>
      <c r="B326" s="6"/>
      <c r="C326" s="6"/>
      <c r="D326" s="6"/>
      <c r="E326" s="6"/>
      <c r="F326" s="6"/>
      <c r="G326" s="8"/>
      <c r="H326" s="8"/>
      <c r="I326" s="8"/>
      <c r="J326" s="8"/>
      <c r="K326" s="8"/>
      <c r="L326" s="6"/>
    </row>
    <row r="327" spans="1:12" ht="19.95" customHeight="1">
      <c r="A327" s="6"/>
      <c r="B327" s="6"/>
      <c r="C327" s="6"/>
      <c r="D327" s="6"/>
      <c r="E327" s="6"/>
      <c r="F327" s="6"/>
      <c r="G327" s="8"/>
      <c r="H327" s="8"/>
      <c r="I327" s="8"/>
      <c r="J327" s="8"/>
      <c r="K327" s="8"/>
      <c r="L327" s="6"/>
    </row>
    <row r="328" spans="1:12" ht="19.95" customHeight="1">
      <c r="A328" s="6"/>
      <c r="B328" s="6"/>
      <c r="C328" s="6"/>
      <c r="D328" s="6"/>
      <c r="E328" s="6"/>
      <c r="F328" s="6"/>
      <c r="G328" s="8"/>
      <c r="H328" s="8"/>
      <c r="I328" s="8"/>
      <c r="J328" s="8"/>
      <c r="K328" s="8"/>
      <c r="L328" s="6"/>
    </row>
    <row r="329" spans="1:12" ht="19.95" customHeight="1">
      <c r="A329" s="6"/>
      <c r="B329" s="6"/>
      <c r="C329" s="6"/>
      <c r="D329" s="6"/>
      <c r="E329" s="6"/>
      <c r="F329" s="6"/>
      <c r="G329" s="8"/>
      <c r="H329" s="8"/>
      <c r="I329" s="8"/>
      <c r="J329" s="8"/>
      <c r="K329" s="8"/>
      <c r="L329" s="6"/>
    </row>
    <row r="330" spans="1:12" ht="19.95" customHeight="1">
      <c r="A330" s="6"/>
      <c r="B330" s="6"/>
      <c r="C330" s="6"/>
      <c r="D330" s="6"/>
      <c r="E330" s="6"/>
      <c r="F330" s="6"/>
      <c r="G330" s="8"/>
      <c r="H330" s="8"/>
      <c r="I330" s="8"/>
      <c r="J330" s="8"/>
      <c r="K330" s="8"/>
      <c r="L330" s="6"/>
    </row>
    <row r="331" spans="1:12" ht="19.95" customHeight="1">
      <c r="A331" s="6"/>
      <c r="B331" s="6"/>
      <c r="C331" s="6"/>
      <c r="D331" s="6"/>
      <c r="E331" s="6"/>
      <c r="F331" s="6"/>
      <c r="G331" s="8"/>
      <c r="H331" s="8"/>
      <c r="I331" s="8"/>
      <c r="J331" s="8"/>
      <c r="K331" s="8"/>
      <c r="L331" s="6"/>
    </row>
    <row r="332" spans="1:12" ht="19.95" customHeight="1">
      <c r="A332" s="6"/>
      <c r="B332" s="6"/>
      <c r="C332" s="6"/>
      <c r="D332" s="6"/>
      <c r="E332" s="6"/>
      <c r="F332" s="6"/>
      <c r="G332" s="8"/>
      <c r="H332" s="8"/>
      <c r="I332" s="8"/>
      <c r="J332" s="8"/>
      <c r="K332" s="8"/>
      <c r="L332" s="6"/>
    </row>
    <row r="333" spans="1:12" ht="19.95" customHeight="1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1:12" ht="19.95" customHeight="1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1:12" ht="15.6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1:12" ht="15.6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1:12" ht="15.6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1:12" ht="15.6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1:12" ht="15.6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1:12" ht="15.6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1:12" ht="15.6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1:12" ht="15.6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1:12" ht="15.6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1:12" ht="15.6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1:12" ht="15.6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1:12" ht="15.6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1:12" ht="15.6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1:12" ht="15.6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1:12" ht="15.6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1:12" ht="15.6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1:12" ht="15.6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1:12" ht="15.6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1:12" ht="15.6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1:12" ht="15.6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1:12" ht="15.6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1:12" ht="15.6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1:12" ht="15.6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1:12" ht="15.6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1:12" ht="15.6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1:12" ht="15.6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1:12" ht="15.6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1:12" ht="15.6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1:12" ht="15.6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1:12" ht="15.6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1:12" ht="15.6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1:12" ht="15.6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1:12" ht="15.6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1:12" ht="15.6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1:12" ht="15.6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1:12" ht="15.6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1:12" ht="15.6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1:12" ht="15.6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1:12" ht="15.6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1:12" ht="15.6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1:12" ht="15.6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1:12" ht="15.6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1:12" ht="15.6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1:12" ht="15.6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1:12" ht="15.6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1:12" ht="15.6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1:12" ht="15.6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1:12" ht="15.6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1:12" ht="15.6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1:12" ht="15.6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1:12" ht="15.6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1:12" ht="15.6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1:12" ht="15.6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1:12" ht="15.6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1:12" ht="15.6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1:12" ht="15.6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1:12" ht="15.6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1:12" ht="15.6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1:12" ht="15.6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1:12" ht="15.6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1:12" ht="15.6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1:12" ht="15.6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1:12" ht="15.6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1:12" ht="15.6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1:12" ht="15.6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1:12" ht="15.6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1:12" ht="15.6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1:12" ht="15.6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</sheetData>
  <mergeCells count="2">
    <mergeCell ref="A1:L1"/>
    <mergeCell ref="A3:L4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Z396"/>
  <sheetViews>
    <sheetView workbookViewId="0">
      <selection activeCell="E6" sqref="E6"/>
    </sheetView>
  </sheetViews>
  <sheetFormatPr defaultRowHeight="14.4"/>
  <cols>
    <col min="1" max="1" width="14" style="2" customWidth="1"/>
    <col min="2" max="2" width="23" style="2" customWidth="1"/>
    <col min="3" max="3" width="20" style="2" customWidth="1"/>
    <col min="4" max="4" width="18" style="2" customWidth="1"/>
    <col min="5" max="5" width="32" customWidth="1"/>
    <col min="6" max="6" width="24" customWidth="1"/>
    <col min="7" max="7" width="15" style="4" customWidth="1"/>
    <col min="8" max="8" width="15" style="3" customWidth="1"/>
    <col min="9" max="9" width="17" customWidth="1"/>
    <col min="10" max="10" width="18" style="4" customWidth="1"/>
  </cols>
  <sheetData>
    <row r="1" spans="1:26" ht="22.35" customHeight="1">
      <c r="A1" s="113" t="s">
        <v>653</v>
      </c>
      <c r="B1" s="113"/>
      <c r="C1" s="113"/>
      <c r="D1" s="113"/>
      <c r="E1" s="113"/>
      <c r="F1" s="113"/>
      <c r="G1" s="113"/>
      <c r="H1" s="113"/>
      <c r="I1" s="113"/>
      <c r="J1" s="113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1.6" customHeight="1">
      <c r="A2" s="26" t="s">
        <v>33</v>
      </c>
      <c r="B2" s="26" t="s">
        <v>34</v>
      </c>
      <c r="C2" s="26" t="s">
        <v>35</v>
      </c>
      <c r="D2" s="26" t="s">
        <v>36</v>
      </c>
      <c r="E2" s="26" t="s">
        <v>15</v>
      </c>
      <c r="F2" s="26" t="s">
        <v>16</v>
      </c>
      <c r="G2" s="27" t="s">
        <v>37</v>
      </c>
      <c r="H2" s="33" t="s">
        <v>38</v>
      </c>
      <c r="I2" s="26" t="s">
        <v>39</v>
      </c>
      <c r="J2" s="27" t="s">
        <v>40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s="9" customFormat="1" ht="15.3" customHeight="1">
      <c r="A3" s="50"/>
      <c r="B3" s="50"/>
      <c r="C3" s="50"/>
      <c r="D3" s="50"/>
      <c r="E3" s="50"/>
      <c r="F3" s="50"/>
      <c r="G3" s="51"/>
      <c r="H3" s="51"/>
      <c r="I3" s="51"/>
      <c r="J3" s="51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s="9" customFormat="1" ht="15.3" customHeight="1">
      <c r="A4" s="50"/>
      <c r="B4" s="50"/>
      <c r="C4" s="50"/>
      <c r="D4" s="50"/>
      <c r="E4" s="50"/>
      <c r="F4" s="50"/>
      <c r="G4" s="51"/>
      <c r="H4" s="51"/>
      <c r="I4" s="51"/>
      <c r="J4" s="51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s="9" customFormat="1" ht="15.3" customHeight="1">
      <c r="A5" s="50"/>
      <c r="B5" s="50"/>
      <c r="C5" s="50"/>
      <c r="D5" s="50"/>
      <c r="E5" s="50"/>
      <c r="F5" s="50"/>
      <c r="G5" s="51"/>
      <c r="H5" s="51"/>
      <c r="I5" s="51"/>
      <c r="J5" s="51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s="9" customFormat="1" ht="15.3" customHeight="1">
      <c r="A6" s="50"/>
      <c r="B6" s="50"/>
      <c r="C6" s="50"/>
      <c r="D6" s="50"/>
      <c r="E6" s="50"/>
      <c r="F6" s="50"/>
      <c r="G6" s="51"/>
      <c r="H6" s="51"/>
      <c r="I6" s="51"/>
      <c r="J6" s="51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s="9" customFormat="1" ht="15.3" customHeight="1">
      <c r="A7" s="50"/>
      <c r="B7" s="50"/>
      <c r="C7" s="50"/>
      <c r="D7" s="50"/>
      <c r="E7" s="50"/>
      <c r="F7" s="50"/>
      <c r="G7" s="51"/>
      <c r="H7" s="51"/>
      <c r="I7" s="51"/>
      <c r="J7" s="51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s="9" customFormat="1" ht="15.3" customHeight="1">
      <c r="A8" s="50"/>
      <c r="B8" s="50"/>
      <c r="C8" s="50"/>
      <c r="D8" s="50"/>
      <c r="E8" s="50"/>
      <c r="F8" s="50"/>
      <c r="G8" s="51"/>
      <c r="H8" s="51"/>
      <c r="I8" s="51"/>
      <c r="J8" s="51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s="9" customFormat="1" ht="15.3" customHeight="1">
      <c r="A9" s="50"/>
      <c r="B9" s="50"/>
      <c r="C9" s="50"/>
      <c r="D9" s="50"/>
      <c r="E9" s="50"/>
      <c r="F9" s="50"/>
      <c r="G9" s="51"/>
      <c r="H9" s="51"/>
      <c r="I9" s="51"/>
      <c r="J9" s="51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s="9" customFormat="1" ht="15.3" customHeight="1">
      <c r="A10" s="50"/>
      <c r="B10" s="50"/>
      <c r="C10" s="50"/>
      <c r="D10" s="50"/>
      <c r="E10" s="50"/>
      <c r="F10" s="50"/>
      <c r="G10" s="51"/>
      <c r="H10" s="51"/>
      <c r="I10" s="51"/>
      <c r="J10" s="51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s="9" customFormat="1" ht="15.3" customHeight="1">
      <c r="A11" s="50"/>
      <c r="B11" s="50"/>
      <c r="C11" s="50"/>
      <c r="D11" s="50"/>
      <c r="E11" s="50"/>
      <c r="F11" s="50"/>
      <c r="G11" s="51"/>
      <c r="H11" s="51"/>
      <c r="I11" s="51"/>
      <c r="J11" s="51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s="9" customFormat="1" ht="15.3" customHeight="1">
      <c r="A12" s="50"/>
      <c r="B12" s="50"/>
      <c r="C12" s="50"/>
      <c r="D12" s="50"/>
      <c r="E12" s="50"/>
      <c r="F12" s="50"/>
      <c r="G12" s="51"/>
      <c r="H12" s="51"/>
      <c r="I12" s="51"/>
      <c r="J12" s="51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s="9" customFormat="1" ht="15.3" customHeight="1">
      <c r="A13" s="50"/>
      <c r="B13" s="50"/>
      <c r="C13" s="50"/>
      <c r="D13" s="50"/>
      <c r="E13" s="50"/>
      <c r="F13" s="50"/>
      <c r="G13" s="51"/>
      <c r="H13" s="51"/>
      <c r="I13" s="51"/>
      <c r="J13" s="51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s="9" customFormat="1" ht="15.3" customHeight="1">
      <c r="A14" s="50"/>
      <c r="B14" s="50"/>
      <c r="C14" s="50"/>
      <c r="D14" s="50"/>
      <c r="E14" s="50"/>
      <c r="F14" s="50"/>
      <c r="G14" s="51"/>
      <c r="H14" s="51"/>
      <c r="I14" s="51"/>
      <c r="J14" s="51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s="9" customFormat="1" ht="15.3" customHeight="1">
      <c r="A15" s="50"/>
      <c r="B15" s="50"/>
      <c r="C15" s="50"/>
      <c r="D15" s="50"/>
      <c r="E15" s="50"/>
      <c r="F15" s="50"/>
      <c r="G15" s="51"/>
      <c r="H15" s="51"/>
      <c r="I15" s="51"/>
      <c r="J15" s="51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s="9" customFormat="1" ht="15.3" customHeight="1">
      <c r="A16" s="50"/>
      <c r="B16" s="50"/>
      <c r="C16" s="50"/>
      <c r="D16" s="50"/>
      <c r="E16" s="50"/>
      <c r="F16" s="50"/>
      <c r="G16" s="51"/>
      <c r="H16" s="51"/>
      <c r="I16" s="51"/>
      <c r="J16" s="51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s="9" customFormat="1" ht="15.3" customHeight="1">
      <c r="A17" s="50"/>
      <c r="B17" s="50"/>
      <c r="C17" s="50"/>
      <c r="D17" s="50"/>
      <c r="E17" s="50"/>
      <c r="F17" s="50"/>
      <c r="G17" s="51"/>
      <c r="H17" s="51"/>
      <c r="I17" s="51"/>
      <c r="J17" s="51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s="9" customFormat="1" ht="15.3" customHeight="1">
      <c r="A18" s="50"/>
      <c r="B18" s="50"/>
      <c r="C18" s="50"/>
      <c r="D18" s="50"/>
      <c r="E18" s="50"/>
      <c r="F18" s="50"/>
      <c r="G18" s="51"/>
      <c r="H18" s="51"/>
      <c r="I18" s="51"/>
      <c r="J18" s="51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s="9" customFormat="1" ht="15.3" customHeight="1">
      <c r="A19" s="50"/>
      <c r="B19" s="50"/>
      <c r="C19" s="50"/>
      <c r="D19" s="50"/>
      <c r="E19" s="50"/>
      <c r="F19" s="50"/>
      <c r="G19" s="51"/>
      <c r="H19" s="51"/>
      <c r="I19" s="51"/>
      <c r="J19" s="51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s="9" customFormat="1" ht="15.3" customHeight="1">
      <c r="A20" s="50"/>
      <c r="B20" s="50"/>
      <c r="C20" s="50"/>
      <c r="D20" s="50"/>
      <c r="E20" s="50"/>
      <c r="F20" s="50"/>
      <c r="G20" s="51"/>
      <c r="H20" s="51"/>
      <c r="I20" s="51"/>
      <c r="J20" s="51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s="9" customFormat="1" ht="15.3" customHeight="1">
      <c r="A21" s="50"/>
      <c r="B21" s="50"/>
      <c r="C21" s="50"/>
      <c r="D21" s="50"/>
      <c r="E21" s="50"/>
      <c r="F21" s="50"/>
      <c r="G21" s="51"/>
      <c r="H21" s="51"/>
      <c r="I21" s="51"/>
      <c r="J21" s="51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s="9" customFormat="1" ht="15.3" customHeight="1">
      <c r="A22" s="50"/>
      <c r="B22" s="50"/>
      <c r="C22" s="50"/>
      <c r="D22" s="50"/>
      <c r="E22" s="50"/>
      <c r="F22" s="50"/>
      <c r="G22" s="51"/>
      <c r="H22" s="51"/>
      <c r="I22" s="51"/>
      <c r="J22" s="51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s="9" customFormat="1" ht="15.3" customHeight="1">
      <c r="A23" s="50"/>
      <c r="B23" s="50"/>
      <c r="C23" s="50"/>
      <c r="D23" s="50"/>
      <c r="E23" s="50"/>
      <c r="F23" s="50"/>
      <c r="G23" s="51"/>
      <c r="H23" s="51"/>
      <c r="I23" s="51"/>
      <c r="J23" s="51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s="9" customFormat="1" ht="15.3" customHeight="1">
      <c r="A24" s="50"/>
      <c r="B24" s="50"/>
      <c r="C24" s="50"/>
      <c r="D24" s="50"/>
      <c r="E24" s="50"/>
      <c r="F24" s="50"/>
      <c r="G24" s="51"/>
      <c r="H24" s="51"/>
      <c r="I24" s="51"/>
      <c r="J24" s="51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s="9" customFormat="1" ht="15.3" customHeight="1">
      <c r="A25" s="50"/>
      <c r="B25" s="50"/>
      <c r="C25" s="50"/>
      <c r="D25" s="50"/>
      <c r="E25" s="50"/>
      <c r="F25" s="50"/>
      <c r="G25" s="51"/>
      <c r="H25" s="51"/>
      <c r="I25" s="51"/>
      <c r="J25" s="51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s="9" customFormat="1" ht="15.3" customHeight="1">
      <c r="A26" s="50"/>
      <c r="B26" s="50"/>
      <c r="C26" s="50"/>
      <c r="D26" s="50"/>
      <c r="E26" s="50"/>
      <c r="F26" s="50"/>
      <c r="G26" s="51"/>
      <c r="H26" s="51"/>
      <c r="I26" s="51"/>
      <c r="J26" s="51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s="9" customFormat="1" ht="15.3" customHeight="1">
      <c r="A27" s="50"/>
      <c r="B27" s="50"/>
      <c r="C27" s="50"/>
      <c r="D27" s="50"/>
      <c r="E27" s="50"/>
      <c r="F27" s="50"/>
      <c r="G27" s="51"/>
      <c r="H27" s="51"/>
      <c r="I27" s="51"/>
      <c r="J27" s="51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s="9" customFormat="1" ht="15.3" customHeight="1">
      <c r="A28" s="50"/>
      <c r="B28" s="50"/>
      <c r="C28" s="50"/>
      <c r="D28" s="50"/>
      <c r="E28" s="50"/>
      <c r="F28" s="50"/>
      <c r="G28" s="51"/>
      <c r="H28" s="51"/>
      <c r="I28" s="51"/>
      <c r="J28" s="51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s="9" customFormat="1" ht="15.3" customHeight="1">
      <c r="A29" s="50"/>
      <c r="B29" s="50"/>
      <c r="C29" s="50"/>
      <c r="D29" s="50"/>
      <c r="E29" s="50"/>
      <c r="F29" s="50"/>
      <c r="G29" s="51"/>
      <c r="H29" s="51"/>
      <c r="I29" s="51"/>
      <c r="J29" s="51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s="9" customFormat="1" ht="15.3" customHeight="1">
      <c r="A30" s="50"/>
      <c r="B30" s="50"/>
      <c r="C30" s="50"/>
      <c r="D30" s="50"/>
      <c r="E30" s="50"/>
      <c r="F30" s="50"/>
      <c r="G30" s="51"/>
      <c r="H30" s="51"/>
      <c r="I30" s="51"/>
      <c r="J30" s="51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s="9" customFormat="1" ht="15.3" customHeight="1">
      <c r="A31" s="50"/>
      <c r="B31" s="50"/>
      <c r="C31" s="50"/>
      <c r="D31" s="50"/>
      <c r="E31" s="50"/>
      <c r="F31" s="50"/>
      <c r="G31" s="51"/>
      <c r="H31" s="51"/>
      <c r="I31" s="51"/>
      <c r="J31" s="51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s="9" customFormat="1" ht="15.3" customHeight="1">
      <c r="A32" s="50"/>
      <c r="B32" s="50"/>
      <c r="C32" s="50"/>
      <c r="D32" s="50"/>
      <c r="E32" s="50"/>
      <c r="F32" s="50"/>
      <c r="G32" s="51"/>
      <c r="H32" s="51"/>
      <c r="I32" s="51"/>
      <c r="J32" s="51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s="9" customFormat="1" ht="15.3" customHeight="1">
      <c r="A33" s="50"/>
      <c r="B33" s="50"/>
      <c r="C33" s="50"/>
      <c r="D33" s="50"/>
      <c r="E33" s="50"/>
      <c r="F33" s="50"/>
      <c r="G33" s="51"/>
      <c r="H33" s="51"/>
      <c r="I33" s="51"/>
      <c r="J33" s="51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s="9" customFormat="1" ht="15.3" customHeight="1">
      <c r="A34" s="50"/>
      <c r="B34" s="50"/>
      <c r="C34" s="50"/>
      <c r="D34" s="50"/>
      <c r="E34" s="50"/>
      <c r="F34" s="50"/>
      <c r="G34" s="51"/>
      <c r="H34" s="51"/>
      <c r="I34" s="51"/>
      <c r="J34" s="51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s="9" customFormat="1" ht="15.3" customHeight="1">
      <c r="A35" s="50"/>
      <c r="B35" s="50"/>
      <c r="C35" s="50"/>
      <c r="D35" s="50"/>
      <c r="E35" s="50"/>
      <c r="F35" s="50"/>
      <c r="G35" s="51"/>
      <c r="H35" s="51"/>
      <c r="I35" s="51"/>
      <c r="J35" s="51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s="9" customFormat="1" ht="15.3" customHeight="1">
      <c r="A36" s="50"/>
      <c r="B36" s="50"/>
      <c r="C36" s="50"/>
      <c r="D36" s="50"/>
      <c r="E36" s="50"/>
      <c r="F36" s="50"/>
      <c r="G36" s="51"/>
      <c r="H36" s="51"/>
      <c r="I36" s="51"/>
      <c r="J36" s="51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s="9" customFormat="1" ht="15.3" customHeight="1">
      <c r="A37" s="50"/>
      <c r="B37" s="50"/>
      <c r="C37" s="50"/>
      <c r="D37" s="50"/>
      <c r="E37" s="50"/>
      <c r="F37" s="50"/>
      <c r="G37" s="51"/>
      <c r="H37" s="51"/>
      <c r="I37" s="51"/>
      <c r="J37" s="51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s="9" customFormat="1" ht="15.3" customHeight="1">
      <c r="A38" s="50"/>
      <c r="B38" s="50"/>
      <c r="C38" s="50"/>
      <c r="D38" s="50"/>
      <c r="E38" s="50"/>
      <c r="F38" s="50"/>
      <c r="G38" s="51"/>
      <c r="H38" s="51"/>
      <c r="I38" s="51"/>
      <c r="J38" s="51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s="9" customFormat="1" ht="15.3" customHeight="1">
      <c r="A39" s="50"/>
      <c r="B39" s="50"/>
      <c r="C39" s="50"/>
      <c r="D39" s="50"/>
      <c r="E39" s="50"/>
      <c r="F39" s="50"/>
      <c r="G39" s="51"/>
      <c r="H39" s="51"/>
      <c r="I39" s="51"/>
      <c r="J39" s="51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s="9" customFormat="1" ht="15.3" customHeight="1">
      <c r="A40" s="50"/>
      <c r="B40" s="50"/>
      <c r="C40" s="50"/>
      <c r="D40" s="50"/>
      <c r="E40" s="50"/>
      <c r="F40" s="50"/>
      <c r="G40" s="51"/>
      <c r="H40" s="51"/>
      <c r="I40" s="51"/>
      <c r="J40" s="51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s="9" customFormat="1" ht="15.3" customHeight="1">
      <c r="A41" s="50"/>
      <c r="B41" s="50"/>
      <c r="C41" s="50"/>
      <c r="D41" s="50"/>
      <c r="E41" s="50"/>
      <c r="F41" s="50"/>
      <c r="G41" s="51"/>
      <c r="H41" s="51"/>
      <c r="I41" s="51"/>
      <c r="J41" s="51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s="9" customFormat="1" ht="15.3" customHeight="1">
      <c r="A42" s="50"/>
      <c r="B42" s="50"/>
      <c r="C42" s="50"/>
      <c r="D42" s="50"/>
      <c r="E42" s="50"/>
      <c r="F42" s="50"/>
      <c r="G42" s="51"/>
      <c r="H42" s="51"/>
      <c r="I42" s="51"/>
      <c r="J42" s="51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s="9" customFormat="1" ht="15.3" customHeight="1">
      <c r="A43" s="50"/>
      <c r="B43" s="50"/>
      <c r="C43" s="50"/>
      <c r="D43" s="50"/>
      <c r="E43" s="50"/>
      <c r="F43" s="50"/>
      <c r="G43" s="51"/>
      <c r="H43" s="51"/>
      <c r="I43" s="51"/>
      <c r="J43" s="51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s="9" customFormat="1" ht="15.3" customHeight="1">
      <c r="A44" s="50"/>
      <c r="B44" s="50"/>
      <c r="C44" s="50"/>
      <c r="D44" s="50"/>
      <c r="E44" s="50"/>
      <c r="F44" s="50"/>
      <c r="G44" s="51"/>
      <c r="H44" s="51"/>
      <c r="I44" s="51"/>
      <c r="J44" s="51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s="9" customFormat="1" ht="15.3" customHeight="1">
      <c r="A45" s="50"/>
      <c r="B45" s="50"/>
      <c r="C45" s="50"/>
      <c r="D45" s="50"/>
      <c r="E45" s="50"/>
      <c r="F45" s="50"/>
      <c r="G45" s="51"/>
      <c r="H45" s="51"/>
      <c r="I45" s="51"/>
      <c r="J45" s="51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s="9" customFormat="1" ht="15.3" customHeight="1">
      <c r="A46" s="50"/>
      <c r="B46" s="50"/>
      <c r="C46" s="50"/>
      <c r="D46" s="50"/>
      <c r="E46" s="50"/>
      <c r="F46" s="50"/>
      <c r="G46" s="51"/>
      <c r="H46" s="51"/>
      <c r="I46" s="51"/>
      <c r="J46" s="51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s="9" customFormat="1" ht="15.3" customHeight="1">
      <c r="A47" s="50"/>
      <c r="B47" s="50"/>
      <c r="C47" s="50"/>
      <c r="D47" s="50"/>
      <c r="E47" s="50"/>
      <c r="F47" s="50"/>
      <c r="G47" s="51"/>
      <c r="H47" s="51"/>
      <c r="I47" s="51"/>
      <c r="J47" s="51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s="9" customFormat="1" ht="15.3" customHeight="1">
      <c r="A48" s="50"/>
      <c r="B48" s="50"/>
      <c r="C48" s="50"/>
      <c r="D48" s="50"/>
      <c r="E48" s="50"/>
      <c r="F48" s="50"/>
      <c r="G48" s="51"/>
      <c r="H48" s="51"/>
      <c r="I48" s="51"/>
      <c r="J48" s="51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s="9" customFormat="1" ht="15.3" customHeight="1">
      <c r="A49" s="50"/>
      <c r="B49" s="50"/>
      <c r="C49" s="50"/>
      <c r="D49" s="50"/>
      <c r="E49" s="50"/>
      <c r="F49" s="50"/>
      <c r="G49" s="51"/>
      <c r="H49" s="51"/>
      <c r="I49" s="51"/>
      <c r="J49" s="51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s="9" customFormat="1" ht="15.3" customHeight="1">
      <c r="A50" s="50"/>
      <c r="B50" s="50"/>
      <c r="C50" s="50"/>
      <c r="D50" s="50"/>
      <c r="E50" s="50"/>
      <c r="F50" s="50"/>
      <c r="G50" s="51"/>
      <c r="H50" s="51"/>
      <c r="I50" s="51"/>
      <c r="J50" s="51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s="9" customFormat="1" ht="15.3" customHeight="1">
      <c r="A51" s="50"/>
      <c r="B51" s="50"/>
      <c r="C51" s="50"/>
      <c r="D51" s="50"/>
      <c r="E51" s="50"/>
      <c r="F51" s="50"/>
      <c r="G51" s="51"/>
      <c r="H51" s="51"/>
      <c r="I51" s="51"/>
      <c r="J51" s="51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s="9" customFormat="1" ht="15.3" customHeight="1">
      <c r="A52" s="50"/>
      <c r="B52" s="50"/>
      <c r="C52" s="50"/>
      <c r="D52" s="50"/>
      <c r="E52" s="50"/>
      <c r="F52" s="50"/>
      <c r="G52" s="51"/>
      <c r="H52" s="51"/>
      <c r="I52" s="51"/>
      <c r="J52" s="51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s="9" customFormat="1" ht="15.3" customHeight="1">
      <c r="A53" s="50"/>
      <c r="B53" s="50"/>
      <c r="C53" s="50"/>
      <c r="D53" s="50"/>
      <c r="E53" s="50"/>
      <c r="F53" s="50"/>
      <c r="G53" s="51"/>
      <c r="H53" s="51"/>
      <c r="I53" s="51"/>
      <c r="J53" s="51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s="9" customFormat="1" ht="15.3" customHeight="1">
      <c r="A54" s="50"/>
      <c r="B54" s="50"/>
      <c r="C54" s="50"/>
      <c r="D54" s="50"/>
      <c r="E54" s="50"/>
      <c r="F54" s="50"/>
      <c r="G54" s="51"/>
      <c r="H54" s="51"/>
      <c r="I54" s="51"/>
      <c r="J54" s="51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s="9" customFormat="1" ht="15.3" customHeight="1">
      <c r="A55" s="50"/>
      <c r="B55" s="50"/>
      <c r="C55" s="50"/>
      <c r="D55" s="50"/>
      <c r="E55" s="50"/>
      <c r="F55" s="50"/>
      <c r="G55" s="51"/>
      <c r="H55" s="51"/>
      <c r="I55" s="51"/>
      <c r="J55" s="51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s="9" customFormat="1" ht="15.3" customHeight="1">
      <c r="A56" s="50"/>
      <c r="B56" s="50"/>
      <c r="C56" s="50"/>
      <c r="D56" s="50"/>
      <c r="E56" s="50"/>
      <c r="F56" s="50"/>
      <c r="G56" s="51"/>
      <c r="H56" s="51"/>
      <c r="I56" s="51"/>
      <c r="J56" s="51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s="9" customFormat="1" ht="15.3" customHeight="1">
      <c r="A57" s="50"/>
      <c r="B57" s="50"/>
      <c r="C57" s="50"/>
      <c r="D57" s="50"/>
      <c r="E57" s="50"/>
      <c r="F57" s="50"/>
      <c r="G57" s="51"/>
      <c r="H57" s="51"/>
      <c r="I57" s="51"/>
      <c r="J57" s="51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s="9" customFormat="1" ht="15.3" customHeight="1">
      <c r="A58" s="50"/>
      <c r="B58" s="50"/>
      <c r="C58" s="50"/>
      <c r="D58" s="50"/>
      <c r="E58" s="50"/>
      <c r="F58" s="50"/>
      <c r="G58" s="51"/>
      <c r="H58" s="51"/>
      <c r="I58" s="51"/>
      <c r="J58" s="51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s="9" customFormat="1" ht="15.3" customHeight="1">
      <c r="A59" s="50"/>
      <c r="B59" s="50"/>
      <c r="C59" s="50"/>
      <c r="D59" s="50"/>
      <c r="E59" s="50"/>
      <c r="F59" s="50"/>
      <c r="G59" s="51"/>
      <c r="H59" s="51"/>
      <c r="I59" s="51"/>
      <c r="J59" s="51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s="9" customFormat="1" ht="15.3" customHeight="1">
      <c r="A60" s="50"/>
      <c r="B60" s="50"/>
      <c r="C60" s="50"/>
      <c r="D60" s="50"/>
      <c r="E60" s="50"/>
      <c r="F60" s="50"/>
      <c r="G60" s="51"/>
      <c r="H60" s="51"/>
      <c r="I60" s="51"/>
      <c r="J60" s="51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s="9" customFormat="1" ht="15.3" customHeight="1">
      <c r="A61" s="50"/>
      <c r="B61" s="50"/>
      <c r="C61" s="50"/>
      <c r="D61" s="50"/>
      <c r="E61" s="50"/>
      <c r="F61" s="50"/>
      <c r="G61" s="51"/>
      <c r="H61" s="51"/>
      <c r="I61" s="51"/>
      <c r="J61" s="51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s="9" customFormat="1" ht="15.3" customHeight="1">
      <c r="A62" s="50"/>
      <c r="B62" s="50"/>
      <c r="C62" s="50"/>
      <c r="D62" s="50"/>
      <c r="E62" s="50"/>
      <c r="F62" s="50"/>
      <c r="G62" s="51"/>
      <c r="H62" s="51"/>
      <c r="I62" s="51"/>
      <c r="J62" s="51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s="9" customFormat="1" ht="15.3" customHeight="1">
      <c r="A63" s="50"/>
      <c r="B63" s="50"/>
      <c r="C63" s="50"/>
      <c r="D63" s="50"/>
      <c r="E63" s="50"/>
      <c r="F63" s="50"/>
      <c r="G63" s="51"/>
      <c r="H63" s="51"/>
      <c r="I63" s="51"/>
      <c r="J63" s="51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s="9" customFormat="1" ht="15.3" customHeight="1">
      <c r="A64" s="50"/>
      <c r="B64" s="50"/>
      <c r="C64" s="50"/>
      <c r="D64" s="50"/>
      <c r="E64" s="50"/>
      <c r="F64" s="50"/>
      <c r="G64" s="51"/>
      <c r="H64" s="51"/>
      <c r="I64" s="51"/>
      <c r="J64" s="51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s="9" customFormat="1" ht="15.3" customHeight="1">
      <c r="A65" s="50"/>
      <c r="B65" s="50"/>
      <c r="C65" s="50"/>
      <c r="D65" s="50"/>
      <c r="E65" s="50"/>
      <c r="F65" s="50"/>
      <c r="G65" s="51"/>
      <c r="H65" s="51"/>
      <c r="I65" s="51"/>
      <c r="J65" s="51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s="9" customFormat="1" ht="15.3" customHeight="1">
      <c r="A66" s="50"/>
      <c r="B66" s="50"/>
      <c r="C66" s="50"/>
      <c r="D66" s="50"/>
      <c r="E66" s="50"/>
      <c r="F66" s="50"/>
      <c r="G66" s="51"/>
      <c r="H66" s="51"/>
      <c r="I66" s="51"/>
      <c r="J66" s="51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s="9" customFormat="1" ht="15.3" customHeight="1">
      <c r="A67" s="50"/>
      <c r="B67" s="50"/>
      <c r="C67" s="50"/>
      <c r="D67" s="50"/>
      <c r="E67" s="50"/>
      <c r="F67" s="50"/>
      <c r="G67" s="51"/>
      <c r="H67" s="51"/>
      <c r="I67" s="51"/>
      <c r="J67" s="51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s="9" customFormat="1" ht="15.3" customHeight="1">
      <c r="A68" s="50"/>
      <c r="B68" s="50"/>
      <c r="C68" s="50"/>
      <c r="D68" s="50"/>
      <c r="E68" s="50"/>
      <c r="F68" s="50"/>
      <c r="G68" s="51"/>
      <c r="H68" s="51"/>
      <c r="I68" s="51"/>
      <c r="J68" s="51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s="9" customFormat="1" ht="15.3" customHeight="1">
      <c r="A69" s="50"/>
      <c r="B69" s="50"/>
      <c r="C69" s="50"/>
      <c r="D69" s="50"/>
      <c r="E69" s="50"/>
      <c r="F69" s="50"/>
      <c r="G69" s="51"/>
      <c r="H69" s="51"/>
      <c r="I69" s="51"/>
      <c r="J69" s="51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s="9" customFormat="1" ht="15.3" customHeight="1">
      <c r="A70" s="50"/>
      <c r="B70" s="50"/>
      <c r="C70" s="50"/>
      <c r="D70" s="50"/>
      <c r="E70" s="50"/>
      <c r="F70" s="50"/>
      <c r="G70" s="51"/>
      <c r="H70" s="51"/>
      <c r="I70" s="51"/>
      <c r="J70" s="51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s="9" customFormat="1" ht="15.3" customHeight="1">
      <c r="A71" s="50"/>
      <c r="B71" s="50"/>
      <c r="C71" s="50"/>
      <c r="D71" s="50"/>
      <c r="E71" s="50"/>
      <c r="F71" s="50"/>
      <c r="G71" s="51"/>
      <c r="H71" s="51"/>
      <c r="I71" s="51"/>
      <c r="J71" s="51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s="9" customFormat="1" ht="15.3" customHeight="1">
      <c r="A72" s="50"/>
      <c r="B72" s="50"/>
      <c r="C72" s="50"/>
      <c r="D72" s="50"/>
      <c r="E72" s="50"/>
      <c r="F72" s="50"/>
      <c r="G72" s="51"/>
      <c r="H72" s="51"/>
      <c r="I72" s="51"/>
      <c r="J72" s="51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s="9" customFormat="1" ht="15.3" customHeight="1">
      <c r="A73" s="50"/>
      <c r="B73" s="50"/>
      <c r="C73" s="50"/>
      <c r="D73" s="50"/>
      <c r="E73" s="50"/>
      <c r="F73" s="50"/>
      <c r="G73" s="51"/>
      <c r="H73" s="51"/>
      <c r="I73" s="51"/>
      <c r="J73" s="51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s="9" customFormat="1" ht="15.3" customHeight="1">
      <c r="A74" s="50"/>
      <c r="B74" s="50"/>
      <c r="C74" s="50"/>
      <c r="D74" s="50"/>
      <c r="E74" s="50"/>
      <c r="F74" s="50"/>
      <c r="G74" s="51"/>
      <c r="H74" s="51"/>
      <c r="I74" s="51"/>
      <c r="J74" s="51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s="9" customFormat="1" ht="15.3" customHeight="1">
      <c r="A75" s="50"/>
      <c r="B75" s="50"/>
      <c r="C75" s="50"/>
      <c r="D75" s="50"/>
      <c r="E75" s="50"/>
      <c r="F75" s="50"/>
      <c r="G75" s="51"/>
      <c r="H75" s="51"/>
      <c r="I75" s="51"/>
      <c r="J75" s="51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s="9" customFormat="1" ht="15.3" customHeight="1">
      <c r="A76" s="50"/>
      <c r="B76" s="50"/>
      <c r="C76" s="50"/>
      <c r="D76" s="50"/>
      <c r="E76" s="50"/>
      <c r="F76" s="50"/>
      <c r="G76" s="51"/>
      <c r="H76" s="51"/>
      <c r="I76" s="51"/>
      <c r="J76" s="51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s="9" customFormat="1" ht="15.3" customHeight="1">
      <c r="A77" s="50"/>
      <c r="B77" s="50"/>
      <c r="C77" s="50"/>
      <c r="D77" s="50"/>
      <c r="E77" s="50"/>
      <c r="F77" s="50"/>
      <c r="G77" s="51"/>
      <c r="H77" s="51"/>
      <c r="I77" s="51"/>
      <c r="J77" s="51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s="9" customFormat="1" ht="15.3" customHeight="1">
      <c r="A78" s="50"/>
      <c r="B78" s="50"/>
      <c r="C78" s="50"/>
      <c r="D78" s="50"/>
      <c r="E78" s="50"/>
      <c r="F78" s="50"/>
      <c r="G78" s="51"/>
      <c r="H78" s="51"/>
      <c r="I78" s="51"/>
      <c r="J78" s="51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s="9" customFormat="1" ht="15.3" customHeight="1">
      <c r="A79" s="50"/>
      <c r="B79" s="50"/>
      <c r="C79" s="50"/>
      <c r="D79" s="50"/>
      <c r="E79" s="50"/>
      <c r="F79" s="50"/>
      <c r="G79" s="51"/>
      <c r="H79" s="51"/>
      <c r="I79" s="51"/>
      <c r="J79" s="51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s="9" customFormat="1" ht="15.3" customHeight="1">
      <c r="A80" s="50"/>
      <c r="B80" s="50"/>
      <c r="C80" s="50"/>
      <c r="D80" s="50"/>
      <c r="E80" s="50"/>
      <c r="F80" s="50"/>
      <c r="G80" s="51"/>
      <c r="H80" s="51"/>
      <c r="I80" s="51"/>
      <c r="J80" s="51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s="9" customFormat="1" ht="15.3" customHeight="1">
      <c r="A81" s="50"/>
      <c r="B81" s="50"/>
      <c r="C81" s="50"/>
      <c r="D81" s="50"/>
      <c r="E81" s="50"/>
      <c r="F81" s="50"/>
      <c r="G81" s="51"/>
      <c r="H81" s="51"/>
      <c r="I81" s="51"/>
      <c r="J81" s="51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s="9" customFormat="1" ht="15.3" customHeight="1">
      <c r="A82" s="50"/>
      <c r="B82" s="50"/>
      <c r="C82" s="50"/>
      <c r="D82" s="50"/>
      <c r="E82" s="50"/>
      <c r="F82" s="50"/>
      <c r="G82" s="51"/>
      <c r="H82" s="51"/>
      <c r="I82" s="51"/>
      <c r="J82" s="51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s="9" customFormat="1" ht="15.3" customHeight="1">
      <c r="A83" s="50"/>
      <c r="B83" s="50"/>
      <c r="C83" s="50"/>
      <c r="D83" s="50"/>
      <c r="E83" s="50"/>
      <c r="F83" s="50"/>
      <c r="G83" s="51"/>
      <c r="H83" s="51"/>
      <c r="I83" s="51"/>
      <c r="J83" s="51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s="9" customFormat="1" ht="15.3" customHeight="1">
      <c r="A84" s="50"/>
      <c r="B84" s="50"/>
      <c r="C84" s="50"/>
      <c r="D84" s="50"/>
      <c r="E84" s="50"/>
      <c r="F84" s="50"/>
      <c r="G84" s="51"/>
      <c r="H84" s="51"/>
      <c r="I84" s="51"/>
      <c r="J84" s="51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s="9" customFormat="1" ht="15.3" customHeight="1">
      <c r="A85" s="50"/>
      <c r="B85" s="50"/>
      <c r="C85" s="50"/>
      <c r="D85" s="50"/>
      <c r="E85" s="50"/>
      <c r="F85" s="50"/>
      <c r="G85" s="51"/>
      <c r="H85" s="51"/>
      <c r="I85" s="51"/>
      <c r="J85" s="51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s="9" customFormat="1" ht="15.3" customHeight="1">
      <c r="A86" s="50"/>
      <c r="B86" s="50"/>
      <c r="C86" s="50"/>
      <c r="D86" s="50"/>
      <c r="E86" s="50"/>
      <c r="F86" s="50"/>
      <c r="G86" s="51"/>
      <c r="H86" s="51"/>
      <c r="I86" s="51"/>
      <c r="J86" s="51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s="9" customFormat="1" ht="15.3" customHeight="1">
      <c r="A87" s="50"/>
      <c r="B87" s="50"/>
      <c r="C87" s="50"/>
      <c r="D87" s="50"/>
      <c r="E87" s="50"/>
      <c r="F87" s="50"/>
      <c r="G87" s="51"/>
      <c r="H87" s="51"/>
      <c r="I87" s="51"/>
      <c r="J87" s="51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s="9" customFormat="1" ht="15.3" customHeight="1">
      <c r="A88" s="50"/>
      <c r="B88" s="50"/>
      <c r="C88" s="50"/>
      <c r="D88" s="50"/>
      <c r="E88" s="50"/>
      <c r="F88" s="50"/>
      <c r="G88" s="51"/>
      <c r="H88" s="51"/>
      <c r="I88" s="51"/>
      <c r="J88" s="51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s="9" customFormat="1" ht="15.3" customHeight="1">
      <c r="A89" s="50"/>
      <c r="B89" s="50"/>
      <c r="C89" s="50"/>
      <c r="D89" s="50"/>
      <c r="E89" s="50"/>
      <c r="F89" s="50"/>
      <c r="G89" s="51"/>
      <c r="H89" s="51"/>
      <c r="I89" s="51"/>
      <c r="J89" s="51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s="9" customFormat="1" ht="15.3" customHeight="1">
      <c r="A90" s="50"/>
      <c r="B90" s="50"/>
      <c r="C90" s="50"/>
      <c r="D90" s="50"/>
      <c r="E90" s="50"/>
      <c r="F90" s="50"/>
      <c r="G90" s="51"/>
      <c r="H90" s="51"/>
      <c r="I90" s="51"/>
      <c r="J90" s="51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s="9" customFormat="1" ht="15.3" customHeight="1">
      <c r="A91" s="50"/>
      <c r="B91" s="50"/>
      <c r="C91" s="50"/>
      <c r="D91" s="50"/>
      <c r="E91" s="50"/>
      <c r="F91" s="50"/>
      <c r="G91" s="51"/>
      <c r="H91" s="51"/>
      <c r="I91" s="51"/>
      <c r="J91" s="51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s="9" customFormat="1" ht="15.3" customHeight="1">
      <c r="A92" s="50"/>
      <c r="B92" s="50"/>
      <c r="C92" s="50"/>
      <c r="D92" s="50"/>
      <c r="E92" s="50"/>
      <c r="F92" s="50"/>
      <c r="G92" s="51"/>
      <c r="H92" s="51"/>
      <c r="I92" s="51"/>
      <c r="J92" s="51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s="9" customFormat="1" ht="15.3" customHeight="1">
      <c r="A93" s="50"/>
      <c r="B93" s="50"/>
      <c r="C93" s="50"/>
      <c r="D93" s="50"/>
      <c r="E93" s="50"/>
      <c r="F93" s="50"/>
      <c r="G93" s="51"/>
      <c r="H93" s="51"/>
      <c r="I93" s="51"/>
      <c r="J93" s="51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s="9" customFormat="1" ht="15.3" customHeight="1">
      <c r="A94" s="50"/>
      <c r="B94" s="50"/>
      <c r="C94" s="50"/>
      <c r="D94" s="50"/>
      <c r="E94" s="50"/>
      <c r="F94" s="50"/>
      <c r="G94" s="51"/>
      <c r="H94" s="51"/>
      <c r="I94" s="51"/>
      <c r="J94" s="51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s="9" customFormat="1" ht="15.3" customHeight="1">
      <c r="A95" s="50"/>
      <c r="B95" s="50"/>
      <c r="C95" s="50"/>
      <c r="D95" s="50"/>
      <c r="E95" s="50"/>
      <c r="F95" s="50"/>
      <c r="G95" s="51"/>
      <c r="H95" s="51"/>
      <c r="I95" s="51"/>
      <c r="J95" s="51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s="9" customFormat="1" ht="15.3" customHeight="1">
      <c r="A96" s="50"/>
      <c r="B96" s="50"/>
      <c r="C96" s="50"/>
      <c r="D96" s="50"/>
      <c r="E96" s="50"/>
      <c r="F96" s="50"/>
      <c r="G96" s="51"/>
      <c r="H96" s="51"/>
      <c r="I96" s="51"/>
      <c r="J96" s="51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s="9" customFormat="1" ht="15.3" customHeight="1">
      <c r="A97" s="50"/>
      <c r="B97" s="50"/>
      <c r="C97" s="50"/>
      <c r="D97" s="50"/>
      <c r="E97" s="50"/>
      <c r="F97" s="50"/>
      <c r="G97" s="51"/>
      <c r="H97" s="51"/>
      <c r="I97" s="51"/>
      <c r="J97" s="51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s="9" customFormat="1" ht="15.3" customHeight="1">
      <c r="A98" s="50"/>
      <c r="B98" s="50"/>
      <c r="C98" s="50"/>
      <c r="D98" s="50"/>
      <c r="E98" s="50"/>
      <c r="F98" s="50"/>
      <c r="G98" s="51"/>
      <c r="H98" s="51"/>
      <c r="I98" s="51"/>
      <c r="J98" s="51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s="9" customFormat="1" ht="15.3" customHeight="1">
      <c r="A99" s="50"/>
      <c r="B99" s="50"/>
      <c r="C99" s="50"/>
      <c r="D99" s="50"/>
      <c r="E99" s="50"/>
      <c r="F99" s="50"/>
      <c r="G99" s="51"/>
      <c r="H99" s="51"/>
      <c r="I99" s="51"/>
      <c r="J99" s="51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s="9" customFormat="1" ht="15.3" customHeight="1">
      <c r="A100" s="50"/>
      <c r="B100" s="50"/>
      <c r="C100" s="50"/>
      <c r="D100" s="50"/>
      <c r="E100" s="50"/>
      <c r="F100" s="50"/>
      <c r="G100" s="51"/>
      <c r="H100" s="51"/>
      <c r="I100" s="51"/>
      <c r="J100" s="51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s="9" customFormat="1" ht="15.3" customHeight="1">
      <c r="A101" s="50"/>
      <c r="B101" s="50"/>
      <c r="C101" s="50"/>
      <c r="D101" s="50"/>
      <c r="E101" s="50"/>
      <c r="F101" s="50"/>
      <c r="G101" s="51"/>
      <c r="H101" s="51"/>
      <c r="I101" s="51"/>
      <c r="J101" s="51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s="9" customFormat="1" ht="15.3" customHeight="1">
      <c r="A102" s="50"/>
      <c r="B102" s="50"/>
      <c r="C102" s="50"/>
      <c r="D102" s="50"/>
      <c r="E102" s="50"/>
      <c r="F102" s="50"/>
      <c r="G102" s="51"/>
      <c r="H102" s="51"/>
      <c r="I102" s="51"/>
      <c r="J102" s="51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s="9" customFormat="1" ht="15.3" customHeight="1">
      <c r="A103" s="50"/>
      <c r="B103" s="50"/>
      <c r="C103" s="50"/>
      <c r="D103" s="50"/>
      <c r="E103" s="50"/>
      <c r="F103" s="50"/>
      <c r="G103" s="51"/>
      <c r="H103" s="51"/>
      <c r="I103" s="51"/>
      <c r="J103" s="51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s="9" customFormat="1" ht="15.3" customHeight="1">
      <c r="A104" s="50"/>
      <c r="B104" s="50"/>
      <c r="C104" s="50"/>
      <c r="D104" s="50"/>
      <c r="E104" s="50"/>
      <c r="F104" s="50"/>
      <c r="G104" s="51"/>
      <c r="H104" s="51"/>
      <c r="I104" s="51"/>
      <c r="J104" s="51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s="9" customFormat="1" ht="15.3" customHeight="1">
      <c r="A105" s="50"/>
      <c r="B105" s="50"/>
      <c r="C105" s="50"/>
      <c r="D105" s="50"/>
      <c r="E105" s="50"/>
      <c r="F105" s="50"/>
      <c r="G105" s="51"/>
      <c r="H105" s="51"/>
      <c r="I105" s="51"/>
      <c r="J105" s="51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s="9" customFormat="1" ht="15.3" customHeight="1">
      <c r="A106" s="50"/>
      <c r="B106" s="50"/>
      <c r="C106" s="50"/>
      <c r="D106" s="50"/>
      <c r="E106" s="50"/>
      <c r="F106" s="50"/>
      <c r="G106" s="51"/>
      <c r="H106" s="51"/>
      <c r="I106" s="51"/>
      <c r="J106" s="51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s="9" customFormat="1" ht="15.3" customHeight="1">
      <c r="A107" s="50"/>
      <c r="B107" s="50"/>
      <c r="C107" s="50"/>
      <c r="D107" s="50"/>
      <c r="E107" s="50"/>
      <c r="F107" s="50"/>
      <c r="G107" s="51"/>
      <c r="H107" s="51"/>
      <c r="I107" s="51"/>
      <c r="J107" s="51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s="9" customFormat="1" ht="15.3" customHeight="1">
      <c r="A108" s="50"/>
      <c r="B108" s="50"/>
      <c r="C108" s="50"/>
      <c r="D108" s="50"/>
      <c r="E108" s="50"/>
      <c r="F108" s="50"/>
      <c r="G108" s="51"/>
      <c r="H108" s="51"/>
      <c r="I108" s="51"/>
      <c r="J108" s="51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s="9" customFormat="1" ht="15.3" customHeight="1">
      <c r="A109" s="50"/>
      <c r="B109" s="50"/>
      <c r="C109" s="50"/>
      <c r="D109" s="50"/>
      <c r="E109" s="50"/>
      <c r="F109" s="50"/>
      <c r="G109" s="51"/>
      <c r="H109" s="51"/>
      <c r="I109" s="51"/>
      <c r="J109" s="51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s="9" customFormat="1" ht="15.3" customHeight="1">
      <c r="A110" s="50"/>
      <c r="B110" s="50"/>
      <c r="C110" s="50"/>
      <c r="D110" s="50"/>
      <c r="E110" s="50"/>
      <c r="F110" s="50"/>
      <c r="G110" s="51"/>
      <c r="H110" s="51"/>
      <c r="I110" s="51"/>
      <c r="J110" s="51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s="9" customFormat="1" ht="15.3" customHeight="1">
      <c r="A111" s="50"/>
      <c r="B111" s="50"/>
      <c r="C111" s="50"/>
      <c r="D111" s="50"/>
      <c r="E111" s="50"/>
      <c r="F111" s="50"/>
      <c r="G111" s="51"/>
      <c r="H111" s="51"/>
      <c r="I111" s="51"/>
      <c r="J111" s="51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s="9" customFormat="1" ht="15.3" customHeight="1">
      <c r="A112" s="50"/>
      <c r="B112" s="50"/>
      <c r="C112" s="50"/>
      <c r="D112" s="50"/>
      <c r="E112" s="50"/>
      <c r="F112" s="50"/>
      <c r="G112" s="51"/>
      <c r="H112" s="51"/>
      <c r="I112" s="51"/>
      <c r="J112" s="51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s="9" customFormat="1" ht="15.3" customHeight="1">
      <c r="A113" s="50"/>
      <c r="B113" s="50"/>
      <c r="C113" s="50"/>
      <c r="D113" s="50"/>
      <c r="E113" s="50"/>
      <c r="F113" s="50"/>
      <c r="G113" s="51"/>
      <c r="H113" s="51"/>
      <c r="I113" s="51"/>
      <c r="J113" s="51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s="9" customFormat="1" ht="15.3" customHeight="1">
      <c r="A114" s="50"/>
      <c r="B114" s="50"/>
      <c r="C114" s="50"/>
      <c r="D114" s="50"/>
      <c r="E114" s="50"/>
      <c r="F114" s="50"/>
      <c r="G114" s="51"/>
      <c r="H114" s="51"/>
      <c r="I114" s="51"/>
      <c r="J114" s="51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s="9" customFormat="1" ht="15.3" customHeight="1">
      <c r="A115" s="50"/>
      <c r="B115" s="50"/>
      <c r="C115" s="50"/>
      <c r="D115" s="50"/>
      <c r="E115" s="50"/>
      <c r="F115" s="50"/>
      <c r="G115" s="51"/>
      <c r="H115" s="51"/>
      <c r="I115" s="51"/>
      <c r="J115" s="51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s="9" customFormat="1" ht="15.3" customHeight="1">
      <c r="A116" s="50"/>
      <c r="B116" s="50"/>
      <c r="C116" s="50"/>
      <c r="D116" s="50"/>
      <c r="E116" s="50"/>
      <c r="F116" s="50"/>
      <c r="G116" s="51"/>
      <c r="H116" s="51"/>
      <c r="I116" s="51"/>
      <c r="J116" s="51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s="9" customFormat="1" ht="15.3" customHeight="1">
      <c r="A117" s="50"/>
      <c r="B117" s="50"/>
      <c r="C117" s="50"/>
      <c r="D117" s="50"/>
      <c r="E117" s="50"/>
      <c r="F117" s="50"/>
      <c r="G117" s="51"/>
      <c r="H117" s="51"/>
      <c r="I117" s="51"/>
      <c r="J117" s="51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s="9" customFormat="1" ht="15.3" customHeight="1">
      <c r="A118" s="50"/>
      <c r="B118" s="50"/>
      <c r="C118" s="50"/>
      <c r="D118" s="50"/>
      <c r="E118" s="50"/>
      <c r="F118" s="50"/>
      <c r="G118" s="51"/>
      <c r="H118" s="51"/>
      <c r="I118" s="51"/>
      <c r="J118" s="51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s="9" customFormat="1" ht="15.3" customHeight="1">
      <c r="A119" s="50"/>
      <c r="B119" s="50"/>
      <c r="C119" s="50"/>
      <c r="D119" s="50"/>
      <c r="E119" s="50"/>
      <c r="F119" s="50"/>
      <c r="G119" s="51"/>
      <c r="H119" s="51"/>
      <c r="I119" s="51"/>
      <c r="J119" s="51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s="9" customFormat="1" ht="15.3" customHeight="1">
      <c r="A120" s="50"/>
      <c r="B120" s="50"/>
      <c r="C120" s="50"/>
      <c r="D120" s="50"/>
      <c r="E120" s="50"/>
      <c r="F120" s="50"/>
      <c r="G120" s="51"/>
      <c r="H120" s="51"/>
      <c r="I120" s="51"/>
      <c r="J120" s="51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s="9" customFormat="1" ht="15.3" customHeight="1">
      <c r="A121" s="50"/>
      <c r="B121" s="50"/>
      <c r="C121" s="50"/>
      <c r="D121" s="50"/>
      <c r="E121" s="50"/>
      <c r="F121" s="50"/>
      <c r="G121" s="51"/>
      <c r="H121" s="51"/>
      <c r="I121" s="51"/>
      <c r="J121" s="51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s="9" customFormat="1" ht="15.3" customHeight="1">
      <c r="A122" s="50"/>
      <c r="B122" s="50"/>
      <c r="C122" s="50"/>
      <c r="D122" s="50"/>
      <c r="E122" s="50"/>
      <c r="F122" s="50"/>
      <c r="G122" s="51"/>
      <c r="H122" s="51"/>
      <c r="I122" s="51"/>
      <c r="J122" s="51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s="9" customFormat="1" ht="15.3" customHeight="1">
      <c r="A123" s="50"/>
      <c r="B123" s="50"/>
      <c r="C123" s="50"/>
      <c r="D123" s="50"/>
      <c r="E123" s="50"/>
      <c r="F123" s="50"/>
      <c r="G123" s="51"/>
      <c r="H123" s="51"/>
      <c r="I123" s="51"/>
      <c r="J123" s="51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s="9" customFormat="1" ht="15.3" customHeight="1">
      <c r="A124" s="50"/>
      <c r="B124" s="50"/>
      <c r="C124" s="50"/>
      <c r="D124" s="50"/>
      <c r="E124" s="50"/>
      <c r="F124" s="50"/>
      <c r="G124" s="51"/>
      <c r="H124" s="51"/>
      <c r="I124" s="51"/>
      <c r="J124" s="51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s="9" customFormat="1" ht="15.3" customHeight="1">
      <c r="A125" s="50"/>
      <c r="B125" s="50"/>
      <c r="C125" s="50"/>
      <c r="D125" s="50"/>
      <c r="E125" s="50"/>
      <c r="F125" s="50"/>
      <c r="G125" s="51"/>
      <c r="H125" s="51"/>
      <c r="I125" s="51"/>
      <c r="J125" s="51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s="9" customFormat="1" ht="15.3" customHeight="1">
      <c r="A126" s="50"/>
      <c r="B126" s="50"/>
      <c r="C126" s="50"/>
      <c r="D126" s="50"/>
      <c r="E126" s="50"/>
      <c r="F126" s="50"/>
      <c r="G126" s="51"/>
      <c r="H126" s="51"/>
      <c r="I126" s="51"/>
      <c r="J126" s="51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s="9" customFormat="1" ht="15.3" customHeight="1">
      <c r="A127" s="50"/>
      <c r="B127" s="50"/>
      <c r="C127" s="50"/>
      <c r="D127" s="50"/>
      <c r="E127" s="50"/>
      <c r="F127" s="50"/>
      <c r="G127" s="51"/>
      <c r="H127" s="51"/>
      <c r="I127" s="51"/>
      <c r="J127" s="51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s="9" customFormat="1" ht="15.3" customHeight="1">
      <c r="A128" s="50"/>
      <c r="B128" s="50"/>
      <c r="C128" s="50"/>
      <c r="D128" s="50"/>
      <c r="E128" s="50"/>
      <c r="F128" s="50"/>
      <c r="G128" s="51"/>
      <c r="H128" s="51"/>
      <c r="I128" s="51"/>
      <c r="J128" s="51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s="9" customFormat="1" ht="15.3" customHeight="1">
      <c r="A129" s="50"/>
      <c r="B129" s="50"/>
      <c r="C129" s="50"/>
      <c r="D129" s="50"/>
      <c r="E129" s="50"/>
      <c r="F129" s="50"/>
      <c r="G129" s="51"/>
      <c r="H129" s="51"/>
      <c r="I129" s="51"/>
      <c r="J129" s="51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s="9" customFormat="1" ht="15.3" customHeight="1">
      <c r="A130" s="50"/>
      <c r="B130" s="50"/>
      <c r="C130" s="50"/>
      <c r="D130" s="50"/>
      <c r="E130" s="50"/>
      <c r="F130" s="50"/>
      <c r="G130" s="51"/>
      <c r="H130" s="51"/>
      <c r="I130" s="51"/>
      <c r="J130" s="51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s="9" customFormat="1" ht="15.3" customHeight="1">
      <c r="A131" s="50"/>
      <c r="B131" s="50"/>
      <c r="C131" s="50"/>
      <c r="D131" s="50"/>
      <c r="E131" s="50"/>
      <c r="F131" s="50"/>
      <c r="G131" s="51"/>
      <c r="H131" s="51"/>
      <c r="I131" s="51"/>
      <c r="J131" s="51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s="9" customFormat="1" ht="15.3" customHeight="1">
      <c r="A132" s="50"/>
      <c r="B132" s="50"/>
      <c r="C132" s="50"/>
      <c r="D132" s="50"/>
      <c r="E132" s="50"/>
      <c r="F132" s="50"/>
      <c r="G132" s="51"/>
      <c r="H132" s="51"/>
      <c r="I132" s="51"/>
      <c r="J132" s="51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s="9" customFormat="1" ht="15.3" customHeight="1">
      <c r="A133" s="50"/>
      <c r="B133" s="50"/>
      <c r="C133" s="50"/>
      <c r="D133" s="50"/>
      <c r="E133" s="50"/>
      <c r="F133" s="50"/>
      <c r="G133" s="51"/>
      <c r="H133" s="51"/>
      <c r="I133" s="51"/>
      <c r="J133" s="51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s="9" customFormat="1" ht="15.3" customHeight="1">
      <c r="A134" s="50"/>
      <c r="B134" s="50"/>
      <c r="C134" s="50"/>
      <c r="D134" s="50"/>
      <c r="E134" s="50"/>
      <c r="F134" s="50"/>
      <c r="G134" s="51"/>
      <c r="H134" s="51"/>
      <c r="I134" s="51"/>
      <c r="J134" s="51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s="9" customFormat="1" ht="15.3" customHeight="1">
      <c r="A135" s="50"/>
      <c r="B135" s="50"/>
      <c r="C135" s="50"/>
      <c r="D135" s="50"/>
      <c r="E135" s="50"/>
      <c r="F135" s="50"/>
      <c r="G135" s="51"/>
      <c r="H135" s="51"/>
      <c r="I135" s="51"/>
      <c r="J135" s="51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s="9" customFormat="1" ht="15.3" customHeight="1">
      <c r="A136" s="50"/>
      <c r="B136" s="50"/>
      <c r="C136" s="50"/>
      <c r="D136" s="50"/>
      <c r="E136" s="50"/>
      <c r="F136" s="50"/>
      <c r="G136" s="51"/>
      <c r="H136" s="51"/>
      <c r="I136" s="51"/>
      <c r="J136" s="51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s="9" customFormat="1" ht="15.3" customHeight="1">
      <c r="A137" s="50"/>
      <c r="B137" s="50"/>
      <c r="C137" s="50"/>
      <c r="D137" s="50"/>
      <c r="E137" s="50"/>
      <c r="F137" s="50"/>
      <c r="G137" s="51"/>
      <c r="H137" s="51"/>
      <c r="I137" s="51"/>
      <c r="J137" s="51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s="9" customFormat="1" ht="15.3" customHeight="1">
      <c r="A138" s="50"/>
      <c r="B138" s="50"/>
      <c r="C138" s="50"/>
      <c r="D138" s="50"/>
      <c r="E138" s="50"/>
      <c r="F138" s="50"/>
      <c r="G138" s="51"/>
      <c r="H138" s="51"/>
      <c r="I138" s="51"/>
      <c r="J138" s="51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s="9" customFormat="1" ht="15.3" customHeight="1">
      <c r="A139" s="50"/>
      <c r="B139" s="50"/>
      <c r="C139" s="50"/>
      <c r="D139" s="50"/>
      <c r="E139" s="50"/>
      <c r="F139" s="50"/>
      <c r="G139" s="51"/>
      <c r="H139" s="51"/>
      <c r="I139" s="51"/>
      <c r="J139" s="51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s="9" customFormat="1" ht="15.3" customHeight="1">
      <c r="A140" s="50"/>
      <c r="B140" s="50"/>
      <c r="C140" s="50"/>
      <c r="D140" s="50"/>
      <c r="E140" s="50"/>
      <c r="F140" s="50"/>
      <c r="G140" s="51"/>
      <c r="H140" s="51"/>
      <c r="I140" s="51"/>
      <c r="J140" s="51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s="9" customFormat="1" ht="15.3" customHeight="1">
      <c r="A141" s="50"/>
      <c r="B141" s="50"/>
      <c r="C141" s="50"/>
      <c r="D141" s="50"/>
      <c r="E141" s="50"/>
      <c r="F141" s="50"/>
      <c r="G141" s="51"/>
      <c r="H141" s="51"/>
      <c r="I141" s="51"/>
      <c r="J141" s="51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s="9" customFormat="1" ht="15.3" customHeight="1">
      <c r="A142" s="50"/>
      <c r="B142" s="50"/>
      <c r="C142" s="50"/>
      <c r="D142" s="50"/>
      <c r="E142" s="50"/>
      <c r="F142" s="50"/>
      <c r="G142" s="51"/>
      <c r="H142" s="51"/>
      <c r="I142" s="51"/>
      <c r="J142" s="51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s="9" customFormat="1" ht="15.3" customHeight="1">
      <c r="A143" s="50"/>
      <c r="B143" s="50"/>
      <c r="C143" s="50"/>
      <c r="D143" s="50"/>
      <c r="E143" s="50"/>
      <c r="F143" s="50"/>
      <c r="G143" s="51"/>
      <c r="H143" s="51"/>
      <c r="I143" s="51"/>
      <c r="J143" s="51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s="9" customFormat="1" ht="15.3" customHeight="1">
      <c r="A144" s="50"/>
      <c r="B144" s="50"/>
      <c r="C144" s="50"/>
      <c r="D144" s="50"/>
      <c r="E144" s="50"/>
      <c r="F144" s="50"/>
      <c r="G144" s="51"/>
      <c r="H144" s="51"/>
      <c r="I144" s="51"/>
      <c r="J144" s="51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s="9" customFormat="1" ht="15.3" customHeight="1">
      <c r="A145" s="50"/>
      <c r="B145" s="50"/>
      <c r="C145" s="50"/>
      <c r="D145" s="50"/>
      <c r="E145" s="50"/>
      <c r="F145" s="50"/>
      <c r="G145" s="51"/>
      <c r="H145" s="51"/>
      <c r="I145" s="51"/>
      <c r="J145" s="51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s="9" customFormat="1" ht="15.3" customHeight="1">
      <c r="A146" s="50"/>
      <c r="B146" s="50"/>
      <c r="C146" s="50"/>
      <c r="D146" s="50"/>
      <c r="E146" s="50"/>
      <c r="F146" s="50"/>
      <c r="G146" s="51"/>
      <c r="H146" s="51"/>
      <c r="I146" s="51"/>
      <c r="J146" s="51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s="9" customFormat="1" ht="15.3" customHeight="1">
      <c r="A147" s="50"/>
      <c r="B147" s="50"/>
      <c r="C147" s="50"/>
      <c r="D147" s="50"/>
      <c r="E147" s="50"/>
      <c r="F147" s="50"/>
      <c r="G147" s="51"/>
      <c r="H147" s="51"/>
      <c r="I147" s="51"/>
      <c r="J147" s="51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s="9" customFormat="1" ht="15.3" customHeight="1">
      <c r="A148" s="50"/>
      <c r="B148" s="50"/>
      <c r="C148" s="50"/>
      <c r="D148" s="50"/>
      <c r="E148" s="50"/>
      <c r="F148" s="50"/>
      <c r="G148" s="51"/>
      <c r="H148" s="51"/>
      <c r="I148" s="51"/>
      <c r="J148" s="51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s="9" customFormat="1" ht="15.3" customHeight="1">
      <c r="A149" s="50"/>
      <c r="B149" s="50"/>
      <c r="C149" s="50"/>
      <c r="D149" s="50"/>
      <c r="E149" s="50"/>
      <c r="F149" s="50"/>
      <c r="G149" s="51"/>
      <c r="H149" s="51"/>
      <c r="I149" s="51"/>
      <c r="J149" s="51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s="9" customFormat="1" ht="15.3" customHeight="1">
      <c r="A150" s="50"/>
      <c r="B150" s="50"/>
      <c r="C150" s="50"/>
      <c r="D150" s="50"/>
      <c r="E150" s="50"/>
      <c r="F150" s="50"/>
      <c r="G150" s="51"/>
      <c r="H150" s="51"/>
      <c r="I150" s="51"/>
      <c r="J150" s="51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s="9" customFormat="1" ht="15.3" customHeight="1">
      <c r="A151" s="50"/>
      <c r="B151" s="50"/>
      <c r="C151" s="50"/>
      <c r="D151" s="50"/>
      <c r="E151" s="50"/>
      <c r="F151" s="50"/>
      <c r="G151" s="51"/>
      <c r="H151" s="51"/>
      <c r="I151" s="51"/>
      <c r="J151" s="51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s="9" customFormat="1" ht="15.3" customHeight="1">
      <c r="A152" s="50"/>
      <c r="B152" s="50"/>
      <c r="C152" s="50"/>
      <c r="D152" s="50"/>
      <c r="E152" s="50"/>
      <c r="F152" s="50"/>
      <c r="G152" s="51"/>
      <c r="H152" s="51"/>
      <c r="I152" s="51"/>
      <c r="J152" s="51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s="9" customFormat="1" ht="15.3" customHeight="1">
      <c r="A153" s="50"/>
      <c r="B153" s="50"/>
      <c r="C153" s="50"/>
      <c r="D153" s="50"/>
      <c r="E153" s="50"/>
      <c r="F153" s="50"/>
      <c r="G153" s="51"/>
      <c r="H153" s="51"/>
      <c r="I153" s="51"/>
      <c r="J153" s="51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s="9" customFormat="1" ht="15.3" customHeight="1">
      <c r="A154" s="50"/>
      <c r="B154" s="50"/>
      <c r="C154" s="50"/>
      <c r="D154" s="50"/>
      <c r="E154" s="50"/>
      <c r="F154" s="50"/>
      <c r="G154" s="51"/>
      <c r="H154" s="51"/>
      <c r="I154" s="51"/>
      <c r="J154" s="51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s="9" customFormat="1" ht="15.3" customHeight="1">
      <c r="A155" s="50"/>
      <c r="B155" s="50"/>
      <c r="C155" s="50"/>
      <c r="D155" s="50"/>
      <c r="E155" s="50"/>
      <c r="F155" s="50"/>
      <c r="G155" s="51"/>
      <c r="H155" s="51"/>
      <c r="I155" s="51"/>
      <c r="J155" s="51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s="9" customFormat="1" ht="15.3" customHeight="1">
      <c r="A156" s="50"/>
      <c r="B156" s="50"/>
      <c r="C156" s="50"/>
      <c r="D156" s="50"/>
      <c r="E156" s="50"/>
      <c r="F156" s="50"/>
      <c r="G156" s="51"/>
      <c r="H156" s="51"/>
      <c r="I156" s="51"/>
      <c r="J156" s="51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s="9" customFormat="1" ht="15.3" customHeight="1">
      <c r="A157" s="50"/>
      <c r="B157" s="50"/>
      <c r="C157" s="50"/>
      <c r="D157" s="50"/>
      <c r="E157" s="50"/>
      <c r="F157" s="50"/>
      <c r="G157" s="51"/>
      <c r="H157" s="51"/>
      <c r="I157" s="51"/>
      <c r="J157" s="51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s="9" customFormat="1" ht="15.3" customHeight="1">
      <c r="A158" s="50"/>
      <c r="B158" s="50"/>
      <c r="C158" s="50"/>
      <c r="D158" s="50"/>
      <c r="E158" s="50"/>
      <c r="F158" s="50"/>
      <c r="G158" s="51"/>
      <c r="H158" s="51"/>
      <c r="I158" s="51"/>
      <c r="J158" s="51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s="9" customFormat="1" ht="15.3" customHeight="1">
      <c r="A159" s="50"/>
      <c r="B159" s="50"/>
      <c r="C159" s="50"/>
      <c r="D159" s="50"/>
      <c r="E159" s="50"/>
      <c r="F159" s="50"/>
      <c r="G159" s="51"/>
      <c r="H159" s="51"/>
      <c r="I159" s="51"/>
      <c r="J159" s="5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s="9" customFormat="1" ht="15.3" customHeight="1">
      <c r="A160" s="50"/>
      <c r="B160" s="50"/>
      <c r="C160" s="50"/>
      <c r="D160" s="50"/>
      <c r="E160" s="50"/>
      <c r="F160" s="50"/>
      <c r="G160" s="51"/>
      <c r="H160" s="51"/>
      <c r="I160" s="51"/>
      <c r="J160" s="51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s="9" customFormat="1" ht="15.3" customHeight="1">
      <c r="A161" s="50"/>
      <c r="B161" s="50"/>
      <c r="C161" s="50"/>
      <c r="D161" s="50"/>
      <c r="E161" s="50"/>
      <c r="F161" s="50"/>
      <c r="G161" s="51"/>
      <c r="H161" s="51"/>
      <c r="I161" s="51"/>
      <c r="J161" s="51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s="9" customFormat="1" ht="15.3" customHeight="1">
      <c r="A162" s="50"/>
      <c r="B162" s="50"/>
      <c r="C162" s="50"/>
      <c r="D162" s="50"/>
      <c r="E162" s="50"/>
      <c r="F162" s="50"/>
      <c r="G162" s="51"/>
      <c r="H162" s="51"/>
      <c r="I162" s="51"/>
      <c r="J162" s="51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s="9" customFormat="1" ht="15.3" customHeight="1">
      <c r="A163" s="50"/>
      <c r="B163" s="50"/>
      <c r="C163" s="50"/>
      <c r="D163" s="50"/>
      <c r="E163" s="50"/>
      <c r="F163" s="50"/>
      <c r="G163" s="51"/>
      <c r="H163" s="51"/>
      <c r="I163" s="51"/>
      <c r="J163" s="51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s="9" customFormat="1" ht="15.3" customHeight="1">
      <c r="A164" s="50"/>
      <c r="B164" s="50"/>
      <c r="C164" s="50"/>
      <c r="D164" s="50"/>
      <c r="E164" s="50"/>
      <c r="F164" s="50"/>
      <c r="G164" s="51"/>
      <c r="H164" s="51"/>
      <c r="I164" s="51"/>
      <c r="J164" s="51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s="9" customFormat="1" ht="15.3" customHeight="1">
      <c r="A165" s="50"/>
      <c r="B165" s="50"/>
      <c r="C165" s="50"/>
      <c r="D165" s="50"/>
      <c r="E165" s="50"/>
      <c r="F165" s="50"/>
      <c r="G165" s="51"/>
      <c r="H165" s="51"/>
      <c r="I165" s="51"/>
      <c r="J165" s="51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s="9" customFormat="1" ht="15.3" customHeight="1">
      <c r="A166" s="50"/>
      <c r="B166" s="50"/>
      <c r="C166" s="50"/>
      <c r="D166" s="50"/>
      <c r="E166" s="50"/>
      <c r="F166" s="50"/>
      <c r="G166" s="51"/>
      <c r="H166" s="51"/>
      <c r="I166" s="51"/>
      <c r="J166" s="51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s="9" customFormat="1" ht="15.3" customHeight="1">
      <c r="A167" s="50"/>
      <c r="B167" s="50"/>
      <c r="C167" s="50"/>
      <c r="D167" s="50"/>
      <c r="E167" s="50"/>
      <c r="F167" s="50"/>
      <c r="G167" s="51"/>
      <c r="H167" s="51"/>
      <c r="I167" s="51"/>
      <c r="J167" s="51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s="9" customFormat="1" ht="15.3" customHeight="1">
      <c r="A168" s="50"/>
      <c r="B168" s="50"/>
      <c r="C168" s="50"/>
      <c r="D168" s="50"/>
      <c r="E168" s="50"/>
      <c r="F168" s="50"/>
      <c r="G168" s="51"/>
      <c r="H168" s="51"/>
      <c r="I168" s="51"/>
      <c r="J168" s="51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s="9" customFormat="1" ht="15.3" customHeight="1">
      <c r="A169" s="50"/>
      <c r="B169" s="50"/>
      <c r="C169" s="50"/>
      <c r="D169" s="50"/>
      <c r="E169" s="50"/>
      <c r="F169" s="50"/>
      <c r="G169" s="51"/>
      <c r="H169" s="51"/>
      <c r="I169" s="51"/>
      <c r="J169" s="51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s="9" customFormat="1" ht="15.3" customHeight="1">
      <c r="A170" s="50"/>
      <c r="B170" s="50"/>
      <c r="C170" s="50"/>
      <c r="D170" s="50"/>
      <c r="E170" s="50"/>
      <c r="F170" s="50"/>
      <c r="G170" s="51"/>
      <c r="H170" s="51"/>
      <c r="I170" s="51"/>
      <c r="J170" s="51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s="9" customFormat="1" ht="15.3" customHeight="1">
      <c r="A171" s="50"/>
      <c r="B171" s="50"/>
      <c r="C171" s="50"/>
      <c r="D171" s="50"/>
      <c r="E171" s="50"/>
      <c r="F171" s="50"/>
      <c r="G171" s="51"/>
      <c r="H171" s="51"/>
      <c r="I171" s="51"/>
      <c r="J171" s="51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s="9" customFormat="1" ht="15.3" customHeight="1">
      <c r="A172" s="50"/>
      <c r="B172" s="50"/>
      <c r="C172" s="50"/>
      <c r="D172" s="50"/>
      <c r="E172" s="50"/>
      <c r="F172" s="50"/>
      <c r="G172" s="51"/>
      <c r="H172" s="51"/>
      <c r="I172" s="51"/>
      <c r="J172" s="51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s="9" customFormat="1" ht="15.3" customHeight="1">
      <c r="A173" s="50"/>
      <c r="B173" s="50"/>
      <c r="C173" s="50"/>
      <c r="D173" s="50"/>
      <c r="E173" s="50"/>
      <c r="F173" s="50"/>
      <c r="G173" s="51"/>
      <c r="H173" s="51"/>
      <c r="I173" s="51"/>
      <c r="J173" s="51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s="9" customFormat="1" ht="15.3" customHeight="1">
      <c r="A174" s="50"/>
      <c r="B174" s="50"/>
      <c r="C174" s="50"/>
      <c r="D174" s="50"/>
      <c r="E174" s="50"/>
      <c r="F174" s="50"/>
      <c r="G174" s="51"/>
      <c r="H174" s="51"/>
      <c r="I174" s="51"/>
      <c r="J174" s="51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s="9" customFormat="1" ht="15.3" customHeight="1">
      <c r="A175" s="50"/>
      <c r="B175" s="50"/>
      <c r="C175" s="50"/>
      <c r="D175" s="50"/>
      <c r="E175" s="50"/>
      <c r="F175" s="50"/>
      <c r="G175" s="51"/>
      <c r="H175" s="51"/>
      <c r="I175" s="51"/>
      <c r="J175" s="51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s="9" customFormat="1" ht="15.3" customHeight="1">
      <c r="A176" s="50"/>
      <c r="B176" s="50"/>
      <c r="C176" s="50"/>
      <c r="D176" s="50"/>
      <c r="E176" s="50"/>
      <c r="F176" s="50"/>
      <c r="G176" s="51"/>
      <c r="H176" s="51"/>
      <c r="I176" s="51"/>
      <c r="J176" s="51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s="9" customFormat="1" ht="15.3" customHeight="1">
      <c r="A177" s="50"/>
      <c r="B177" s="50"/>
      <c r="C177" s="50"/>
      <c r="D177" s="50"/>
      <c r="E177" s="50"/>
      <c r="F177" s="50"/>
      <c r="G177" s="51"/>
      <c r="H177" s="51"/>
      <c r="I177" s="51"/>
      <c r="J177" s="51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s="9" customFormat="1" ht="15.3" customHeight="1">
      <c r="A178" s="50"/>
      <c r="B178" s="50"/>
      <c r="C178" s="50"/>
      <c r="D178" s="50"/>
      <c r="E178" s="50"/>
      <c r="F178" s="50"/>
      <c r="G178" s="51"/>
      <c r="H178" s="51"/>
      <c r="I178" s="51"/>
      <c r="J178" s="51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s="9" customFormat="1" ht="15.3" customHeight="1">
      <c r="A179" s="50"/>
      <c r="B179" s="50"/>
      <c r="C179" s="50"/>
      <c r="D179" s="50"/>
      <c r="E179" s="50"/>
      <c r="F179" s="50"/>
      <c r="G179" s="51"/>
      <c r="H179" s="51"/>
      <c r="I179" s="51"/>
      <c r="J179" s="51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s="9" customFormat="1" ht="15.3" customHeight="1">
      <c r="A180" s="50"/>
      <c r="B180" s="50"/>
      <c r="C180" s="50"/>
      <c r="D180" s="50"/>
      <c r="E180" s="50"/>
      <c r="F180" s="50"/>
      <c r="G180" s="51"/>
      <c r="H180" s="51"/>
      <c r="I180" s="51"/>
      <c r="J180" s="51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s="9" customFormat="1" ht="15.3" customHeight="1">
      <c r="A181" s="50"/>
      <c r="B181" s="50"/>
      <c r="C181" s="50"/>
      <c r="D181" s="50"/>
      <c r="E181" s="50"/>
      <c r="F181" s="50"/>
      <c r="G181" s="51"/>
      <c r="H181" s="51"/>
      <c r="I181" s="51"/>
      <c r="J181" s="51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s="9" customFormat="1" ht="15.3" customHeight="1">
      <c r="A182" s="50"/>
      <c r="B182" s="50"/>
      <c r="C182" s="50"/>
      <c r="D182" s="50"/>
      <c r="E182" s="50"/>
      <c r="F182" s="50"/>
      <c r="G182" s="51"/>
      <c r="H182" s="51"/>
      <c r="I182" s="51"/>
      <c r="J182" s="51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s="9" customFormat="1" ht="15.3" customHeight="1">
      <c r="A183" s="50"/>
      <c r="B183" s="50"/>
      <c r="C183" s="50"/>
      <c r="D183" s="50"/>
      <c r="E183" s="50"/>
      <c r="F183" s="50"/>
      <c r="G183" s="51"/>
      <c r="H183" s="51"/>
      <c r="I183" s="51"/>
      <c r="J183" s="51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s="9" customFormat="1" ht="15.3" customHeight="1">
      <c r="A184" s="50"/>
      <c r="B184" s="50"/>
      <c r="C184" s="50"/>
      <c r="D184" s="50"/>
      <c r="E184" s="50"/>
      <c r="F184" s="50"/>
      <c r="G184" s="51"/>
      <c r="H184" s="51"/>
      <c r="I184" s="51"/>
      <c r="J184" s="51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s="9" customFormat="1" ht="15.3" customHeight="1">
      <c r="A185" s="50"/>
      <c r="B185" s="50"/>
      <c r="C185" s="50"/>
      <c r="D185" s="50"/>
      <c r="E185" s="50"/>
      <c r="F185" s="50"/>
      <c r="G185" s="51"/>
      <c r="H185" s="51"/>
      <c r="I185" s="51"/>
      <c r="J185" s="51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s="9" customFormat="1" ht="15.3" customHeight="1">
      <c r="A186" s="50"/>
      <c r="B186" s="50"/>
      <c r="C186" s="50"/>
      <c r="D186" s="50"/>
      <c r="E186" s="50"/>
      <c r="F186" s="50"/>
      <c r="G186" s="51"/>
      <c r="H186" s="51"/>
      <c r="I186" s="51"/>
      <c r="J186" s="51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s="9" customFormat="1" ht="15.3" customHeight="1">
      <c r="A187" s="50"/>
      <c r="B187" s="50"/>
      <c r="C187" s="50"/>
      <c r="D187" s="50"/>
      <c r="E187" s="50"/>
      <c r="F187" s="50"/>
      <c r="G187" s="51"/>
      <c r="H187" s="51"/>
      <c r="I187" s="51"/>
      <c r="J187" s="51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s="9" customFormat="1" ht="15.3" customHeight="1">
      <c r="A188" s="50"/>
      <c r="B188" s="50"/>
      <c r="C188" s="50"/>
      <c r="D188" s="50"/>
      <c r="E188" s="50"/>
      <c r="F188" s="50"/>
      <c r="G188" s="51"/>
      <c r="H188" s="51"/>
      <c r="I188" s="51"/>
      <c r="J188" s="51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s="9" customFormat="1" ht="15.3" customHeight="1">
      <c r="A189" s="50"/>
      <c r="B189" s="50"/>
      <c r="C189" s="50"/>
      <c r="D189" s="50"/>
      <c r="E189" s="50"/>
      <c r="F189" s="50"/>
      <c r="G189" s="51"/>
      <c r="H189" s="51"/>
      <c r="I189" s="51"/>
      <c r="J189" s="51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s="9" customFormat="1" ht="15.3" customHeight="1">
      <c r="A190" s="50"/>
      <c r="B190" s="50"/>
      <c r="C190" s="50"/>
      <c r="D190" s="50"/>
      <c r="E190" s="50"/>
      <c r="F190" s="50"/>
      <c r="G190" s="51"/>
      <c r="H190" s="51"/>
      <c r="I190" s="51"/>
      <c r="J190" s="51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s="9" customFormat="1" ht="15.3" customHeight="1">
      <c r="A191" s="50"/>
      <c r="B191" s="50"/>
      <c r="C191" s="50"/>
      <c r="D191" s="50"/>
      <c r="E191" s="50"/>
      <c r="F191" s="50"/>
      <c r="G191" s="51"/>
      <c r="H191" s="51"/>
      <c r="I191" s="51"/>
      <c r="J191" s="51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s="9" customFormat="1" ht="15.3" customHeight="1">
      <c r="A192" s="116"/>
      <c r="B192" s="116"/>
      <c r="C192" s="116"/>
      <c r="D192" s="116"/>
      <c r="E192" s="116"/>
      <c r="F192" s="62"/>
      <c r="G192" s="63"/>
      <c r="H192" s="63"/>
      <c r="I192" s="63"/>
      <c r="J192" s="63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8.3" customHeight="1">
      <c r="A193" s="22"/>
      <c r="B193" s="20"/>
      <c r="C193" s="20"/>
      <c r="D193" s="20"/>
      <c r="E193" s="20"/>
      <c r="F193" s="20"/>
      <c r="G193" s="14"/>
      <c r="H193" s="14"/>
      <c r="I193" s="14"/>
      <c r="J193" s="17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5.6">
      <c r="A194" s="22"/>
      <c r="B194" s="20"/>
      <c r="C194" s="20"/>
      <c r="D194" s="20"/>
      <c r="E194" s="20"/>
      <c r="F194" s="20"/>
      <c r="G194" s="14"/>
      <c r="H194" s="14"/>
      <c r="I194" s="14"/>
      <c r="J194" s="17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5.6">
      <c r="A195" s="22"/>
      <c r="B195" s="20"/>
      <c r="C195" s="20"/>
      <c r="D195" s="20"/>
      <c r="E195" s="20"/>
      <c r="F195" s="20"/>
      <c r="G195" s="14"/>
      <c r="H195" s="14"/>
      <c r="I195" s="14"/>
      <c r="J195" s="17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5.6">
      <c r="A196" s="22"/>
      <c r="B196" s="20"/>
      <c r="C196" s="20"/>
      <c r="D196" s="20"/>
      <c r="E196" s="20"/>
      <c r="F196" s="20"/>
      <c r="G196" s="14"/>
      <c r="H196" s="14"/>
      <c r="I196" s="14"/>
      <c r="J196" s="17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5.6">
      <c r="A197" s="22"/>
      <c r="B197" s="20"/>
      <c r="C197" s="20"/>
      <c r="D197" s="20"/>
      <c r="E197" s="20"/>
      <c r="F197" s="20"/>
      <c r="G197" s="14"/>
      <c r="H197" s="14"/>
      <c r="I197" s="14"/>
      <c r="J197" s="17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5.6">
      <c r="A198" s="22"/>
      <c r="B198" s="20"/>
      <c r="C198" s="20"/>
      <c r="D198" s="20"/>
      <c r="E198" s="20"/>
      <c r="F198" s="20"/>
      <c r="G198" s="14"/>
      <c r="H198" s="14"/>
      <c r="I198" s="14"/>
      <c r="J198" s="17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5.6">
      <c r="A199" s="22"/>
      <c r="B199" s="20"/>
      <c r="C199" s="20"/>
      <c r="D199" s="20"/>
      <c r="E199" s="20"/>
      <c r="F199" s="20"/>
      <c r="G199" s="14"/>
      <c r="H199" s="14"/>
      <c r="I199" s="14"/>
      <c r="J199" s="17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5.6">
      <c r="A200" s="22"/>
      <c r="B200" s="20"/>
      <c r="C200" s="20"/>
      <c r="D200" s="20"/>
      <c r="E200" s="20"/>
      <c r="F200" s="20"/>
      <c r="G200" s="14"/>
      <c r="H200" s="14"/>
      <c r="I200" s="14"/>
      <c r="J200" s="17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5.6">
      <c r="A201" s="22"/>
      <c r="B201" s="20"/>
      <c r="C201" s="20"/>
      <c r="D201" s="20"/>
      <c r="E201" s="20"/>
      <c r="F201" s="20"/>
      <c r="G201" s="14"/>
      <c r="H201" s="14"/>
      <c r="I201" s="14"/>
      <c r="J201" s="17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5.6">
      <c r="A202" s="22"/>
      <c r="B202" s="20"/>
      <c r="C202" s="20"/>
      <c r="D202" s="20"/>
      <c r="E202" s="20"/>
      <c r="F202" s="20"/>
      <c r="G202" s="14"/>
      <c r="H202" s="14"/>
      <c r="I202" s="14"/>
      <c r="J202" s="17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5.6">
      <c r="A203" s="22"/>
      <c r="B203" s="20"/>
      <c r="C203" s="20"/>
      <c r="D203" s="20"/>
      <c r="E203" s="20"/>
      <c r="F203" s="20"/>
      <c r="G203" s="14"/>
      <c r="H203" s="14"/>
      <c r="I203" s="14"/>
      <c r="J203" s="17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5.6">
      <c r="A204" s="22"/>
      <c r="B204" s="20"/>
      <c r="C204" s="20"/>
      <c r="D204" s="20"/>
      <c r="E204" s="20"/>
      <c r="F204" s="20"/>
      <c r="G204" s="14"/>
      <c r="H204" s="14"/>
      <c r="I204" s="14"/>
      <c r="J204" s="17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5.6">
      <c r="A205" s="22"/>
      <c r="B205" s="20"/>
      <c r="C205" s="20"/>
      <c r="D205" s="20"/>
      <c r="E205" s="20"/>
      <c r="F205" s="20"/>
      <c r="G205" s="14"/>
      <c r="H205" s="14"/>
      <c r="I205" s="14"/>
      <c r="J205" s="17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5.6">
      <c r="A206" s="22"/>
      <c r="B206" s="20"/>
      <c r="C206" s="20"/>
      <c r="D206" s="20"/>
      <c r="E206" s="20"/>
      <c r="F206" s="20"/>
      <c r="G206" s="14"/>
      <c r="H206" s="14"/>
      <c r="I206" s="14"/>
      <c r="J206" s="17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5.6">
      <c r="A207" s="22"/>
      <c r="B207" s="20"/>
      <c r="C207" s="20"/>
      <c r="D207" s="20"/>
      <c r="E207" s="20"/>
      <c r="F207" s="20"/>
      <c r="G207" s="14"/>
      <c r="H207" s="14"/>
      <c r="I207" s="14"/>
      <c r="J207" s="17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5.6">
      <c r="A208" s="22"/>
      <c r="B208" s="20"/>
      <c r="C208" s="20"/>
      <c r="D208" s="20"/>
      <c r="E208" s="20"/>
      <c r="F208" s="20"/>
      <c r="G208" s="14"/>
      <c r="H208" s="14"/>
      <c r="I208" s="14"/>
      <c r="J208" s="17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5.6">
      <c r="A209" s="22"/>
      <c r="B209" s="20"/>
      <c r="C209" s="20"/>
      <c r="D209" s="20"/>
      <c r="E209" s="20"/>
      <c r="F209" s="20"/>
      <c r="G209" s="14"/>
      <c r="H209" s="14"/>
      <c r="I209" s="14"/>
      <c r="J209" s="17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5.6">
      <c r="A210" s="22"/>
      <c r="B210" s="20"/>
      <c r="C210" s="20"/>
      <c r="D210" s="20"/>
      <c r="E210" s="20"/>
      <c r="F210" s="20"/>
      <c r="G210" s="14"/>
      <c r="H210" s="14"/>
      <c r="I210" s="14"/>
      <c r="J210" s="17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5.6">
      <c r="A211" s="22"/>
      <c r="B211" s="20"/>
      <c r="C211" s="20"/>
      <c r="D211" s="20"/>
      <c r="E211" s="20"/>
      <c r="F211" s="20"/>
      <c r="G211" s="14"/>
      <c r="H211" s="14"/>
      <c r="I211" s="14"/>
      <c r="J211" s="17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5.6">
      <c r="A212" s="22"/>
      <c r="B212" s="20"/>
      <c r="C212" s="20"/>
      <c r="D212" s="20"/>
      <c r="E212" s="20"/>
      <c r="F212" s="20"/>
      <c r="G212" s="14"/>
      <c r="H212" s="14"/>
      <c r="I212" s="14"/>
      <c r="J212" s="17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5.6">
      <c r="A213" s="22"/>
      <c r="B213" s="20"/>
      <c r="C213" s="20"/>
      <c r="D213" s="20"/>
      <c r="E213" s="20"/>
      <c r="F213" s="20"/>
      <c r="G213" s="14"/>
      <c r="H213" s="14"/>
      <c r="I213" s="14"/>
      <c r="J213" s="17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5.6">
      <c r="A214" s="22"/>
      <c r="B214" s="20"/>
      <c r="C214" s="20"/>
      <c r="D214" s="20"/>
      <c r="E214" s="20"/>
      <c r="F214" s="20"/>
      <c r="G214" s="14"/>
      <c r="H214" s="14"/>
      <c r="I214" s="14"/>
      <c r="J214" s="17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5.6">
      <c r="A215" s="22"/>
      <c r="B215" s="20"/>
      <c r="C215" s="20"/>
      <c r="D215" s="20"/>
      <c r="E215" s="20"/>
      <c r="F215" s="20"/>
      <c r="G215" s="14"/>
      <c r="H215" s="14"/>
      <c r="I215" s="14"/>
      <c r="J215" s="17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5.6">
      <c r="A216" s="22"/>
      <c r="B216" s="20"/>
      <c r="C216" s="20"/>
      <c r="D216" s="20"/>
      <c r="E216" s="20"/>
      <c r="F216" s="20"/>
      <c r="G216" s="14"/>
      <c r="H216" s="14"/>
      <c r="I216" s="14"/>
      <c r="J216" s="17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5.6">
      <c r="A217" s="22"/>
      <c r="B217" s="20"/>
      <c r="C217" s="20"/>
      <c r="D217" s="20"/>
      <c r="E217" s="20"/>
      <c r="F217" s="20"/>
      <c r="G217" s="14"/>
      <c r="H217" s="14"/>
      <c r="I217" s="14"/>
      <c r="J217" s="17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5.6">
      <c r="A218" s="22"/>
      <c r="B218" s="20"/>
      <c r="C218" s="20"/>
      <c r="D218" s="20"/>
      <c r="E218" s="20"/>
      <c r="F218" s="20"/>
      <c r="G218" s="14"/>
      <c r="H218" s="14"/>
      <c r="I218" s="14"/>
      <c r="J218" s="17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5.6">
      <c r="A219" s="22"/>
      <c r="B219" s="20"/>
      <c r="C219" s="20"/>
      <c r="D219" s="20"/>
      <c r="E219" s="20"/>
      <c r="F219" s="20"/>
      <c r="G219" s="14"/>
      <c r="H219" s="14"/>
      <c r="I219" s="14"/>
      <c r="J219" s="17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5.6">
      <c r="A220" s="22"/>
      <c r="B220" s="20"/>
      <c r="C220" s="20"/>
      <c r="D220" s="20"/>
      <c r="E220" s="20"/>
      <c r="F220" s="20"/>
      <c r="G220" s="14"/>
      <c r="H220" s="14"/>
      <c r="I220" s="14"/>
      <c r="J220" s="17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5.6">
      <c r="A221" s="22"/>
      <c r="B221" s="20"/>
      <c r="C221" s="20"/>
      <c r="D221" s="20"/>
      <c r="E221" s="20"/>
      <c r="F221" s="20"/>
      <c r="G221" s="14"/>
      <c r="H221" s="14"/>
      <c r="I221" s="14"/>
      <c r="J221" s="17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5.6">
      <c r="A222" s="22"/>
      <c r="B222" s="20"/>
      <c r="C222" s="20"/>
      <c r="D222" s="20"/>
      <c r="E222" s="20"/>
      <c r="F222" s="20"/>
      <c r="G222" s="14"/>
      <c r="H222" s="14"/>
      <c r="I222" s="14"/>
      <c r="J222" s="17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5.6">
      <c r="A223" s="22"/>
      <c r="B223" s="20"/>
      <c r="C223" s="20"/>
      <c r="D223" s="20"/>
      <c r="E223" s="20"/>
      <c r="F223" s="20"/>
      <c r="G223" s="14"/>
      <c r="H223" s="14"/>
      <c r="I223" s="14"/>
      <c r="J223" s="17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5.6">
      <c r="A224" s="22"/>
      <c r="B224" s="20"/>
      <c r="C224" s="20"/>
      <c r="D224" s="20"/>
      <c r="E224" s="20"/>
      <c r="F224" s="20"/>
      <c r="G224" s="14"/>
      <c r="H224" s="14"/>
      <c r="I224" s="14"/>
      <c r="J224" s="17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5.6">
      <c r="A225" s="22"/>
      <c r="B225" s="20"/>
      <c r="C225" s="20"/>
      <c r="D225" s="20"/>
      <c r="E225" s="20"/>
      <c r="F225" s="20"/>
      <c r="G225" s="14"/>
      <c r="H225" s="14"/>
      <c r="I225" s="14"/>
      <c r="J225" s="17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5.6">
      <c r="A226" s="22"/>
      <c r="B226" s="20"/>
      <c r="C226" s="20"/>
      <c r="D226" s="20"/>
      <c r="E226" s="20"/>
      <c r="F226" s="20"/>
      <c r="G226" s="14"/>
      <c r="H226" s="14"/>
      <c r="I226" s="14"/>
      <c r="J226" s="17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5.6">
      <c r="A227" s="22"/>
      <c r="B227" s="20"/>
      <c r="C227" s="20"/>
      <c r="D227" s="20"/>
      <c r="E227" s="20"/>
      <c r="F227" s="20"/>
      <c r="G227" s="14"/>
      <c r="H227" s="14"/>
      <c r="I227" s="14"/>
      <c r="J227" s="17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5.6">
      <c r="A228" s="22"/>
      <c r="B228" s="20"/>
      <c r="C228" s="20"/>
      <c r="D228" s="20"/>
      <c r="E228" s="20"/>
      <c r="F228" s="20"/>
      <c r="G228" s="14"/>
      <c r="H228" s="14"/>
      <c r="I228" s="14"/>
      <c r="J228" s="17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5.6">
      <c r="A229" s="22"/>
      <c r="B229" s="20"/>
      <c r="C229" s="20"/>
      <c r="D229" s="20"/>
      <c r="E229" s="20"/>
      <c r="F229" s="20"/>
      <c r="G229" s="14"/>
      <c r="H229" s="14"/>
      <c r="I229" s="14"/>
      <c r="J229" s="17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5.6">
      <c r="A230" s="22"/>
      <c r="B230" s="20"/>
      <c r="C230" s="20"/>
      <c r="D230" s="20"/>
      <c r="E230" s="20"/>
      <c r="F230" s="20"/>
      <c r="G230" s="14"/>
      <c r="H230" s="14"/>
      <c r="I230" s="14"/>
      <c r="J230" s="17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5.6">
      <c r="A231" s="22"/>
      <c r="B231" s="20"/>
      <c r="C231" s="20"/>
      <c r="D231" s="20"/>
      <c r="E231" s="20"/>
      <c r="F231" s="20"/>
      <c r="G231" s="14"/>
      <c r="H231" s="14"/>
      <c r="I231" s="14"/>
      <c r="J231" s="17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5.6">
      <c r="A232" s="22"/>
      <c r="B232" s="20"/>
      <c r="C232" s="20"/>
      <c r="D232" s="20"/>
      <c r="E232" s="20"/>
      <c r="F232" s="20"/>
      <c r="G232" s="14"/>
      <c r="H232" s="14"/>
      <c r="I232" s="14"/>
      <c r="J232" s="17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5.6">
      <c r="A233" s="22"/>
      <c r="B233" s="20"/>
      <c r="C233" s="20"/>
      <c r="D233" s="20"/>
      <c r="E233" s="20"/>
      <c r="F233" s="20"/>
      <c r="G233" s="14"/>
      <c r="H233" s="14"/>
      <c r="I233" s="14"/>
      <c r="J233" s="17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5.6">
      <c r="A234" s="22"/>
      <c r="B234" s="20"/>
      <c r="C234" s="20"/>
      <c r="D234" s="20"/>
      <c r="E234" s="20"/>
      <c r="F234" s="20"/>
      <c r="G234" s="14"/>
      <c r="H234" s="14"/>
      <c r="I234" s="14"/>
      <c r="J234" s="17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5.6">
      <c r="A235" s="22"/>
      <c r="B235" s="20"/>
      <c r="C235" s="20"/>
      <c r="D235" s="20"/>
      <c r="E235" s="20"/>
      <c r="F235" s="20"/>
      <c r="G235" s="14"/>
      <c r="H235" s="14"/>
      <c r="I235" s="14"/>
      <c r="J235" s="17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5.6">
      <c r="A236" s="22"/>
      <c r="B236" s="20"/>
      <c r="C236" s="20"/>
      <c r="D236" s="20"/>
      <c r="E236" s="20"/>
      <c r="F236" s="20"/>
      <c r="G236" s="14"/>
      <c r="H236" s="14"/>
      <c r="I236" s="14"/>
      <c r="J236" s="17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5.6">
      <c r="A237" s="22"/>
      <c r="B237" s="20"/>
      <c r="C237" s="20"/>
      <c r="D237" s="20"/>
      <c r="E237" s="20"/>
      <c r="F237" s="20"/>
      <c r="G237" s="14"/>
      <c r="H237" s="14"/>
      <c r="I237" s="14"/>
      <c r="J237" s="17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5.6">
      <c r="A238" s="22"/>
      <c r="B238" s="20"/>
      <c r="C238" s="20"/>
      <c r="D238" s="20"/>
      <c r="E238" s="20"/>
      <c r="F238" s="20"/>
      <c r="G238" s="14"/>
      <c r="H238" s="14"/>
      <c r="I238" s="14"/>
      <c r="J238" s="17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5.6">
      <c r="A239" s="22"/>
      <c r="B239" s="20"/>
      <c r="C239" s="20"/>
      <c r="D239" s="20"/>
      <c r="E239" s="20"/>
      <c r="F239" s="20"/>
      <c r="G239" s="14"/>
      <c r="H239" s="14"/>
      <c r="I239" s="14"/>
      <c r="J239" s="17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5.6">
      <c r="A240" s="22"/>
      <c r="B240" s="20"/>
      <c r="C240" s="20"/>
      <c r="D240" s="20"/>
      <c r="E240" s="20"/>
      <c r="F240" s="20"/>
      <c r="G240" s="14"/>
      <c r="H240" s="14"/>
      <c r="I240" s="14"/>
      <c r="J240" s="17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5.6">
      <c r="A241" s="22"/>
      <c r="B241" s="20"/>
      <c r="C241" s="20"/>
      <c r="D241" s="20"/>
      <c r="E241" s="20"/>
      <c r="F241" s="20"/>
      <c r="G241" s="14"/>
      <c r="H241" s="14"/>
      <c r="I241" s="14"/>
      <c r="J241" s="17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5.6">
      <c r="A242" s="22"/>
      <c r="B242" s="20"/>
      <c r="C242" s="20"/>
      <c r="D242" s="20"/>
      <c r="E242" s="20"/>
      <c r="F242" s="20"/>
      <c r="G242" s="14"/>
      <c r="H242" s="14"/>
      <c r="I242" s="14"/>
      <c r="J242" s="17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5.6">
      <c r="A243" s="22"/>
      <c r="B243" s="20"/>
      <c r="C243" s="20"/>
      <c r="D243" s="20"/>
      <c r="E243" s="20"/>
      <c r="F243" s="20"/>
      <c r="G243" s="14"/>
      <c r="H243" s="14"/>
      <c r="I243" s="14"/>
      <c r="J243" s="17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5.6">
      <c r="A244" s="22"/>
      <c r="B244" s="20"/>
      <c r="C244" s="20"/>
      <c r="D244" s="20"/>
      <c r="E244" s="20"/>
      <c r="F244" s="20"/>
      <c r="G244" s="14"/>
      <c r="H244" s="14"/>
      <c r="I244" s="14"/>
      <c r="J244" s="17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5.6">
      <c r="A245" s="22"/>
      <c r="B245" s="20"/>
      <c r="C245" s="20"/>
      <c r="D245" s="20"/>
      <c r="E245" s="20"/>
      <c r="F245" s="20"/>
      <c r="G245" s="14"/>
      <c r="H245" s="14"/>
      <c r="I245" s="14"/>
      <c r="J245" s="17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5.6">
      <c r="A246" s="22"/>
      <c r="B246" s="20"/>
      <c r="C246" s="20"/>
      <c r="D246" s="20"/>
      <c r="E246" s="20"/>
      <c r="F246" s="20"/>
      <c r="G246" s="14"/>
      <c r="H246" s="14"/>
      <c r="I246" s="14"/>
      <c r="J246" s="17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5.6">
      <c r="A247" s="22"/>
      <c r="B247" s="20"/>
      <c r="C247" s="20"/>
      <c r="D247" s="20"/>
      <c r="E247" s="20"/>
      <c r="F247" s="20"/>
      <c r="G247" s="14"/>
      <c r="H247" s="14"/>
      <c r="I247" s="14"/>
      <c r="J247" s="17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5.6">
      <c r="A248" s="22"/>
      <c r="B248" s="20"/>
      <c r="C248" s="20"/>
      <c r="D248" s="20"/>
      <c r="E248" s="20"/>
      <c r="F248" s="20"/>
      <c r="G248" s="14"/>
      <c r="H248" s="14"/>
      <c r="I248" s="14"/>
      <c r="J248" s="17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5.6">
      <c r="A249" s="22"/>
      <c r="B249" s="20"/>
      <c r="C249" s="20"/>
      <c r="D249" s="20"/>
      <c r="E249" s="20"/>
      <c r="F249" s="20"/>
      <c r="G249" s="14"/>
      <c r="H249" s="14"/>
      <c r="I249" s="14"/>
      <c r="J249" s="17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5.6">
      <c r="A250" s="22"/>
      <c r="B250" s="20"/>
      <c r="C250" s="20"/>
      <c r="D250" s="20"/>
      <c r="E250" s="20"/>
      <c r="F250" s="20"/>
      <c r="G250" s="14"/>
      <c r="H250" s="14"/>
      <c r="I250" s="14"/>
      <c r="J250" s="17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5.6">
      <c r="A251" s="22"/>
      <c r="B251" s="20"/>
      <c r="C251" s="20"/>
      <c r="D251" s="20"/>
      <c r="E251" s="20"/>
      <c r="F251" s="20"/>
      <c r="G251" s="14"/>
      <c r="H251" s="14"/>
      <c r="I251" s="14"/>
      <c r="J251" s="17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5.6">
      <c r="A252" s="22"/>
      <c r="B252" s="20"/>
      <c r="C252" s="20"/>
      <c r="D252" s="20"/>
      <c r="E252" s="20"/>
      <c r="F252" s="20"/>
      <c r="G252" s="14"/>
      <c r="H252" s="14"/>
      <c r="I252" s="14"/>
      <c r="J252" s="17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5.6">
      <c r="A253" s="22"/>
      <c r="B253" s="20"/>
      <c r="C253" s="20"/>
      <c r="D253" s="20"/>
      <c r="E253" s="20"/>
      <c r="F253" s="20"/>
      <c r="G253" s="14"/>
      <c r="H253" s="14"/>
      <c r="I253" s="14"/>
      <c r="J253" s="17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5.6">
      <c r="A254" s="22"/>
      <c r="B254" s="20"/>
      <c r="C254" s="20"/>
      <c r="D254" s="20"/>
      <c r="E254" s="20"/>
      <c r="F254" s="20"/>
      <c r="G254" s="14"/>
      <c r="H254" s="14"/>
      <c r="I254" s="14"/>
      <c r="J254" s="17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5.6">
      <c r="A255" s="22"/>
      <c r="B255" s="20"/>
      <c r="C255" s="20"/>
      <c r="D255" s="20"/>
      <c r="E255" s="20"/>
      <c r="F255" s="20"/>
      <c r="G255" s="14"/>
      <c r="H255" s="14"/>
      <c r="I255" s="14"/>
      <c r="J255" s="17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5.6">
      <c r="A256" s="22"/>
      <c r="B256" s="20"/>
      <c r="C256" s="20"/>
      <c r="D256" s="20"/>
      <c r="E256" s="20"/>
      <c r="F256" s="20"/>
      <c r="G256" s="14"/>
      <c r="H256" s="14"/>
      <c r="I256" s="14"/>
      <c r="J256" s="17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5.6">
      <c r="A257" s="22"/>
      <c r="B257" s="20"/>
      <c r="C257" s="20"/>
      <c r="D257" s="20"/>
      <c r="E257" s="20"/>
      <c r="F257" s="20"/>
      <c r="G257" s="14"/>
      <c r="H257" s="14"/>
      <c r="I257" s="14"/>
      <c r="J257" s="17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5.6">
      <c r="A258" s="22"/>
      <c r="B258" s="20"/>
      <c r="C258" s="20"/>
      <c r="D258" s="20"/>
      <c r="E258" s="20"/>
      <c r="F258" s="20"/>
      <c r="G258" s="14"/>
      <c r="H258" s="14"/>
      <c r="I258" s="14"/>
      <c r="J258" s="17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5.6">
      <c r="A259" s="22"/>
      <c r="B259" s="20"/>
      <c r="C259" s="20"/>
      <c r="D259" s="20"/>
      <c r="E259" s="20"/>
      <c r="F259" s="20"/>
      <c r="G259" s="14"/>
      <c r="H259" s="14"/>
      <c r="I259" s="14"/>
      <c r="J259" s="17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5.6">
      <c r="A260" s="22"/>
      <c r="B260" s="20"/>
      <c r="C260" s="20"/>
      <c r="D260" s="20"/>
      <c r="E260" s="20"/>
      <c r="F260" s="20"/>
      <c r="G260" s="14"/>
      <c r="H260" s="14"/>
      <c r="I260" s="14"/>
      <c r="J260" s="17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5.6">
      <c r="A261" s="22"/>
      <c r="B261" s="20"/>
      <c r="C261" s="20"/>
      <c r="D261" s="20"/>
      <c r="E261" s="20"/>
      <c r="F261" s="20"/>
      <c r="G261" s="14"/>
      <c r="H261" s="14"/>
      <c r="I261" s="14"/>
      <c r="J261" s="17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5.6">
      <c r="A262" s="22"/>
      <c r="B262" s="20"/>
      <c r="C262" s="20"/>
      <c r="D262" s="20"/>
      <c r="E262" s="20"/>
      <c r="F262" s="20"/>
      <c r="G262" s="14"/>
      <c r="H262" s="14"/>
      <c r="I262" s="14"/>
      <c r="J262" s="17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5.6">
      <c r="A263" s="22"/>
      <c r="B263" s="20"/>
      <c r="C263" s="20"/>
      <c r="D263" s="20"/>
      <c r="E263" s="20"/>
      <c r="F263" s="20"/>
      <c r="G263" s="14"/>
      <c r="H263" s="14"/>
      <c r="I263" s="14"/>
      <c r="J263" s="17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5.6">
      <c r="A264" s="22"/>
      <c r="B264" s="20"/>
      <c r="C264" s="20"/>
      <c r="D264" s="20"/>
      <c r="E264" s="20"/>
      <c r="F264" s="20"/>
      <c r="G264" s="14"/>
      <c r="H264" s="14"/>
      <c r="I264" s="14"/>
      <c r="J264" s="17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5.6">
      <c r="A265" s="22"/>
      <c r="B265" s="20"/>
      <c r="C265" s="20"/>
      <c r="D265" s="20"/>
      <c r="E265" s="20"/>
      <c r="F265" s="20"/>
      <c r="G265" s="14"/>
      <c r="H265" s="14"/>
      <c r="I265" s="14"/>
      <c r="J265" s="17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5.6">
      <c r="A266" s="22"/>
      <c r="B266" s="20"/>
      <c r="C266" s="20"/>
      <c r="D266" s="20"/>
      <c r="E266" s="20"/>
      <c r="F266" s="20"/>
      <c r="G266" s="14"/>
      <c r="H266" s="14"/>
      <c r="I266" s="14"/>
      <c r="J266" s="17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5.6">
      <c r="A267" s="22"/>
      <c r="B267" s="20"/>
      <c r="C267" s="20"/>
      <c r="D267" s="20"/>
      <c r="E267" s="20"/>
      <c r="F267" s="20"/>
      <c r="G267" s="14"/>
      <c r="H267" s="14"/>
      <c r="I267" s="14"/>
      <c r="J267" s="17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5.6">
      <c r="A268" s="22"/>
      <c r="B268" s="20"/>
      <c r="C268" s="20"/>
      <c r="D268" s="20"/>
      <c r="E268" s="20"/>
      <c r="F268" s="20"/>
      <c r="G268" s="14"/>
      <c r="H268" s="14"/>
      <c r="I268" s="14"/>
      <c r="J268" s="17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5.6">
      <c r="A269" s="22"/>
      <c r="B269" s="20"/>
      <c r="C269" s="20"/>
      <c r="D269" s="20"/>
      <c r="E269" s="20"/>
      <c r="F269" s="20"/>
      <c r="G269" s="14"/>
      <c r="H269" s="14"/>
      <c r="I269" s="14"/>
      <c r="J269" s="17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5.6">
      <c r="A270" s="22"/>
      <c r="B270" s="20"/>
      <c r="C270" s="20"/>
      <c r="D270" s="20"/>
      <c r="E270" s="20"/>
      <c r="F270" s="20"/>
      <c r="G270" s="14"/>
      <c r="H270" s="14"/>
      <c r="I270" s="14"/>
      <c r="J270" s="17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5.6">
      <c r="A271" s="22"/>
      <c r="B271" s="20"/>
      <c r="C271" s="20"/>
      <c r="D271" s="20"/>
      <c r="E271" s="20"/>
      <c r="F271" s="20"/>
      <c r="G271" s="14"/>
      <c r="H271" s="14"/>
      <c r="I271" s="14"/>
      <c r="J271" s="17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5.6">
      <c r="A272" s="22"/>
      <c r="B272" s="20"/>
      <c r="C272" s="20"/>
      <c r="D272" s="20"/>
      <c r="E272" s="20"/>
      <c r="F272" s="20"/>
      <c r="G272" s="14"/>
      <c r="H272" s="14"/>
      <c r="I272" s="14"/>
      <c r="J272" s="17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5.6">
      <c r="A273" s="22"/>
      <c r="B273" s="20"/>
      <c r="C273" s="20"/>
      <c r="D273" s="20"/>
      <c r="E273" s="20"/>
      <c r="F273" s="20"/>
      <c r="G273" s="14"/>
      <c r="H273" s="14"/>
      <c r="I273" s="14"/>
      <c r="J273" s="17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5.6">
      <c r="A274" s="22"/>
      <c r="B274" s="20"/>
      <c r="C274" s="20"/>
      <c r="D274" s="20"/>
      <c r="E274" s="20"/>
      <c r="F274" s="20"/>
      <c r="G274" s="14"/>
      <c r="H274" s="14"/>
      <c r="I274" s="14"/>
      <c r="J274" s="17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5.6">
      <c r="A275" s="22"/>
      <c r="B275" s="20"/>
      <c r="C275" s="20"/>
      <c r="D275" s="20"/>
      <c r="E275" s="20"/>
      <c r="F275" s="20"/>
      <c r="G275" s="14"/>
      <c r="H275" s="14"/>
      <c r="I275" s="14"/>
      <c r="J275" s="17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5.6">
      <c r="A276" s="22"/>
      <c r="B276" s="20"/>
      <c r="C276" s="20"/>
      <c r="D276" s="20"/>
      <c r="E276" s="20"/>
      <c r="F276" s="20"/>
      <c r="G276" s="14"/>
      <c r="H276" s="14"/>
      <c r="I276" s="14"/>
      <c r="J276" s="17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5.6">
      <c r="A277" s="22"/>
      <c r="B277" s="20"/>
      <c r="C277" s="20"/>
      <c r="D277" s="20"/>
      <c r="E277" s="20"/>
      <c r="F277" s="20"/>
      <c r="G277" s="14"/>
      <c r="H277" s="14"/>
      <c r="I277" s="14"/>
      <c r="J277" s="17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5.6">
      <c r="A278" s="22"/>
      <c r="B278" s="20"/>
      <c r="C278" s="20"/>
      <c r="D278" s="20"/>
      <c r="E278" s="20"/>
      <c r="F278" s="20"/>
      <c r="G278" s="14"/>
      <c r="H278" s="14"/>
      <c r="I278" s="14"/>
      <c r="J278" s="17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5.6">
      <c r="A279" s="22"/>
      <c r="B279" s="20"/>
      <c r="C279" s="20"/>
      <c r="D279" s="20"/>
      <c r="E279" s="20"/>
      <c r="F279" s="20"/>
      <c r="G279" s="14"/>
      <c r="H279" s="14"/>
      <c r="I279" s="14"/>
      <c r="J279" s="17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5.6">
      <c r="A280" s="22"/>
      <c r="B280" s="20"/>
      <c r="C280" s="20"/>
      <c r="D280" s="20"/>
      <c r="E280" s="20"/>
      <c r="F280" s="20"/>
      <c r="G280" s="14"/>
      <c r="H280" s="14"/>
      <c r="I280" s="14"/>
      <c r="J280" s="17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5.6">
      <c r="A281" s="22"/>
      <c r="B281" s="20"/>
      <c r="C281" s="20"/>
      <c r="D281" s="20"/>
      <c r="E281" s="20"/>
      <c r="F281" s="20"/>
      <c r="G281" s="14"/>
      <c r="H281" s="14"/>
      <c r="I281" s="14"/>
      <c r="J281" s="17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5.6">
      <c r="A282" s="22"/>
      <c r="B282" s="20"/>
      <c r="C282" s="20"/>
      <c r="D282" s="20"/>
      <c r="E282" s="20"/>
      <c r="F282" s="20"/>
      <c r="G282" s="14"/>
      <c r="H282" s="14"/>
      <c r="I282" s="14"/>
      <c r="J282" s="17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5.6">
      <c r="A283" s="22"/>
      <c r="B283" s="20"/>
      <c r="C283" s="20"/>
      <c r="D283" s="20"/>
      <c r="E283" s="20"/>
      <c r="F283" s="20"/>
      <c r="G283" s="14"/>
      <c r="H283" s="14"/>
      <c r="I283" s="14"/>
      <c r="J283" s="17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5.6">
      <c r="A284" s="22"/>
      <c r="B284" s="20"/>
      <c r="C284" s="20"/>
      <c r="D284" s="20"/>
      <c r="E284" s="20"/>
      <c r="F284" s="20"/>
      <c r="G284" s="14"/>
      <c r="H284" s="14"/>
      <c r="I284" s="14"/>
      <c r="J284" s="17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5.6">
      <c r="A285" s="22"/>
      <c r="B285" s="20"/>
      <c r="C285" s="20"/>
      <c r="D285" s="20"/>
      <c r="E285" s="20"/>
      <c r="F285" s="20"/>
      <c r="G285" s="14"/>
      <c r="H285" s="14"/>
      <c r="I285" s="14"/>
      <c r="J285" s="17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5.6">
      <c r="A286" s="22"/>
      <c r="B286" s="20"/>
      <c r="C286" s="20"/>
      <c r="D286" s="20"/>
      <c r="E286" s="20"/>
      <c r="F286" s="20"/>
      <c r="G286" s="14"/>
      <c r="H286" s="14"/>
      <c r="I286" s="14"/>
      <c r="J286" s="17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5.6">
      <c r="A287" s="22"/>
      <c r="B287" s="20"/>
      <c r="C287" s="20"/>
      <c r="D287" s="20"/>
      <c r="E287" s="20"/>
      <c r="F287" s="20"/>
      <c r="G287" s="14"/>
      <c r="H287" s="14"/>
      <c r="I287" s="14"/>
      <c r="J287" s="17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5.6">
      <c r="A288" s="22"/>
      <c r="B288" s="20"/>
      <c r="C288" s="20"/>
      <c r="D288" s="20"/>
      <c r="E288" s="20"/>
      <c r="F288" s="20"/>
      <c r="G288" s="14"/>
      <c r="H288" s="14"/>
      <c r="I288" s="14"/>
      <c r="J288" s="17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5.6">
      <c r="A289" s="22"/>
      <c r="B289" s="20"/>
      <c r="C289" s="20"/>
      <c r="D289" s="20"/>
      <c r="E289" s="20"/>
      <c r="F289" s="20"/>
      <c r="G289" s="14"/>
      <c r="H289" s="14"/>
      <c r="I289" s="14"/>
      <c r="J289" s="17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5.6">
      <c r="A290" s="22"/>
      <c r="B290" s="20"/>
      <c r="C290" s="20"/>
      <c r="D290" s="20"/>
      <c r="E290" s="20"/>
      <c r="F290" s="20"/>
      <c r="G290" s="14"/>
      <c r="H290" s="14"/>
      <c r="I290" s="14"/>
      <c r="J290" s="17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5.6">
      <c r="A291" s="23"/>
      <c r="B291" s="20"/>
      <c r="C291" s="20"/>
      <c r="D291" s="20"/>
      <c r="E291" s="20"/>
      <c r="F291" s="20"/>
      <c r="G291" s="15"/>
      <c r="H291" s="15"/>
      <c r="I291" s="15"/>
      <c r="J291" s="18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5.6">
      <c r="A292" s="23"/>
      <c r="B292" s="20"/>
      <c r="C292" s="20"/>
      <c r="D292" s="20"/>
      <c r="E292" s="20"/>
      <c r="F292" s="20"/>
      <c r="G292" s="15"/>
      <c r="H292" s="15"/>
      <c r="I292" s="15"/>
      <c r="J292" s="18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5.6">
      <c r="A293" s="23"/>
      <c r="B293" s="20"/>
      <c r="C293" s="20"/>
      <c r="D293" s="20"/>
      <c r="E293" s="20"/>
      <c r="F293" s="20"/>
      <c r="G293" s="15"/>
      <c r="H293" s="15"/>
      <c r="I293" s="15"/>
      <c r="J293" s="18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5.6">
      <c r="A294" s="23"/>
      <c r="B294" s="20"/>
      <c r="C294" s="20"/>
      <c r="D294" s="20"/>
      <c r="E294" s="20"/>
      <c r="F294" s="20"/>
      <c r="G294" s="15"/>
      <c r="H294" s="15"/>
      <c r="I294" s="15"/>
      <c r="J294" s="18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5.6">
      <c r="A295" s="23"/>
      <c r="B295" s="20"/>
      <c r="C295" s="20"/>
      <c r="D295" s="20"/>
      <c r="E295" s="20"/>
      <c r="F295" s="20"/>
      <c r="G295" s="15"/>
      <c r="H295" s="15"/>
      <c r="I295" s="15"/>
      <c r="J295" s="18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5.6">
      <c r="A296" s="23"/>
      <c r="B296" s="20"/>
      <c r="C296" s="20"/>
      <c r="D296" s="20"/>
      <c r="E296" s="20"/>
      <c r="F296" s="20"/>
      <c r="G296" s="15"/>
      <c r="H296" s="15"/>
      <c r="I296" s="15"/>
      <c r="J296" s="18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5.6">
      <c r="A297" s="23"/>
      <c r="B297" s="20"/>
      <c r="C297" s="20"/>
      <c r="D297" s="20"/>
      <c r="E297" s="20"/>
      <c r="F297" s="20"/>
      <c r="G297" s="15"/>
      <c r="H297" s="15"/>
      <c r="I297" s="15"/>
      <c r="J297" s="18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5.6">
      <c r="A298" s="23"/>
      <c r="B298" s="20"/>
      <c r="C298" s="20"/>
      <c r="D298" s="20"/>
      <c r="E298" s="20"/>
      <c r="F298" s="20"/>
      <c r="G298" s="15"/>
      <c r="H298" s="15"/>
      <c r="I298" s="15"/>
      <c r="J298" s="18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5.6">
      <c r="A299" s="23"/>
      <c r="B299" s="20"/>
      <c r="C299" s="20"/>
      <c r="D299" s="20"/>
      <c r="E299" s="20"/>
      <c r="F299" s="20"/>
      <c r="G299" s="15"/>
      <c r="H299" s="15"/>
      <c r="I299" s="15"/>
      <c r="J299" s="18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5.6">
      <c r="A300" s="23"/>
      <c r="B300" s="20"/>
      <c r="C300" s="20"/>
      <c r="D300" s="20"/>
      <c r="E300" s="20"/>
      <c r="F300" s="20"/>
      <c r="G300" s="15"/>
      <c r="H300" s="15"/>
      <c r="I300" s="15"/>
      <c r="J300" s="18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5.6">
      <c r="A301" s="23"/>
      <c r="B301" s="20"/>
      <c r="C301" s="20"/>
      <c r="D301" s="20"/>
      <c r="E301" s="20"/>
      <c r="F301" s="20"/>
      <c r="G301" s="15"/>
      <c r="H301" s="15"/>
      <c r="I301" s="15"/>
      <c r="J301" s="18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5.6">
      <c r="A302" s="23"/>
      <c r="B302" s="20"/>
      <c r="C302" s="20"/>
      <c r="D302" s="20"/>
      <c r="E302" s="20"/>
      <c r="F302" s="20"/>
      <c r="G302" s="15"/>
      <c r="H302" s="15"/>
      <c r="I302" s="15"/>
      <c r="J302" s="18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5.6">
      <c r="A303" s="23"/>
      <c r="B303" s="20"/>
      <c r="C303" s="20"/>
      <c r="D303" s="20"/>
      <c r="E303" s="20"/>
      <c r="F303" s="20"/>
      <c r="G303" s="15"/>
      <c r="H303" s="15"/>
      <c r="I303" s="15"/>
      <c r="J303" s="18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5.6">
      <c r="A304" s="23"/>
      <c r="B304" s="20"/>
      <c r="C304" s="20"/>
      <c r="D304" s="20"/>
      <c r="E304" s="20"/>
      <c r="F304" s="20"/>
      <c r="G304" s="15"/>
      <c r="H304" s="15"/>
      <c r="I304" s="15"/>
      <c r="J304" s="18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5.6">
      <c r="A305" s="23"/>
      <c r="B305" s="20"/>
      <c r="C305" s="20"/>
      <c r="D305" s="20"/>
      <c r="E305" s="20"/>
      <c r="F305" s="20"/>
      <c r="G305" s="15"/>
      <c r="H305" s="15"/>
      <c r="I305" s="15"/>
      <c r="J305" s="18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5.6">
      <c r="A306" s="23"/>
      <c r="B306" s="20"/>
      <c r="C306" s="20"/>
      <c r="D306" s="20"/>
      <c r="E306" s="20"/>
      <c r="F306" s="20"/>
      <c r="G306" s="15"/>
      <c r="H306" s="15"/>
      <c r="I306" s="15"/>
      <c r="J306" s="18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5.6">
      <c r="A307" s="23"/>
      <c r="B307" s="20"/>
      <c r="C307" s="20"/>
      <c r="D307" s="20"/>
      <c r="E307" s="20"/>
      <c r="F307" s="20"/>
      <c r="G307" s="15"/>
      <c r="H307" s="15"/>
      <c r="I307" s="15"/>
      <c r="J307" s="18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5.6">
      <c r="A308" s="23"/>
      <c r="B308" s="20"/>
      <c r="C308" s="20"/>
      <c r="D308" s="20"/>
      <c r="E308" s="20"/>
      <c r="F308" s="20"/>
      <c r="G308" s="15"/>
      <c r="H308" s="15"/>
      <c r="I308" s="15"/>
      <c r="J308" s="18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5.6">
      <c r="A309" s="23"/>
      <c r="B309" s="20"/>
      <c r="C309" s="20"/>
      <c r="D309" s="20"/>
      <c r="E309" s="20"/>
      <c r="F309" s="20"/>
      <c r="G309" s="15"/>
      <c r="H309" s="15"/>
      <c r="I309" s="15"/>
      <c r="J309" s="18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5.6">
      <c r="A310" s="23"/>
      <c r="B310" s="20"/>
      <c r="C310" s="20"/>
      <c r="D310" s="20"/>
      <c r="E310" s="20"/>
      <c r="F310" s="20"/>
      <c r="G310" s="15"/>
      <c r="H310" s="15"/>
      <c r="I310" s="15"/>
      <c r="J310" s="18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5.6">
      <c r="A311" s="23"/>
      <c r="B311" s="20"/>
      <c r="C311" s="20"/>
      <c r="D311" s="20"/>
      <c r="E311" s="20"/>
      <c r="F311" s="20"/>
      <c r="G311" s="15"/>
      <c r="H311" s="15"/>
      <c r="I311" s="15"/>
      <c r="J311" s="18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5.6">
      <c r="A312" s="23"/>
      <c r="B312" s="20"/>
      <c r="C312" s="20"/>
      <c r="D312" s="20"/>
      <c r="E312" s="20"/>
      <c r="F312" s="20"/>
      <c r="G312" s="15"/>
      <c r="H312" s="15"/>
      <c r="I312" s="15"/>
      <c r="J312" s="18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5.6">
      <c r="A313" s="23"/>
      <c r="B313" s="20"/>
      <c r="C313" s="20"/>
      <c r="D313" s="20"/>
      <c r="E313" s="20"/>
      <c r="F313" s="20"/>
      <c r="G313" s="15"/>
      <c r="H313" s="15"/>
      <c r="I313" s="15"/>
      <c r="J313" s="18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5.6">
      <c r="A314" s="23"/>
      <c r="B314" s="20"/>
      <c r="C314" s="20"/>
      <c r="D314" s="20"/>
      <c r="E314" s="20"/>
      <c r="F314" s="20"/>
      <c r="G314" s="15"/>
      <c r="H314" s="15"/>
      <c r="I314" s="15"/>
      <c r="J314" s="18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5.6">
      <c r="A315" s="23"/>
      <c r="B315" s="20"/>
      <c r="C315" s="20"/>
      <c r="D315" s="20"/>
      <c r="E315" s="20"/>
      <c r="F315" s="20"/>
      <c r="G315" s="15"/>
      <c r="H315" s="15"/>
      <c r="I315" s="15"/>
      <c r="J315" s="18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5.6">
      <c r="A316" s="23"/>
      <c r="B316" s="20"/>
      <c r="C316" s="20"/>
      <c r="D316" s="20"/>
      <c r="E316" s="20"/>
      <c r="F316" s="20"/>
      <c r="G316" s="15"/>
      <c r="H316" s="15"/>
      <c r="I316" s="15"/>
      <c r="J316" s="18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5.6">
      <c r="A317" s="23"/>
      <c r="B317" s="20"/>
      <c r="C317" s="20"/>
      <c r="D317" s="20"/>
      <c r="E317" s="20"/>
      <c r="F317" s="20"/>
      <c r="G317" s="15"/>
      <c r="H317" s="15"/>
      <c r="I317" s="15"/>
      <c r="J317" s="18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5.6">
      <c r="A318" s="23"/>
      <c r="B318" s="20"/>
      <c r="C318" s="20"/>
      <c r="D318" s="20"/>
      <c r="E318" s="20"/>
      <c r="F318" s="20"/>
      <c r="G318" s="15"/>
      <c r="H318" s="15"/>
      <c r="I318" s="15"/>
      <c r="J318" s="18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5.6">
      <c r="A319" s="23"/>
      <c r="B319" s="20"/>
      <c r="C319" s="20"/>
      <c r="D319" s="20"/>
      <c r="E319" s="20"/>
      <c r="F319" s="20"/>
      <c r="G319" s="15"/>
      <c r="H319" s="15"/>
      <c r="I319" s="15"/>
      <c r="J319" s="18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5.6">
      <c r="A320" s="23"/>
      <c r="B320" s="20"/>
      <c r="C320" s="20"/>
      <c r="D320" s="20"/>
      <c r="E320" s="20"/>
      <c r="F320" s="20"/>
      <c r="G320" s="15"/>
      <c r="H320" s="15"/>
      <c r="I320" s="15"/>
      <c r="J320" s="18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5.6">
      <c r="A321" s="23"/>
      <c r="B321" s="20"/>
      <c r="C321" s="20"/>
      <c r="D321" s="20"/>
      <c r="E321" s="20"/>
      <c r="F321" s="20"/>
      <c r="G321" s="15"/>
      <c r="H321" s="15"/>
      <c r="I321" s="15"/>
      <c r="J321" s="18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5.6">
      <c r="A322" s="23"/>
      <c r="B322" s="20"/>
      <c r="C322" s="20"/>
      <c r="D322" s="20"/>
      <c r="E322" s="20"/>
      <c r="F322" s="20"/>
      <c r="G322" s="15"/>
      <c r="H322" s="15"/>
      <c r="I322" s="15"/>
      <c r="J322" s="18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5.6">
      <c r="A323" s="23"/>
      <c r="B323" s="20"/>
      <c r="C323" s="20"/>
      <c r="D323" s="20"/>
      <c r="E323" s="20"/>
      <c r="F323" s="20"/>
      <c r="G323" s="15"/>
      <c r="H323" s="15"/>
      <c r="I323" s="15"/>
      <c r="J323" s="18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5.6">
      <c r="A324" s="23"/>
      <c r="B324" s="20"/>
      <c r="C324" s="20"/>
      <c r="D324" s="20"/>
      <c r="E324" s="20"/>
      <c r="F324" s="20"/>
      <c r="G324" s="15"/>
      <c r="H324" s="15"/>
      <c r="I324" s="15"/>
      <c r="J324" s="18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5.6">
      <c r="A325" s="23"/>
      <c r="B325" s="20"/>
      <c r="C325" s="20"/>
      <c r="D325" s="20"/>
      <c r="E325" s="20"/>
      <c r="F325" s="20"/>
      <c r="G325" s="15"/>
      <c r="H325" s="15"/>
      <c r="I325" s="15"/>
      <c r="J325" s="18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5.6">
      <c r="A326" s="23"/>
      <c r="B326" s="20"/>
      <c r="C326" s="20"/>
      <c r="D326" s="20"/>
      <c r="E326" s="20"/>
      <c r="F326" s="20"/>
      <c r="G326" s="15"/>
      <c r="H326" s="15"/>
      <c r="I326" s="15"/>
      <c r="J326" s="18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5.6">
      <c r="A327" s="23"/>
      <c r="B327" s="20"/>
      <c r="C327" s="20"/>
      <c r="D327" s="20"/>
      <c r="E327" s="20"/>
      <c r="F327" s="20"/>
      <c r="G327" s="15"/>
      <c r="H327" s="15"/>
      <c r="I327" s="15"/>
      <c r="J327" s="18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5.6">
      <c r="A328" s="23"/>
      <c r="B328" s="20"/>
      <c r="C328" s="20"/>
      <c r="D328" s="20"/>
      <c r="E328" s="20"/>
      <c r="F328" s="20"/>
      <c r="G328" s="15"/>
      <c r="H328" s="15"/>
      <c r="I328" s="15"/>
      <c r="J328" s="18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5.6">
      <c r="A329" s="23"/>
      <c r="B329" s="20"/>
      <c r="C329" s="20"/>
      <c r="D329" s="20"/>
      <c r="E329" s="20"/>
      <c r="F329" s="20"/>
      <c r="G329" s="15"/>
      <c r="H329" s="15"/>
      <c r="I329" s="15"/>
      <c r="J329" s="18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5.6">
      <c r="A330" s="23"/>
      <c r="B330" s="20"/>
      <c r="C330" s="20"/>
      <c r="D330" s="20"/>
      <c r="E330" s="20"/>
      <c r="F330" s="20"/>
      <c r="G330" s="15"/>
      <c r="H330" s="15"/>
      <c r="I330" s="15"/>
      <c r="J330" s="18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5.6">
      <c r="A331" s="23"/>
      <c r="B331" s="20"/>
      <c r="C331" s="20"/>
      <c r="D331" s="20"/>
      <c r="E331" s="20"/>
      <c r="F331" s="20"/>
      <c r="G331" s="15"/>
      <c r="H331" s="15"/>
      <c r="I331" s="15"/>
      <c r="J331" s="18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5.6">
      <c r="A332" s="23"/>
      <c r="B332" s="20"/>
      <c r="C332" s="20"/>
      <c r="D332" s="20"/>
      <c r="E332" s="20"/>
      <c r="F332" s="20"/>
      <c r="G332" s="15"/>
      <c r="H332" s="15"/>
      <c r="I332" s="15"/>
      <c r="J332" s="18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5.6">
      <c r="A333" s="23"/>
      <c r="B333" s="20"/>
      <c r="C333" s="20"/>
      <c r="D333" s="20"/>
      <c r="E333" s="20"/>
      <c r="F333" s="20"/>
      <c r="G333" s="15"/>
      <c r="H333" s="15"/>
      <c r="I333" s="15"/>
      <c r="J333" s="18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15.6">
      <c r="A334" s="23"/>
      <c r="B334" s="20"/>
      <c r="C334" s="20"/>
      <c r="D334" s="20"/>
      <c r="E334" s="20"/>
      <c r="F334" s="20"/>
      <c r="G334" s="15"/>
      <c r="H334" s="15"/>
      <c r="I334" s="15"/>
      <c r="J334" s="18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5.6">
      <c r="A335" s="23"/>
      <c r="B335" s="20"/>
      <c r="C335" s="20"/>
      <c r="D335" s="20"/>
      <c r="E335" s="20"/>
      <c r="F335" s="20"/>
      <c r="G335" s="15"/>
      <c r="H335" s="15"/>
      <c r="I335" s="15"/>
      <c r="J335" s="18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5.6">
      <c r="A336" s="23"/>
      <c r="B336" s="20"/>
      <c r="C336" s="20"/>
      <c r="D336" s="20"/>
      <c r="E336" s="20"/>
      <c r="F336" s="20"/>
      <c r="G336" s="15"/>
      <c r="H336" s="15"/>
      <c r="I336" s="15"/>
      <c r="J336" s="18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5.6">
      <c r="A337" s="23"/>
      <c r="B337" s="20"/>
      <c r="C337" s="20"/>
      <c r="D337" s="20"/>
      <c r="E337" s="20"/>
      <c r="F337" s="20"/>
      <c r="G337" s="15"/>
      <c r="H337" s="15"/>
      <c r="I337" s="15"/>
      <c r="J337" s="18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5.6">
      <c r="A338" s="23"/>
      <c r="B338" s="20"/>
      <c r="C338" s="20"/>
      <c r="D338" s="20"/>
      <c r="E338" s="20"/>
      <c r="F338" s="20"/>
      <c r="G338" s="15"/>
      <c r="H338" s="15"/>
      <c r="I338" s="15"/>
      <c r="J338" s="18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5.6">
      <c r="A339" s="23"/>
      <c r="B339" s="20"/>
      <c r="C339" s="20"/>
      <c r="D339" s="20"/>
      <c r="E339" s="20"/>
      <c r="F339" s="20"/>
      <c r="G339" s="15"/>
      <c r="H339" s="15"/>
      <c r="I339" s="15"/>
      <c r="J339" s="18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5.6">
      <c r="A340" s="23"/>
      <c r="B340" s="20"/>
      <c r="C340" s="20"/>
      <c r="D340" s="20"/>
      <c r="E340" s="20"/>
      <c r="F340" s="20"/>
      <c r="G340" s="15"/>
      <c r="H340" s="15"/>
      <c r="I340" s="15"/>
      <c r="J340" s="18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5.6">
      <c r="A341" s="23"/>
      <c r="B341" s="20"/>
      <c r="C341" s="20"/>
      <c r="D341" s="20"/>
      <c r="E341" s="20"/>
      <c r="F341" s="20"/>
      <c r="G341" s="15"/>
      <c r="H341" s="15"/>
      <c r="I341" s="15"/>
      <c r="J341" s="18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5.6">
      <c r="A342" s="23"/>
      <c r="B342" s="20"/>
      <c r="C342" s="20"/>
      <c r="D342" s="20"/>
      <c r="E342" s="20"/>
      <c r="F342" s="20"/>
      <c r="G342" s="15"/>
      <c r="H342" s="15"/>
      <c r="I342" s="15"/>
      <c r="J342" s="18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5.6">
      <c r="A343" s="23"/>
      <c r="B343" s="20"/>
      <c r="C343" s="20"/>
      <c r="D343" s="20"/>
      <c r="E343" s="20"/>
      <c r="F343" s="20"/>
      <c r="G343" s="15"/>
      <c r="H343" s="15"/>
      <c r="I343" s="15"/>
      <c r="J343" s="18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5.6">
      <c r="A344" s="23"/>
      <c r="B344" s="20"/>
      <c r="C344" s="20"/>
      <c r="D344" s="20"/>
      <c r="E344" s="20"/>
      <c r="F344" s="20"/>
      <c r="G344" s="15"/>
      <c r="H344" s="15"/>
      <c r="I344" s="15"/>
      <c r="J344" s="18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5.6">
      <c r="A345" s="23"/>
      <c r="B345" s="20"/>
      <c r="C345" s="20"/>
      <c r="D345" s="20"/>
      <c r="E345" s="20"/>
      <c r="F345" s="20"/>
      <c r="G345" s="15"/>
      <c r="H345" s="15"/>
      <c r="I345" s="15"/>
      <c r="J345" s="18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5.6">
      <c r="A346" s="23"/>
      <c r="B346" s="20"/>
      <c r="C346" s="20"/>
      <c r="D346" s="20"/>
      <c r="E346" s="20"/>
      <c r="F346" s="20"/>
      <c r="G346" s="15"/>
      <c r="H346" s="15"/>
      <c r="I346" s="15"/>
      <c r="J346" s="18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5.6">
      <c r="A347" s="23"/>
      <c r="B347" s="20"/>
      <c r="C347" s="20"/>
      <c r="D347" s="20"/>
      <c r="E347" s="20"/>
      <c r="F347" s="20"/>
      <c r="G347" s="15"/>
      <c r="H347" s="15"/>
      <c r="I347" s="15"/>
      <c r="J347" s="18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5.6">
      <c r="A348" s="23"/>
      <c r="B348" s="20"/>
      <c r="C348" s="20"/>
      <c r="D348" s="20"/>
      <c r="E348" s="20"/>
      <c r="F348" s="20"/>
      <c r="G348" s="15"/>
      <c r="H348" s="15"/>
      <c r="I348" s="15"/>
      <c r="J348" s="18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5.6">
      <c r="A349" s="23"/>
      <c r="B349" s="20"/>
      <c r="C349" s="20"/>
      <c r="D349" s="20"/>
      <c r="E349" s="20"/>
      <c r="F349" s="20"/>
      <c r="G349" s="15"/>
      <c r="H349" s="15"/>
      <c r="I349" s="15"/>
      <c r="J349" s="18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5.6">
      <c r="A350" s="23"/>
      <c r="B350" s="20"/>
      <c r="C350" s="20"/>
      <c r="D350" s="20"/>
      <c r="E350" s="20"/>
      <c r="F350" s="20"/>
      <c r="G350" s="15"/>
      <c r="H350" s="15"/>
      <c r="I350" s="15"/>
      <c r="J350" s="18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5.6">
      <c r="A351" s="23"/>
      <c r="B351" s="20"/>
      <c r="C351" s="20"/>
      <c r="D351" s="20"/>
      <c r="E351" s="20"/>
      <c r="F351" s="20"/>
      <c r="G351" s="15"/>
      <c r="H351" s="15"/>
      <c r="I351" s="15"/>
      <c r="J351" s="18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5.6">
      <c r="A352" s="23"/>
      <c r="B352" s="20"/>
      <c r="C352" s="20"/>
      <c r="D352" s="20"/>
      <c r="E352" s="20"/>
      <c r="F352" s="20"/>
      <c r="G352" s="15"/>
      <c r="H352" s="15"/>
      <c r="I352" s="15"/>
      <c r="J352" s="18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5.6">
      <c r="A353" s="23"/>
      <c r="B353" s="20"/>
      <c r="C353" s="20"/>
      <c r="D353" s="20"/>
      <c r="E353" s="20"/>
      <c r="F353" s="20"/>
      <c r="G353" s="15"/>
      <c r="H353" s="15"/>
      <c r="I353" s="15"/>
      <c r="J353" s="18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5.6">
      <c r="A354" s="23"/>
      <c r="B354" s="20"/>
      <c r="C354" s="20"/>
      <c r="D354" s="20"/>
      <c r="E354" s="20"/>
      <c r="F354" s="20"/>
      <c r="G354" s="15"/>
      <c r="H354" s="15"/>
      <c r="I354" s="15"/>
      <c r="J354" s="18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5.6">
      <c r="A355" s="23"/>
      <c r="B355" s="20"/>
      <c r="C355" s="20"/>
      <c r="D355" s="20"/>
      <c r="E355" s="20"/>
      <c r="F355" s="20"/>
      <c r="G355" s="15"/>
      <c r="H355" s="15"/>
      <c r="I355" s="15"/>
      <c r="J355" s="18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5.6">
      <c r="A356" s="23"/>
      <c r="B356" s="20"/>
      <c r="C356" s="20"/>
      <c r="D356" s="20"/>
      <c r="E356" s="20"/>
      <c r="F356" s="20"/>
      <c r="G356" s="15"/>
      <c r="H356" s="15"/>
      <c r="I356" s="15"/>
      <c r="J356" s="18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5.6">
      <c r="A357" s="23"/>
      <c r="B357" s="20"/>
      <c r="C357" s="20"/>
      <c r="D357" s="20"/>
      <c r="E357" s="20"/>
      <c r="F357" s="20"/>
      <c r="G357" s="15"/>
      <c r="H357" s="15"/>
      <c r="I357" s="15"/>
      <c r="J357" s="18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5.6">
      <c r="A358" s="23"/>
      <c r="B358" s="20"/>
      <c r="C358" s="20"/>
      <c r="D358" s="20"/>
      <c r="E358" s="20"/>
      <c r="F358" s="20"/>
      <c r="G358" s="15"/>
      <c r="H358" s="15"/>
      <c r="I358" s="15"/>
      <c r="J358" s="18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5.6">
      <c r="A359" s="23"/>
      <c r="B359" s="20"/>
      <c r="C359" s="20"/>
      <c r="D359" s="20"/>
      <c r="E359" s="20"/>
      <c r="F359" s="20"/>
      <c r="G359" s="15"/>
      <c r="H359" s="15"/>
      <c r="I359" s="15"/>
      <c r="J359" s="18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5.6">
      <c r="A360" s="23"/>
      <c r="B360" s="20"/>
      <c r="C360" s="20"/>
      <c r="D360" s="20"/>
      <c r="E360" s="20"/>
      <c r="F360" s="20"/>
      <c r="G360" s="15"/>
      <c r="H360" s="15"/>
      <c r="I360" s="15"/>
      <c r="J360" s="18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5.6">
      <c r="A361" s="23"/>
      <c r="B361" s="20"/>
      <c r="C361" s="20"/>
      <c r="D361" s="20"/>
      <c r="E361" s="20"/>
      <c r="F361" s="20"/>
      <c r="G361" s="15"/>
      <c r="H361" s="15"/>
      <c r="I361" s="15"/>
      <c r="J361" s="18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5.6">
      <c r="A362" s="23"/>
      <c r="B362" s="20"/>
      <c r="C362" s="20"/>
      <c r="D362" s="20"/>
      <c r="E362" s="20"/>
      <c r="F362" s="20"/>
      <c r="G362" s="15"/>
      <c r="H362" s="15"/>
      <c r="I362" s="15"/>
      <c r="J362" s="18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5.6">
      <c r="A363" s="23"/>
      <c r="B363" s="20"/>
      <c r="C363" s="20"/>
      <c r="D363" s="20"/>
      <c r="E363" s="20"/>
      <c r="F363" s="20"/>
      <c r="G363" s="15"/>
      <c r="H363" s="15"/>
      <c r="I363" s="15"/>
      <c r="J363" s="18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5.6">
      <c r="A364" s="23"/>
      <c r="B364" s="20"/>
      <c r="C364" s="20"/>
      <c r="D364" s="20"/>
      <c r="E364" s="20"/>
      <c r="F364" s="20"/>
      <c r="G364" s="15"/>
      <c r="H364" s="15"/>
      <c r="I364" s="15"/>
      <c r="J364" s="18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5.6">
      <c r="A365" s="23"/>
      <c r="B365" s="20"/>
      <c r="C365" s="20"/>
      <c r="D365" s="20"/>
      <c r="E365" s="20"/>
      <c r="F365" s="20"/>
      <c r="G365" s="15"/>
      <c r="H365" s="15"/>
      <c r="I365" s="15"/>
      <c r="J365" s="18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5.6">
      <c r="A366" s="23"/>
      <c r="B366" s="20"/>
      <c r="C366" s="20"/>
      <c r="D366" s="20"/>
      <c r="E366" s="20"/>
      <c r="F366" s="20"/>
      <c r="G366" s="15"/>
      <c r="H366" s="15"/>
      <c r="I366" s="15"/>
      <c r="J366" s="18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5.6">
      <c r="A367" s="23"/>
      <c r="B367" s="20"/>
      <c r="C367" s="20"/>
      <c r="D367" s="20"/>
      <c r="E367" s="20"/>
      <c r="F367" s="20"/>
      <c r="G367" s="15"/>
      <c r="H367" s="15"/>
      <c r="I367" s="15"/>
      <c r="J367" s="18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5.6">
      <c r="A368" s="23"/>
      <c r="B368" s="20"/>
      <c r="C368" s="20"/>
      <c r="D368" s="20"/>
      <c r="E368" s="20"/>
      <c r="F368" s="20"/>
      <c r="G368" s="15"/>
      <c r="H368" s="15"/>
      <c r="I368" s="15"/>
      <c r="J368" s="18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5.6">
      <c r="A369" s="23"/>
      <c r="B369" s="20"/>
      <c r="C369" s="20"/>
      <c r="D369" s="20"/>
      <c r="E369" s="20"/>
      <c r="F369" s="20"/>
      <c r="G369" s="15"/>
      <c r="H369" s="15"/>
      <c r="I369" s="15"/>
      <c r="J369" s="18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5.6">
      <c r="A370" s="23"/>
      <c r="B370" s="20"/>
      <c r="C370" s="20"/>
      <c r="D370" s="20"/>
      <c r="E370" s="20"/>
      <c r="F370" s="20"/>
      <c r="G370" s="15"/>
      <c r="H370" s="15"/>
      <c r="I370" s="15"/>
      <c r="J370" s="18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5.6">
      <c r="A371" s="23"/>
      <c r="B371" s="20"/>
      <c r="C371" s="20"/>
      <c r="D371" s="20"/>
      <c r="E371" s="20"/>
      <c r="F371" s="20"/>
      <c r="G371" s="15"/>
      <c r="H371" s="15"/>
      <c r="I371" s="15"/>
      <c r="J371" s="18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5.6">
      <c r="A372" s="23"/>
      <c r="B372" s="20"/>
      <c r="C372" s="20"/>
      <c r="D372" s="20"/>
      <c r="E372" s="20"/>
      <c r="F372" s="20"/>
      <c r="G372" s="15"/>
      <c r="H372" s="15"/>
      <c r="I372" s="15"/>
      <c r="J372" s="18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5.6">
      <c r="A373" s="23"/>
      <c r="B373" s="20"/>
      <c r="C373" s="20"/>
      <c r="D373" s="20"/>
      <c r="E373" s="20"/>
      <c r="F373" s="20"/>
      <c r="G373" s="15"/>
      <c r="H373" s="15"/>
      <c r="I373" s="15"/>
      <c r="J373" s="18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5.6">
      <c r="A374" s="23"/>
      <c r="B374" s="20"/>
      <c r="C374" s="20"/>
      <c r="D374" s="20"/>
      <c r="E374" s="20"/>
      <c r="F374" s="20"/>
      <c r="G374" s="15"/>
      <c r="H374" s="15"/>
      <c r="I374" s="15"/>
      <c r="J374" s="18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5.6">
      <c r="A375" s="23"/>
      <c r="B375" s="20"/>
      <c r="C375" s="20"/>
      <c r="D375" s="20"/>
      <c r="E375" s="20"/>
      <c r="F375" s="20"/>
      <c r="G375" s="15"/>
      <c r="H375" s="15"/>
      <c r="I375" s="15"/>
      <c r="J375" s="18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5.6">
      <c r="A376" s="23"/>
      <c r="B376" s="20"/>
      <c r="C376" s="20"/>
      <c r="D376" s="20"/>
      <c r="E376" s="20"/>
      <c r="F376" s="20"/>
      <c r="G376" s="15"/>
      <c r="H376" s="15"/>
      <c r="I376" s="15"/>
      <c r="J376" s="18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5.6">
      <c r="A377" s="23"/>
      <c r="B377" s="20"/>
      <c r="C377" s="20"/>
      <c r="D377" s="20"/>
      <c r="E377" s="20"/>
      <c r="F377" s="20"/>
      <c r="G377" s="15"/>
      <c r="H377" s="15"/>
      <c r="I377" s="15"/>
      <c r="J377" s="18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5.6">
      <c r="A378" s="23"/>
      <c r="B378" s="20"/>
      <c r="C378" s="20"/>
      <c r="D378" s="20"/>
      <c r="E378" s="20"/>
      <c r="F378" s="20"/>
      <c r="G378" s="15"/>
      <c r="H378" s="15"/>
      <c r="I378" s="15"/>
      <c r="J378" s="18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5.6">
      <c r="A379" s="23"/>
      <c r="B379" s="20"/>
      <c r="C379" s="20"/>
      <c r="D379" s="20"/>
      <c r="E379" s="20"/>
      <c r="F379" s="20"/>
      <c r="G379" s="15"/>
      <c r="H379" s="15"/>
      <c r="I379" s="15"/>
      <c r="J379" s="18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5.6">
      <c r="A380" s="23"/>
      <c r="B380" s="20"/>
      <c r="C380" s="20"/>
      <c r="D380" s="20"/>
      <c r="E380" s="20"/>
      <c r="F380" s="20"/>
      <c r="G380" s="15"/>
      <c r="H380" s="15"/>
      <c r="I380" s="15"/>
      <c r="J380" s="18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5.6">
      <c r="A381" s="23"/>
      <c r="B381" s="20"/>
      <c r="C381" s="20"/>
      <c r="D381" s="20"/>
      <c r="E381" s="20"/>
      <c r="F381" s="20"/>
      <c r="G381" s="15"/>
      <c r="H381" s="15"/>
      <c r="I381" s="15"/>
      <c r="J381" s="18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5.6">
      <c r="A382" s="23"/>
      <c r="B382" s="20"/>
      <c r="C382" s="20"/>
      <c r="D382" s="20"/>
      <c r="E382" s="20"/>
      <c r="F382" s="20"/>
      <c r="G382" s="15"/>
      <c r="H382" s="15"/>
      <c r="I382" s="15"/>
      <c r="J382" s="18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5.6">
      <c r="A383" s="23"/>
      <c r="B383" s="20"/>
      <c r="C383" s="20"/>
      <c r="D383" s="20"/>
      <c r="E383" s="20"/>
      <c r="F383" s="20"/>
      <c r="G383" s="15"/>
      <c r="H383" s="15"/>
      <c r="I383" s="15"/>
      <c r="J383" s="18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5.6">
      <c r="A384" s="23"/>
      <c r="B384" s="20"/>
      <c r="C384" s="20"/>
      <c r="D384" s="20"/>
      <c r="E384" s="20"/>
      <c r="F384" s="20"/>
      <c r="G384" s="15"/>
      <c r="H384" s="15"/>
      <c r="I384" s="15"/>
      <c r="J384" s="18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5.6">
      <c r="A385" s="23"/>
      <c r="B385" s="20"/>
      <c r="C385" s="20"/>
      <c r="D385" s="20"/>
      <c r="E385" s="20"/>
      <c r="F385" s="20"/>
      <c r="G385" s="15"/>
      <c r="H385" s="15"/>
      <c r="I385" s="15"/>
      <c r="J385" s="18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5.6">
      <c r="A386" s="23"/>
      <c r="B386" s="20"/>
      <c r="C386" s="20"/>
      <c r="D386" s="20"/>
      <c r="E386" s="20"/>
      <c r="F386" s="20"/>
      <c r="G386" s="15"/>
      <c r="H386" s="15"/>
      <c r="I386" s="15"/>
      <c r="J386" s="18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5.6">
      <c r="A387" s="23"/>
      <c r="B387" s="20"/>
      <c r="C387" s="20"/>
      <c r="D387" s="20"/>
      <c r="E387" s="20"/>
      <c r="F387" s="20"/>
      <c r="G387" s="15"/>
      <c r="H387" s="15"/>
      <c r="I387" s="15"/>
      <c r="J387" s="18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5.6">
      <c r="A388" s="23"/>
      <c r="B388" s="20"/>
      <c r="C388" s="20"/>
      <c r="D388" s="20"/>
      <c r="E388" s="20"/>
      <c r="F388" s="20"/>
      <c r="G388" s="15"/>
      <c r="H388" s="15"/>
      <c r="I388" s="15"/>
      <c r="J388" s="18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5.6">
      <c r="A389" s="23"/>
      <c r="B389" s="20"/>
      <c r="C389" s="20"/>
      <c r="D389" s="20"/>
      <c r="E389" s="20"/>
      <c r="F389" s="20"/>
      <c r="G389" s="15"/>
      <c r="H389" s="15"/>
      <c r="I389" s="15"/>
      <c r="J389" s="18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5.6">
      <c r="A390" s="23"/>
      <c r="B390" s="20"/>
      <c r="C390" s="20"/>
      <c r="D390" s="20"/>
      <c r="E390" s="20"/>
      <c r="F390" s="20"/>
      <c r="G390" s="15"/>
      <c r="H390" s="15"/>
      <c r="I390" s="15"/>
      <c r="J390" s="18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5.6">
      <c r="A391" s="23"/>
      <c r="B391" s="20"/>
      <c r="C391" s="20"/>
      <c r="D391" s="20"/>
      <c r="E391" s="20"/>
      <c r="F391" s="20"/>
      <c r="G391" s="15"/>
      <c r="H391" s="15"/>
      <c r="I391" s="15"/>
      <c r="J391" s="18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5.6">
      <c r="A392" s="23"/>
      <c r="B392" s="20"/>
      <c r="C392" s="20"/>
      <c r="D392" s="20"/>
      <c r="E392" s="20"/>
      <c r="F392" s="20"/>
      <c r="G392" s="15"/>
      <c r="H392" s="15"/>
      <c r="I392" s="15"/>
      <c r="J392" s="18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5.6">
      <c r="A393" s="23"/>
      <c r="B393" s="20"/>
      <c r="C393" s="20"/>
      <c r="D393" s="20"/>
      <c r="E393" s="20"/>
      <c r="F393" s="20"/>
      <c r="G393" s="15"/>
      <c r="H393" s="15"/>
      <c r="I393" s="15"/>
      <c r="J393" s="18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5.6">
      <c r="A394" s="23"/>
      <c r="B394" s="20"/>
      <c r="C394" s="20"/>
      <c r="D394" s="20"/>
      <c r="E394" s="20"/>
      <c r="F394" s="20"/>
      <c r="G394" s="15"/>
      <c r="H394" s="15"/>
      <c r="I394" s="15"/>
      <c r="J394" s="18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5.6">
      <c r="A395" s="23"/>
      <c r="B395" s="20"/>
      <c r="C395" s="20"/>
      <c r="D395" s="20"/>
      <c r="E395" s="20"/>
      <c r="F395" s="20"/>
      <c r="G395" s="15"/>
      <c r="H395" s="15"/>
      <c r="I395" s="15"/>
      <c r="J395" s="18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5.6">
      <c r="A396" s="24"/>
      <c r="B396" s="21"/>
      <c r="C396" s="21"/>
      <c r="D396" s="21"/>
      <c r="E396" s="21"/>
      <c r="F396" s="21"/>
      <c r="G396" s="16"/>
      <c r="H396" s="16"/>
      <c r="I396" s="16"/>
      <c r="J396" s="19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</sheetData>
  <mergeCells count="2">
    <mergeCell ref="A192:E192"/>
    <mergeCell ref="A1:J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Z397"/>
  <sheetViews>
    <sheetView topLeftCell="C1" workbookViewId="0">
      <selection activeCell="A3" sqref="A3:K27"/>
    </sheetView>
  </sheetViews>
  <sheetFormatPr defaultRowHeight="14.4"/>
  <cols>
    <col min="1" max="1" width="14" style="2" customWidth="1"/>
    <col min="2" max="2" width="23" style="2" customWidth="1"/>
    <col min="3" max="3" width="20" style="2" customWidth="1"/>
    <col min="4" max="4" width="18" style="2" customWidth="1"/>
    <col min="5" max="5" width="30" customWidth="1"/>
    <col min="6" max="6" width="24" customWidth="1"/>
    <col min="7" max="7" width="15" style="4" customWidth="1"/>
    <col min="8" max="9" width="15" customWidth="1"/>
    <col min="10" max="10" width="17" customWidth="1"/>
    <col min="11" max="11" width="15" customWidth="1"/>
  </cols>
  <sheetData>
    <row r="1" spans="1:26" ht="22.35" customHeight="1">
      <c r="A1" s="113" t="s">
        <v>654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1.6" customHeight="1">
      <c r="A2" s="26" t="s">
        <v>33</v>
      </c>
      <c r="B2" s="26" t="s">
        <v>34</v>
      </c>
      <c r="C2" s="26" t="s">
        <v>35</v>
      </c>
      <c r="D2" s="26" t="s">
        <v>36</v>
      </c>
      <c r="E2" s="26" t="s">
        <v>15</v>
      </c>
      <c r="F2" s="26" t="s">
        <v>16</v>
      </c>
      <c r="G2" s="27" t="s">
        <v>37</v>
      </c>
      <c r="H2" s="33" t="s">
        <v>38</v>
      </c>
      <c r="I2" s="33" t="s">
        <v>41</v>
      </c>
      <c r="J2" s="26" t="s">
        <v>39</v>
      </c>
      <c r="K2" s="26" t="s">
        <v>42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9.95" customHeight="1">
      <c r="A3" s="79" t="str">
        <f>IF('세출(원안)'!A15="","",'세출(원안)'!A15)</f>
        <v/>
      </c>
      <c r="B3" s="79" t="str">
        <f>IF('세출(원안)'!B15="","",'세출(원안)'!B15)</f>
        <v>교직원역량강화</v>
      </c>
      <c r="C3" s="79" t="str">
        <f>IF('세출(원안)'!C15="","",'세출(원안)'!C15)</f>
        <v>자율연수</v>
      </c>
      <c r="D3" s="79" t="str">
        <f>IF('세출(원안)'!D15="","",'세출(원안)'!D15)</f>
        <v>일반업무추진비</v>
      </c>
      <c r="E3" s="79" t="str">
        <f>IF('세출(원안)'!E15="","",'세출(원안)'!E15)</f>
        <v>(통합)교원학습공동체지원협의회비</v>
      </c>
      <c r="F3" s="79" t="str">
        <f>IF('세출(원안)'!F15="","",'세출(원안)'!F15)</f>
        <v/>
      </c>
      <c r="G3" s="80" t="str">
        <f>IF('세출(원안)'!G15="","",'세출(원안)'!G15)</f>
        <v/>
      </c>
      <c r="H3" s="77"/>
      <c r="I3" s="80" t="str">
        <f t="shared" ref="I3:I27" si="0">IF(H3="",G3,H3)</f>
        <v/>
      </c>
      <c r="J3" s="80" t="str">
        <f t="shared" ref="J3:J27" si="1">IF(AND(ISNUMBER(I3),ISNUMBER(G3)),I3-G3,"")</f>
        <v/>
      </c>
      <c r="K3" s="87">
        <f>IF('세출(원안)'!J15="","",'세출(원안)'!J15)</f>
        <v>1000000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9.95" customHeight="1">
      <c r="A4" s="79" t="str">
        <f>IF('세출(원안)'!A17="","",'세출(원안)'!A17)</f>
        <v/>
      </c>
      <c r="B4" s="79" t="str">
        <f>IF('세출(원안)'!B17="","",'세출(원안)'!B17)</f>
        <v>교직원역량강화</v>
      </c>
      <c r="C4" s="79" t="str">
        <f>IF('세출(원안)'!C17="","",'세출(원안)'!C17)</f>
        <v>교육과정평가워크숍</v>
      </c>
      <c r="D4" s="79" t="str">
        <f>IF('세출(원안)'!D17="","",'세출(원안)'!D17)</f>
        <v>일반업무추진비</v>
      </c>
      <c r="E4" s="79" t="str">
        <f>IF('세출(원안)'!E17="","",'세출(원안)'!E17)</f>
        <v>협의회비</v>
      </c>
      <c r="F4" s="79" t="str">
        <f>IF('세출(원안)'!F17="","",'세출(원안)'!F17)</f>
        <v/>
      </c>
      <c r="G4" s="80" t="str">
        <f>IF('세출(원안)'!G17="","",'세출(원안)'!G17)</f>
        <v/>
      </c>
      <c r="H4" s="77"/>
      <c r="I4" s="80" t="str">
        <f t="shared" si="0"/>
        <v/>
      </c>
      <c r="J4" s="80" t="str">
        <f t="shared" si="1"/>
        <v/>
      </c>
      <c r="K4" s="87">
        <f>IF('세출(원안)'!J17="","",'세출(원안)'!J17)</f>
        <v>900000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9.95" customHeight="1">
      <c r="A5" s="79" t="str">
        <f>IF('세출(원안)'!A25="","",'세출(원안)'!A25)</f>
        <v/>
      </c>
      <c r="B5" s="79" t="str">
        <f>IF('세출(원안)'!B25="","",'세출(원안)'!B25)</f>
        <v>학교급식운영</v>
      </c>
      <c r="C5" s="79" t="str">
        <f>IF('세출(원안)'!C25="","",'세출(원안)'!C25)</f>
        <v>급식운영비</v>
      </c>
      <c r="D5" s="79" t="str">
        <f>IF('세출(원안)'!D25="","",'세출(원안)'!D25)</f>
        <v>일반업무추진비</v>
      </c>
      <c r="E5" s="79" t="str">
        <f>IF('세출(원안)'!E25="","",'세출(원안)'!E25)</f>
        <v>업무협의회비</v>
      </c>
      <c r="F5" s="79" t="str">
        <f>IF('세출(원안)'!F25="","",'세출(원안)'!F25)</f>
        <v/>
      </c>
      <c r="G5" s="80" t="str">
        <f>IF('세출(원안)'!G25="","",'세출(원안)'!G25)</f>
        <v/>
      </c>
      <c r="H5" s="77"/>
      <c r="I5" s="80" t="str">
        <f t="shared" si="0"/>
        <v/>
      </c>
      <c r="J5" s="80" t="str">
        <f t="shared" si="1"/>
        <v/>
      </c>
      <c r="K5" s="87">
        <f>IF('세출(원안)'!J25="","",'세출(원안)'!J25)</f>
        <v>350000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9.95" customHeight="1">
      <c r="A6" s="79" t="str">
        <f>IF('세출(원안)'!A43="","",'세출(원안)'!A43)</f>
        <v/>
      </c>
      <c r="B6" s="79" t="str">
        <f>IF('세출(원안)'!B43="","",'세출(원안)'!B43)</f>
        <v>교육복지우선</v>
      </c>
      <c r="C6" s="79" t="str">
        <f>IF('세출(원안)'!C43="","",'세출(원안)'!C43)</f>
        <v>교육복지(우선지원)학교지원사업비</v>
      </c>
      <c r="D6" s="79" t="str">
        <f>IF('세출(원안)'!D43="","",'세출(원안)'!D43)</f>
        <v>일반업무추진비</v>
      </c>
      <c r="E6" s="79" t="str">
        <f>IF('세출(원안)'!E43="","",'세출(원안)'!E43)</f>
        <v>(개별)협의회비</v>
      </c>
      <c r="F6" s="79" t="str">
        <f>IF('세출(원안)'!F43="","",'세출(원안)'!F43)</f>
        <v/>
      </c>
      <c r="G6" s="80" t="str">
        <f>IF('세출(원안)'!G43="","",'세출(원안)'!G43)</f>
        <v/>
      </c>
      <c r="H6" s="77"/>
      <c r="I6" s="80" t="str">
        <f t="shared" si="0"/>
        <v/>
      </c>
      <c r="J6" s="80" t="str">
        <f t="shared" si="1"/>
        <v/>
      </c>
      <c r="K6" s="87">
        <f>IF('세출(원안)'!J43="","",'세출(원안)'!J43)</f>
        <v>90000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9.95" customHeight="1">
      <c r="A7" s="79" t="str">
        <f>IF('세출(원안)'!A49="","",'세출(원안)'!A49)</f>
        <v/>
      </c>
      <c r="B7" s="79" t="str">
        <f>IF('세출(원안)'!B49="","",'세출(원안)'!B49)</f>
        <v>교과활동지원</v>
      </c>
      <c r="C7" s="79" t="str">
        <f>IF('세출(원안)'!C49="","",'세출(원안)'!C49)</f>
        <v>교과협의회운영</v>
      </c>
      <c r="D7" s="79" t="str">
        <f>IF('세출(원안)'!D49="","",'세출(원안)'!D49)</f>
        <v>일반업무추진비</v>
      </c>
      <c r="E7" s="79" t="str">
        <f>IF('세출(원안)'!E49="","",'세출(원안)'!E49)</f>
        <v>교육과정운영협의회</v>
      </c>
      <c r="F7" s="79" t="str">
        <f>IF('세출(원안)'!F49="","",'세출(원안)'!F49)</f>
        <v/>
      </c>
      <c r="G7" s="80" t="str">
        <f>IF('세출(원안)'!G49="","",'세출(원안)'!G49)</f>
        <v/>
      </c>
      <c r="H7" s="77"/>
      <c r="I7" s="80" t="str">
        <f t="shared" si="0"/>
        <v/>
      </c>
      <c r="J7" s="80" t="str">
        <f t="shared" si="1"/>
        <v/>
      </c>
      <c r="K7" s="87">
        <f>IF('세출(원안)'!J49="","",'세출(원안)'!J49)</f>
        <v>2000000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9.95" customHeight="1">
      <c r="A8" s="79" t="str">
        <f>IF('세출(원안)'!A50="","",'세출(원안)'!A50)</f>
        <v/>
      </c>
      <c r="B8" s="79" t="str">
        <f>IF('세출(원안)'!B50="","",'세출(원안)'!B50)</f>
        <v>교과활동지원</v>
      </c>
      <c r="C8" s="79" t="str">
        <f>IF('세출(원안)'!C50="","",'세출(원안)'!C50)</f>
        <v>교과협의회운영</v>
      </c>
      <c r="D8" s="79" t="str">
        <f>IF('세출(원안)'!D50="","",'세출(원안)'!D50)</f>
        <v>일반업무추진비</v>
      </c>
      <c r="E8" s="79" t="str">
        <f>IF('세출(원안)'!E50="","",'세출(원안)'!E50)</f>
        <v>동료장학협의회</v>
      </c>
      <c r="F8" s="79" t="str">
        <f>IF('세출(원안)'!F50="","",'세출(원안)'!F50)</f>
        <v/>
      </c>
      <c r="G8" s="80" t="str">
        <f>IF('세출(원안)'!G50="","",'세출(원안)'!G50)</f>
        <v/>
      </c>
      <c r="H8" s="77"/>
      <c r="I8" s="80" t="str">
        <f t="shared" si="0"/>
        <v/>
      </c>
      <c r="J8" s="80" t="str">
        <f t="shared" si="1"/>
        <v/>
      </c>
      <c r="K8" s="87">
        <f>IF('세출(원안)'!J50="","",'세출(원안)'!J50)</f>
        <v>1500000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9.95" customHeight="1">
      <c r="A9" s="79" t="str">
        <f>IF('세출(원안)'!A51="","",'세출(원안)'!A51)</f>
        <v/>
      </c>
      <c r="B9" s="79" t="str">
        <f>IF('세출(원안)'!B51="","",'세출(원안)'!B51)</f>
        <v>교과활동지원</v>
      </c>
      <c r="C9" s="79" t="str">
        <f>IF('세출(원안)'!C51="","",'세출(원안)'!C51)</f>
        <v>교과협의회운영</v>
      </c>
      <c r="D9" s="79" t="str">
        <f>IF('세출(원안)'!D51="","",'세출(원안)'!D51)</f>
        <v>일반업무추진비</v>
      </c>
      <c r="E9" s="79" t="str">
        <f>IF('세출(원안)'!E51="","",'세출(원안)'!E51)</f>
        <v>자율장학협의회</v>
      </c>
      <c r="F9" s="79" t="str">
        <f>IF('세출(원안)'!F51="","",'세출(원안)'!F51)</f>
        <v/>
      </c>
      <c r="G9" s="80" t="str">
        <f>IF('세출(원안)'!G51="","",'세출(원안)'!G51)</f>
        <v/>
      </c>
      <c r="H9" s="77"/>
      <c r="I9" s="80" t="str">
        <f t="shared" si="0"/>
        <v/>
      </c>
      <c r="J9" s="80" t="str">
        <f t="shared" si="1"/>
        <v/>
      </c>
      <c r="K9" s="87">
        <f>IF('세출(원안)'!J51="","",'세출(원안)'!J51)</f>
        <v>150000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9.95" customHeight="1">
      <c r="A10" s="79" t="str">
        <f>IF('세출(원안)'!A70="","",'세출(원안)'!A70)</f>
        <v/>
      </c>
      <c r="B10" s="79" t="str">
        <f>IF('세출(원안)'!B70="","",'세출(원안)'!B70)</f>
        <v>교과활동지원</v>
      </c>
      <c r="C10" s="79" t="str">
        <f>IF('세출(원안)'!C70="","",'세출(원안)'!C70)</f>
        <v>교육협력실습학교운영</v>
      </c>
      <c r="D10" s="79" t="str">
        <f>IF('세출(원안)'!D70="","",'세출(원안)'!D70)</f>
        <v>일반업무추진비</v>
      </c>
      <c r="E10" s="79" t="str">
        <f>IF('세출(원안)'!E70="","",'세출(원안)'!E70)</f>
        <v>교육실습평가협의회비</v>
      </c>
      <c r="F10" s="79" t="str">
        <f>IF('세출(원안)'!F70="","",'세출(원안)'!F70)</f>
        <v/>
      </c>
      <c r="G10" s="80" t="str">
        <f>IF('세출(원안)'!G70="","",'세출(원안)'!G70)</f>
        <v/>
      </c>
      <c r="H10" s="77"/>
      <c r="I10" s="80" t="str">
        <f t="shared" si="0"/>
        <v/>
      </c>
      <c r="J10" s="80" t="str">
        <f t="shared" si="1"/>
        <v/>
      </c>
      <c r="K10" s="87">
        <f>IF('세출(원안)'!J70="","",'세출(원안)'!J70)</f>
        <v>1500000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9.95" customHeight="1">
      <c r="A11" s="79" t="str">
        <f>IF('세출(원안)'!A82="","",'세출(원안)'!A82)</f>
        <v/>
      </c>
      <c r="B11" s="79" t="str">
        <f>IF('세출(원안)'!B82="","",'세출(원안)'!B82)</f>
        <v>예술 교과활동</v>
      </c>
      <c r="C11" s="79" t="str">
        <f>IF('세출(원안)'!C82="","",'세출(원안)'!C82)</f>
        <v>학습준비물지원</v>
      </c>
      <c r="D11" s="79" t="str">
        <f>IF('세출(원안)'!D82="","",'세출(원안)'!D82)</f>
        <v>일반업무추진비</v>
      </c>
      <c r="E11" s="79" t="str">
        <f>IF('세출(원안)'!E82="","",'세출(원안)'!E82)</f>
        <v>초등예술하나업무협의회비</v>
      </c>
      <c r="F11" s="79" t="str">
        <f>IF('세출(원안)'!F82="","",'세출(원안)'!F82)</f>
        <v/>
      </c>
      <c r="G11" s="80" t="str">
        <f>IF('세출(원안)'!G82="","",'세출(원안)'!G82)</f>
        <v/>
      </c>
      <c r="H11" s="77"/>
      <c r="I11" s="80" t="str">
        <f t="shared" si="0"/>
        <v/>
      </c>
      <c r="J11" s="80" t="str">
        <f t="shared" si="1"/>
        <v/>
      </c>
      <c r="K11" s="87">
        <f>IF('세출(원안)'!J82="","",'세출(원안)'!J82)</f>
        <v>450000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9.95" customHeight="1">
      <c r="A12" s="79" t="str">
        <f>IF('세출(원안)'!A88="","",'세출(원안)'!A88)</f>
        <v/>
      </c>
      <c r="B12" s="79" t="str">
        <f>IF('세출(원안)'!B88="","",'세출(원안)'!B88)</f>
        <v>특수교육교과활동</v>
      </c>
      <c r="C12" s="79" t="str">
        <f>IF('세출(원안)'!C88="","",'세출(원안)'!C88)</f>
        <v>교과운영</v>
      </c>
      <c r="D12" s="79" t="str">
        <f>IF('세출(원안)'!D88="","",'세출(원안)'!D88)</f>
        <v>일반업무추진비</v>
      </c>
      <c r="E12" s="79" t="str">
        <f>IF('세출(원안)'!E88="","",'세출(원안)'!E88)</f>
        <v>(개별)통합교육지원협의회비</v>
      </c>
      <c r="F12" s="79" t="str">
        <f>IF('세출(원안)'!F88="","",'세출(원안)'!F88)</f>
        <v/>
      </c>
      <c r="G12" s="80" t="str">
        <f>IF('세출(원안)'!G88="","",'세출(원안)'!G88)</f>
        <v/>
      </c>
      <c r="H12" s="77"/>
      <c r="I12" s="80" t="str">
        <f t="shared" si="0"/>
        <v/>
      </c>
      <c r="J12" s="80" t="str">
        <f t="shared" si="1"/>
        <v/>
      </c>
      <c r="K12" s="87">
        <f>IF('세출(원안)'!J88="","",'세출(원안)'!J88)</f>
        <v>300000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9.95" customHeight="1">
      <c r="A13" s="79" t="str">
        <f>IF('세출(원안)'!A93="","",'세출(원안)'!A93)</f>
        <v/>
      </c>
      <c r="B13" s="79" t="str">
        <f>IF('세출(원안)'!B93="","",'세출(원안)'!B93)</f>
        <v>자율활동</v>
      </c>
      <c r="C13" s="79" t="str">
        <f>IF('세출(원안)'!C93="","",'세출(원안)'!C93)</f>
        <v>교직원체육연수비</v>
      </c>
      <c r="D13" s="79" t="str">
        <f>IF('세출(원안)'!D93="","",'세출(원안)'!D93)</f>
        <v>일반업무추진비</v>
      </c>
      <c r="E13" s="79" t="str">
        <f>IF('세출(원안)'!E93="","",'세출(원안)'!E93)</f>
        <v>협의회비</v>
      </c>
      <c r="F13" s="79" t="str">
        <f>IF('세출(원안)'!F93="","",'세출(원안)'!F93)</f>
        <v/>
      </c>
      <c r="G13" s="80" t="str">
        <f>IF('세출(원안)'!G93="","",'세출(원안)'!G93)</f>
        <v/>
      </c>
      <c r="H13" s="77"/>
      <c r="I13" s="80" t="str">
        <f t="shared" si="0"/>
        <v/>
      </c>
      <c r="J13" s="80" t="str">
        <f t="shared" si="1"/>
        <v/>
      </c>
      <c r="K13" s="87">
        <f>IF('세출(원안)'!J93="","",'세출(원안)'!J93)</f>
        <v>1800000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9.95" customHeight="1">
      <c r="A14" s="79" t="str">
        <f>IF('세출(원안)'!A100="","",'세출(원안)'!A100)</f>
        <v/>
      </c>
      <c r="B14" s="79" t="str">
        <f>IF('세출(원안)'!B100="","",'세출(원안)'!B100)</f>
        <v>독서활동운영</v>
      </c>
      <c r="C14" s="79" t="str">
        <f>IF('세출(원안)'!C100="","",'세출(원안)'!C100)</f>
        <v>도서관운영</v>
      </c>
      <c r="D14" s="79" t="str">
        <f>IF('세출(원안)'!D100="","",'세출(원안)'!D100)</f>
        <v>일반업무추진비</v>
      </c>
      <c r="E14" s="79" t="str">
        <f>IF('세출(원안)'!E100="","",'세출(원안)'!E100)</f>
        <v>명예교사업무협의회</v>
      </c>
      <c r="F14" s="79" t="str">
        <f>IF('세출(원안)'!F100="","",'세출(원안)'!F100)</f>
        <v/>
      </c>
      <c r="G14" s="80" t="str">
        <f>IF('세출(원안)'!G100="","",'세출(원안)'!G100)</f>
        <v/>
      </c>
      <c r="H14" s="77"/>
      <c r="I14" s="80" t="str">
        <f t="shared" si="0"/>
        <v/>
      </c>
      <c r="J14" s="80" t="str">
        <f t="shared" si="1"/>
        <v/>
      </c>
      <c r="K14" s="87">
        <f>IF('세출(원안)'!J100="","",'세출(원안)'!J100)</f>
        <v>100000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s="9" customFormat="1" ht="19.95" customHeight="1">
      <c r="A15" s="79" t="str">
        <f>IF('세출(원안)'!A119="","",'세출(원안)'!A119)</f>
        <v/>
      </c>
      <c r="B15" s="79" t="str">
        <f>IF('세출(원안)'!B119="","",'세출(원안)'!B119)</f>
        <v>교무학사운영</v>
      </c>
      <c r="C15" s="79" t="str">
        <f>IF('세출(원안)'!C119="","",'세출(원안)'!C119)</f>
        <v>교무학사운영</v>
      </c>
      <c r="D15" s="79" t="str">
        <f>IF('세출(원안)'!D119="","",'세출(원안)'!D119)</f>
        <v>일반업무추진비</v>
      </c>
      <c r="E15" s="79" t="str">
        <f>IF('세출(원안)'!E119="","",'세출(원안)'!E119)</f>
        <v>부장연수업무추진비</v>
      </c>
      <c r="F15" s="79" t="str">
        <f>IF('세출(원안)'!F119="","",'세출(원안)'!F119)</f>
        <v/>
      </c>
      <c r="G15" s="80" t="str">
        <f>IF('세출(원안)'!G119="","",'세출(원안)'!G119)</f>
        <v/>
      </c>
      <c r="H15" s="77"/>
      <c r="I15" s="80" t="str">
        <f t="shared" si="0"/>
        <v/>
      </c>
      <c r="J15" s="80" t="str">
        <f t="shared" si="1"/>
        <v/>
      </c>
      <c r="K15" s="87">
        <f>IF('세출(원안)'!J119="","",'세출(원안)'!J119)</f>
        <v>1300000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s="9" customFormat="1" ht="19.95" customHeight="1">
      <c r="A16" s="79" t="str">
        <f>IF('세출(원안)'!A120="","",'세출(원안)'!A120)</f>
        <v/>
      </c>
      <c r="B16" s="79" t="str">
        <f>IF('세출(원안)'!B120="","",'세출(원안)'!B120)</f>
        <v>교무학사운영</v>
      </c>
      <c r="C16" s="79" t="str">
        <f>IF('세출(원안)'!C120="","",'세출(원안)'!C120)</f>
        <v>교무학사운영</v>
      </c>
      <c r="D16" s="79" t="str">
        <f>IF('세출(원안)'!D120="","",'세출(원안)'!D120)</f>
        <v>일반업무추진비</v>
      </c>
      <c r="E16" s="79" t="str">
        <f>IF('세출(원안)'!E120="","",'세출(원안)'!E120)</f>
        <v>졸업식협의회비</v>
      </c>
      <c r="F16" s="79" t="str">
        <f>IF('세출(원안)'!F120="","",'세출(원안)'!F120)</f>
        <v/>
      </c>
      <c r="G16" s="80" t="str">
        <f>IF('세출(원안)'!G120="","",'세출(원안)'!G120)</f>
        <v/>
      </c>
      <c r="H16" s="77"/>
      <c r="I16" s="80" t="str">
        <f t="shared" si="0"/>
        <v/>
      </c>
      <c r="J16" s="80" t="str">
        <f t="shared" si="1"/>
        <v/>
      </c>
      <c r="K16" s="87">
        <f>IF('세출(원안)'!J120="","",'세출(원안)'!J120)</f>
        <v>300000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s="9" customFormat="1" ht="19.95" customHeight="1">
      <c r="A17" s="79" t="str">
        <f>IF('세출(원안)'!A121="","",'세출(원안)'!A121)</f>
        <v/>
      </c>
      <c r="B17" s="79" t="str">
        <f>IF('세출(원안)'!B121="","",'세출(원안)'!B121)</f>
        <v>교무학사운영</v>
      </c>
      <c r="C17" s="79" t="str">
        <f>IF('세출(원안)'!C121="","",'세출(원안)'!C121)</f>
        <v>교무학사운영</v>
      </c>
      <c r="D17" s="79" t="str">
        <f>IF('세출(원안)'!D121="","",'세출(원안)'!D121)</f>
        <v>일반업무추진비</v>
      </c>
      <c r="E17" s="79" t="str">
        <f>IF('세출(원안)'!E121="","",'세출(원안)'!E121)</f>
        <v>접대용품구입</v>
      </c>
      <c r="F17" s="79" t="str">
        <f>IF('세출(원안)'!F121="","",'세출(원안)'!F121)</f>
        <v/>
      </c>
      <c r="G17" s="80" t="str">
        <f>IF('세출(원안)'!G121="","",'세출(원안)'!G121)</f>
        <v/>
      </c>
      <c r="H17" s="77"/>
      <c r="I17" s="80" t="str">
        <f t="shared" si="0"/>
        <v/>
      </c>
      <c r="J17" s="80" t="str">
        <f t="shared" si="1"/>
        <v/>
      </c>
      <c r="K17" s="87">
        <f>IF('세출(원안)'!J121="","",'세출(원안)'!J121)</f>
        <v>1000000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s="9" customFormat="1" ht="19.95" customHeight="1">
      <c r="A18" s="79" t="str">
        <f>IF('세출(원안)'!A122="","",'세출(원안)'!A122)</f>
        <v/>
      </c>
      <c r="B18" s="79" t="str">
        <f>IF('세출(원안)'!B122="","",'세출(원안)'!B122)</f>
        <v>교무학사운영</v>
      </c>
      <c r="C18" s="79" t="str">
        <f>IF('세출(원안)'!C122="","",'세출(원안)'!C122)</f>
        <v>교무학사운영</v>
      </c>
      <c r="D18" s="79" t="str">
        <f>IF('세출(원안)'!D122="","",'세출(원안)'!D122)</f>
        <v>일반업무추진비</v>
      </c>
      <c r="E18" s="79" t="str">
        <f>IF('세출(원안)'!E122="","",'세출(원안)'!E122)</f>
        <v>교무실협의회비</v>
      </c>
      <c r="F18" s="79" t="str">
        <f>IF('세출(원안)'!F122="","",'세출(원안)'!F122)</f>
        <v/>
      </c>
      <c r="G18" s="80" t="str">
        <f>IF('세출(원안)'!G122="","",'세출(원안)'!G122)</f>
        <v/>
      </c>
      <c r="H18" s="77"/>
      <c r="I18" s="80" t="str">
        <f t="shared" si="0"/>
        <v/>
      </c>
      <c r="J18" s="80" t="str">
        <f t="shared" si="1"/>
        <v/>
      </c>
      <c r="K18" s="87">
        <f>IF('세출(원안)'!J122="","",'세출(원안)'!J122)</f>
        <v>600000</v>
      </c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s="9" customFormat="1" ht="19.95" customHeight="1">
      <c r="A19" s="79" t="str">
        <f>IF('세출(원안)'!A123="","",'세출(원안)'!A123)</f>
        <v/>
      </c>
      <c r="B19" s="79" t="str">
        <f>IF('세출(원안)'!B123="","",'세출(원안)'!B123)</f>
        <v>교무학사운영</v>
      </c>
      <c r="C19" s="79" t="str">
        <f>IF('세출(원안)'!C123="","",'세출(원안)'!C123)</f>
        <v>교무학사운영</v>
      </c>
      <c r="D19" s="79" t="str">
        <f>IF('세출(원안)'!D123="","",'세출(원안)'!D123)</f>
        <v>일반업무추진비</v>
      </c>
      <c r="E19" s="79" t="str">
        <f>IF('세출(원안)'!E123="","",'세출(원안)'!E123)</f>
        <v>학년,부서별협의회비</v>
      </c>
      <c r="F19" s="79" t="str">
        <f>IF('세출(원안)'!F123="","",'세출(원안)'!F123)</f>
        <v/>
      </c>
      <c r="G19" s="80" t="str">
        <f>IF('세출(원안)'!G123="","",'세출(원안)'!G123)</f>
        <v/>
      </c>
      <c r="H19" s="77"/>
      <c r="I19" s="80" t="str">
        <f t="shared" si="0"/>
        <v/>
      </c>
      <c r="J19" s="80" t="str">
        <f t="shared" si="1"/>
        <v/>
      </c>
      <c r="K19" s="87">
        <f>IF('세출(원안)'!J123="","",'세출(원안)'!J123)</f>
        <v>2500000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s="9" customFormat="1" ht="19.95" customHeight="1">
      <c r="A20" s="79" t="str">
        <f>IF('세출(원안)'!A124="","",'세출(원안)'!A124)</f>
        <v/>
      </c>
      <c r="B20" s="79" t="str">
        <f>IF('세출(원안)'!B124="","",'세출(원안)'!B124)</f>
        <v>교무학사운영</v>
      </c>
      <c r="C20" s="79" t="str">
        <f>IF('세출(원안)'!C124="","",'세출(원안)'!C124)</f>
        <v>교무학사운영</v>
      </c>
      <c r="D20" s="79" t="str">
        <f>IF('세출(원안)'!D124="","",'세출(원안)'!D124)</f>
        <v>일반업무추진비</v>
      </c>
      <c r="E20" s="79" t="str">
        <f>IF('세출(원안)'!E124="","",'세출(원안)'!E124)</f>
        <v>커피원두 및 차 구입</v>
      </c>
      <c r="F20" s="79" t="str">
        <f>IF('세출(원안)'!F124="","",'세출(원안)'!F124)</f>
        <v/>
      </c>
      <c r="G20" s="80" t="str">
        <f>IF('세출(원안)'!G124="","",'세출(원안)'!G124)</f>
        <v/>
      </c>
      <c r="H20" s="77"/>
      <c r="I20" s="80" t="str">
        <f t="shared" si="0"/>
        <v/>
      </c>
      <c r="J20" s="80" t="str">
        <f t="shared" si="1"/>
        <v/>
      </c>
      <c r="K20" s="87">
        <f>IF('세출(원안)'!J124="","",'세출(원안)'!J124)</f>
        <v>2000000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s="9" customFormat="1" ht="19.95" customHeight="1">
      <c r="A21" s="79" t="str">
        <f>IF('세출(원안)'!A128="","",'세출(원안)'!A128)</f>
        <v/>
      </c>
      <c r="B21" s="79" t="str">
        <f>IF('세출(원안)'!B128="","",'세출(원안)'!B128)</f>
        <v>학생생활상담지도</v>
      </c>
      <c r="C21" s="79" t="str">
        <f>IF('세출(원안)'!C128="","",'세출(원안)'!C128)</f>
        <v>녹색어머니회</v>
      </c>
      <c r="D21" s="79" t="str">
        <f>IF('세출(원안)'!D128="","",'세출(원안)'!D128)</f>
        <v>일반업무추진비</v>
      </c>
      <c r="E21" s="79" t="str">
        <f>IF('세출(원안)'!E128="","",'세출(원안)'!E128)</f>
        <v>녹색어머니회업무협의회</v>
      </c>
      <c r="F21" s="79" t="str">
        <f>IF('세출(원안)'!F128="","",'세출(원안)'!F128)</f>
        <v/>
      </c>
      <c r="G21" s="80" t="str">
        <f>IF('세출(원안)'!G128="","",'세출(원안)'!G128)</f>
        <v/>
      </c>
      <c r="H21" s="77"/>
      <c r="I21" s="80" t="str">
        <f t="shared" si="0"/>
        <v/>
      </c>
      <c r="J21" s="80" t="str">
        <f t="shared" si="1"/>
        <v/>
      </c>
      <c r="K21" s="87">
        <f>IF('세출(원안)'!J128="","",'세출(원안)'!J128)</f>
        <v>100000</v>
      </c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s="9" customFormat="1" ht="19.95" customHeight="1">
      <c r="A22" s="79" t="str">
        <f>IF('세출(원안)'!A144="","",'세출(원안)'!A144)</f>
        <v/>
      </c>
      <c r="B22" s="79" t="str">
        <f>IF('세출(원안)'!B144="","",'세출(원안)'!B144)</f>
        <v>부서기본운영</v>
      </c>
      <c r="C22" s="79" t="str">
        <f>IF('세출(원안)'!C144="","",'세출(원안)'!C144)</f>
        <v>교장실운영</v>
      </c>
      <c r="D22" s="79" t="str">
        <f>IF('세출(원안)'!D144="","",'세출(원안)'!D144)</f>
        <v>일반업무추진비</v>
      </c>
      <c r="E22" s="79" t="str">
        <f>IF('세출(원안)'!E144="","",'세출(원안)'!E144)</f>
        <v>기관운영업무추진비</v>
      </c>
      <c r="F22" s="79" t="str">
        <f>IF('세출(원안)'!F144="","",'세출(원안)'!F144)</f>
        <v/>
      </c>
      <c r="G22" s="80" t="str">
        <f>IF('세출(원안)'!G144="","",'세출(원안)'!G144)</f>
        <v/>
      </c>
      <c r="H22" s="77"/>
      <c r="I22" s="80" t="str">
        <f t="shared" si="0"/>
        <v/>
      </c>
      <c r="J22" s="80" t="str">
        <f t="shared" si="1"/>
        <v/>
      </c>
      <c r="K22" s="87">
        <f>IF('세출(원안)'!J144="","",'세출(원안)'!J144)</f>
        <v>1740000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s="9" customFormat="1" ht="19.95" customHeight="1">
      <c r="A23" s="79" t="str">
        <f>IF('세출(원안)'!A159="","",'세출(원안)'!A159)</f>
        <v/>
      </c>
      <c r="B23" s="79" t="str">
        <f>IF('세출(원안)'!B159="","",'세출(원안)'!B159)</f>
        <v>부서기본운영</v>
      </c>
      <c r="C23" s="79" t="str">
        <f>IF('세출(원안)'!C159="","",'세출(원안)'!C159)</f>
        <v>행정실운영</v>
      </c>
      <c r="D23" s="79" t="str">
        <f>IF('세출(원안)'!D159="","",'세출(원안)'!D159)</f>
        <v>일반업무추진비</v>
      </c>
      <c r="E23" s="79" t="str">
        <f>IF('세출(원안)'!E159="","",'세출(원안)'!E159)</f>
        <v>접대용물품구매</v>
      </c>
      <c r="F23" s="79" t="str">
        <f>IF('세출(원안)'!F159="","",'세출(원안)'!F159)</f>
        <v/>
      </c>
      <c r="G23" s="80" t="str">
        <f>IF('세출(원안)'!G159="","",'세출(원안)'!G159)</f>
        <v/>
      </c>
      <c r="H23" s="77"/>
      <c r="I23" s="80" t="str">
        <f t="shared" si="0"/>
        <v/>
      </c>
      <c r="J23" s="80" t="str">
        <f t="shared" si="1"/>
        <v/>
      </c>
      <c r="K23" s="87">
        <f>IF('세출(원안)'!J159="","",'세출(원안)'!J159)</f>
        <v>800000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s="9" customFormat="1" ht="19.95" customHeight="1">
      <c r="A24" s="79" t="str">
        <f>IF('세출(원안)'!A160="","",'세출(원안)'!A160)</f>
        <v/>
      </c>
      <c r="B24" s="79" t="str">
        <f>IF('세출(원안)'!B160="","",'세출(원안)'!B160)</f>
        <v>부서기본운영</v>
      </c>
      <c r="C24" s="79" t="str">
        <f>IF('세출(원안)'!C160="","",'세출(원안)'!C160)</f>
        <v>행정실운영</v>
      </c>
      <c r="D24" s="79" t="str">
        <f>IF('세출(원안)'!D160="","",'세출(원안)'!D160)</f>
        <v>일반업무추진비</v>
      </c>
      <c r="E24" s="79" t="str">
        <f>IF('세출(원안)'!E160="","",'세출(원안)'!E160)</f>
        <v>행정실업무협의회</v>
      </c>
      <c r="F24" s="79" t="str">
        <f>IF('세출(원안)'!F160="","",'세출(원안)'!F160)</f>
        <v/>
      </c>
      <c r="G24" s="80" t="str">
        <f>IF('세출(원안)'!G160="","",'세출(원안)'!G160)</f>
        <v/>
      </c>
      <c r="H24" s="77"/>
      <c r="I24" s="80" t="str">
        <f t="shared" si="0"/>
        <v/>
      </c>
      <c r="J24" s="80" t="str">
        <f t="shared" si="1"/>
        <v/>
      </c>
      <c r="K24" s="87">
        <f>IF('세출(원안)'!J160="","",'세출(원안)'!J160)</f>
        <v>1000000</v>
      </c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s="9" customFormat="1" ht="19.95" customHeight="1">
      <c r="A25" s="79" t="str">
        <f>IF('세출(원안)'!A196="","",'세출(원안)'!A196)</f>
        <v/>
      </c>
      <c r="B25" s="79" t="str">
        <f>IF('세출(원안)'!B196="","",'세출(원안)'!B196)</f>
        <v>학교운영위원회운영</v>
      </c>
      <c r="C25" s="79" t="str">
        <f>IF('세출(원안)'!C196="","",'세출(원안)'!C196)</f>
        <v>학교운영위원회운영</v>
      </c>
      <c r="D25" s="79" t="str">
        <f>IF('세출(원안)'!D196="","",'세출(원안)'!D196)</f>
        <v>일반업무추진비</v>
      </c>
      <c r="E25" s="79" t="str">
        <f>IF('세출(원안)'!E196="","",'세출(원안)'!E196)</f>
        <v>학교운영위원회간담회</v>
      </c>
      <c r="F25" s="79" t="str">
        <f>IF('세출(원안)'!F196="","",'세출(원안)'!F196)</f>
        <v/>
      </c>
      <c r="G25" s="80" t="str">
        <f>IF('세출(원안)'!G196="","",'세출(원안)'!G196)</f>
        <v/>
      </c>
      <c r="H25" s="77"/>
      <c r="I25" s="80" t="str">
        <f t="shared" si="0"/>
        <v/>
      </c>
      <c r="J25" s="80" t="str">
        <f t="shared" si="1"/>
        <v/>
      </c>
      <c r="K25" s="87">
        <f>IF('세출(원안)'!J196="","",'세출(원안)'!J196)</f>
        <v>440000</v>
      </c>
      <c r="L25" s="7"/>
      <c r="M25" s="7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s="9" customFormat="1" ht="19.95" customHeight="1">
      <c r="A26" s="79" t="str">
        <f>IF('세출(원안)'!A197="","",'세출(원안)'!A197)</f>
        <v/>
      </c>
      <c r="B26" s="79" t="str">
        <f>IF('세출(원안)'!B197="","",'세출(원안)'!B197)</f>
        <v>학교운영위원회운영</v>
      </c>
      <c r="C26" s="79" t="str">
        <f>IF('세출(원안)'!C197="","",'세출(원안)'!C197)</f>
        <v>학교운영위원회운영</v>
      </c>
      <c r="D26" s="79" t="str">
        <f>IF('세출(원안)'!D197="","",'세출(원안)'!D197)</f>
        <v>일반업무추진비</v>
      </c>
      <c r="E26" s="79" t="str">
        <f>IF('세출(원안)'!E197="","",'세출(원안)'!E197)</f>
        <v>학교운영위원회물품구매</v>
      </c>
      <c r="F26" s="79" t="str">
        <f>IF('세출(원안)'!F197="","",'세출(원안)'!F197)</f>
        <v/>
      </c>
      <c r="G26" s="80" t="str">
        <f>IF('세출(원안)'!G197="","",'세출(원안)'!G197)</f>
        <v/>
      </c>
      <c r="H26" s="77"/>
      <c r="I26" s="80" t="str">
        <f t="shared" si="0"/>
        <v/>
      </c>
      <c r="J26" s="80" t="str">
        <f t="shared" si="1"/>
        <v/>
      </c>
      <c r="K26" s="87">
        <f>IF('세출(원안)'!J197="","",'세출(원안)'!J197)</f>
        <v>100000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9.95" customHeight="1">
      <c r="A27" s="79" t="str">
        <f>IF('세출(원안)'!A200="","",'세출(원안)'!A200)</f>
        <v/>
      </c>
      <c r="B27" s="79" t="str">
        <f>IF('세출(원안)'!B200="","",'세출(원안)'!B200)</f>
        <v>학부모협력</v>
      </c>
      <c r="C27" s="79" t="str">
        <f>IF('세출(원안)'!C200="","",'세출(원안)'!C200)</f>
        <v>학부모회운영</v>
      </c>
      <c r="D27" s="79" t="str">
        <f>IF('세출(원안)'!D200="","",'세출(원안)'!D200)</f>
        <v>일반업무추진비</v>
      </c>
      <c r="E27" s="79" t="str">
        <f>IF('세출(원안)'!E200="","",'세출(원안)'!E200)</f>
        <v>(통합)학부모단체활동비행사지원</v>
      </c>
      <c r="F27" s="79" t="str">
        <f>IF('세출(원안)'!F200="","",'세출(원안)'!F200)</f>
        <v/>
      </c>
      <c r="G27" s="80" t="str">
        <f>IF('세출(원안)'!G200="","",'세출(원안)'!G200)</f>
        <v/>
      </c>
      <c r="H27" s="77"/>
      <c r="I27" s="80" t="str">
        <f t="shared" si="0"/>
        <v/>
      </c>
      <c r="J27" s="80" t="str">
        <f t="shared" si="1"/>
        <v/>
      </c>
      <c r="K27" s="87">
        <f>IF('세출(원안)'!J200="","",'세출(원안)'!J200)</f>
        <v>300000</v>
      </c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0.199999999999999" customHeight="1">
      <c r="A28" s="29"/>
      <c r="B28" s="29"/>
      <c r="C28" s="29"/>
      <c r="D28" s="29"/>
      <c r="E28" s="29"/>
      <c r="F28" s="29"/>
      <c r="G28" s="25"/>
      <c r="H28" s="25"/>
      <c r="I28" s="25"/>
      <c r="J28" s="25"/>
      <c r="K28" s="2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0.199999999999999" customHeight="1">
      <c r="A29" s="29"/>
      <c r="B29" s="29"/>
      <c r="C29" s="29"/>
      <c r="D29" s="29"/>
      <c r="E29" s="29"/>
      <c r="F29" s="29"/>
      <c r="G29" s="25"/>
      <c r="H29" s="25"/>
      <c r="I29" s="25"/>
      <c r="J29" s="25"/>
      <c r="K29" s="2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0.199999999999999" customHeight="1">
      <c r="A30" s="29"/>
      <c r="B30" s="29"/>
      <c r="C30" s="29"/>
      <c r="D30" s="29"/>
      <c r="E30" s="29"/>
      <c r="F30" s="29"/>
      <c r="G30" s="25"/>
      <c r="H30" s="25"/>
      <c r="I30" s="25"/>
      <c r="J30" s="25"/>
      <c r="K30" s="2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6">
      <c r="A31" s="29"/>
      <c r="B31" s="29"/>
      <c r="C31" s="29"/>
      <c r="D31" s="29"/>
      <c r="E31" s="29"/>
      <c r="F31" s="31"/>
      <c r="G31" s="25"/>
      <c r="H31" s="25"/>
      <c r="I31" s="25"/>
      <c r="J31" s="25"/>
      <c r="K31" s="25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5.6">
      <c r="A32" s="23"/>
      <c r="B32" s="20"/>
      <c r="C32" s="20"/>
      <c r="D32" s="20"/>
      <c r="E32" s="20"/>
      <c r="F32" s="20"/>
      <c r="G32" s="15"/>
      <c r="H32" s="15"/>
      <c r="I32" s="15"/>
      <c r="J32" s="15"/>
      <c r="K32" s="1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5.6">
      <c r="A33" s="23"/>
      <c r="B33" s="20"/>
      <c r="C33" s="20"/>
      <c r="D33" s="20"/>
      <c r="E33" s="20"/>
      <c r="F33" s="20"/>
      <c r="G33" s="15"/>
      <c r="H33" s="15"/>
      <c r="I33" s="15"/>
      <c r="J33" s="15"/>
      <c r="K33" s="1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5.6">
      <c r="A34" s="23"/>
      <c r="B34" s="20"/>
      <c r="C34" s="20"/>
      <c r="D34" s="20"/>
      <c r="E34" s="20"/>
      <c r="F34" s="20"/>
      <c r="G34" s="15"/>
      <c r="H34" s="15"/>
      <c r="I34" s="15"/>
      <c r="J34" s="15"/>
      <c r="K34" s="1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15.6">
      <c r="A35" s="23"/>
      <c r="B35" s="20"/>
      <c r="C35" s="20"/>
      <c r="D35" s="20"/>
      <c r="E35" s="20"/>
      <c r="F35" s="20"/>
      <c r="G35" s="15"/>
      <c r="H35" s="15"/>
      <c r="I35" s="15"/>
      <c r="J35" s="15"/>
      <c r="K35" s="1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15.6">
      <c r="A36" s="23"/>
      <c r="B36" s="20"/>
      <c r="C36" s="20"/>
      <c r="D36" s="20"/>
      <c r="E36" s="20"/>
      <c r="F36" s="20"/>
      <c r="G36" s="15"/>
      <c r="H36" s="15"/>
      <c r="I36" s="15"/>
      <c r="J36" s="15"/>
      <c r="K36" s="1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15.6">
      <c r="A37" s="23"/>
      <c r="B37" s="20"/>
      <c r="C37" s="20"/>
      <c r="D37" s="20"/>
      <c r="E37" s="20"/>
      <c r="F37" s="20"/>
      <c r="G37" s="15"/>
      <c r="H37" s="15"/>
      <c r="I37" s="15"/>
      <c r="J37" s="15"/>
      <c r="K37" s="1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5.6">
      <c r="A38" s="23"/>
      <c r="B38" s="20"/>
      <c r="C38" s="20"/>
      <c r="D38" s="20"/>
      <c r="E38" s="20"/>
      <c r="F38" s="20"/>
      <c r="G38" s="15"/>
      <c r="H38" s="15"/>
      <c r="I38" s="15"/>
      <c r="J38" s="15"/>
      <c r="K38" s="1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15.6">
      <c r="A39" s="23"/>
      <c r="B39" s="20"/>
      <c r="C39" s="20"/>
      <c r="D39" s="20"/>
      <c r="E39" s="20"/>
      <c r="F39" s="20"/>
      <c r="G39" s="15"/>
      <c r="H39" s="15"/>
      <c r="I39" s="15"/>
      <c r="J39" s="15"/>
      <c r="K39" s="1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15.6">
      <c r="A40" s="23"/>
      <c r="B40" s="20"/>
      <c r="C40" s="20"/>
      <c r="D40" s="20"/>
      <c r="E40" s="20"/>
      <c r="F40" s="20"/>
      <c r="G40" s="15"/>
      <c r="H40" s="15"/>
      <c r="I40" s="15"/>
      <c r="J40" s="15"/>
      <c r="K40" s="1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15.6">
      <c r="A41" s="23"/>
      <c r="B41" s="20"/>
      <c r="C41" s="20"/>
      <c r="D41" s="20"/>
      <c r="E41" s="20"/>
      <c r="F41" s="20"/>
      <c r="G41" s="15"/>
      <c r="H41" s="15"/>
      <c r="I41" s="15"/>
      <c r="J41" s="15"/>
      <c r="K41" s="1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15.6">
      <c r="A42" s="23"/>
      <c r="B42" s="20"/>
      <c r="C42" s="20"/>
      <c r="D42" s="20"/>
      <c r="E42" s="20"/>
      <c r="F42" s="20"/>
      <c r="G42" s="15"/>
      <c r="H42" s="15"/>
      <c r="I42" s="15"/>
      <c r="J42" s="15"/>
      <c r="K42" s="1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5.6">
      <c r="A43" s="23"/>
      <c r="B43" s="20"/>
      <c r="C43" s="20"/>
      <c r="D43" s="20"/>
      <c r="E43" s="20"/>
      <c r="F43" s="20"/>
      <c r="G43" s="15"/>
      <c r="H43" s="15"/>
      <c r="I43" s="15"/>
      <c r="J43" s="15"/>
      <c r="K43" s="1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5.6">
      <c r="A44" s="23"/>
      <c r="B44" s="20"/>
      <c r="C44" s="20"/>
      <c r="D44" s="20"/>
      <c r="E44" s="20"/>
      <c r="F44" s="20"/>
      <c r="G44" s="15"/>
      <c r="H44" s="15"/>
      <c r="I44" s="15"/>
      <c r="J44" s="15"/>
      <c r="K44" s="1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5.6">
      <c r="A45" s="23"/>
      <c r="B45" s="20"/>
      <c r="C45" s="20"/>
      <c r="D45" s="20"/>
      <c r="E45" s="20"/>
      <c r="F45" s="20"/>
      <c r="G45" s="15"/>
      <c r="H45" s="15"/>
      <c r="I45" s="15"/>
      <c r="J45" s="15"/>
      <c r="K45" s="1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15.6">
      <c r="A46" s="23"/>
      <c r="B46" s="20"/>
      <c r="C46" s="20"/>
      <c r="D46" s="20"/>
      <c r="E46" s="20"/>
      <c r="F46" s="20"/>
      <c r="G46" s="15"/>
      <c r="H46" s="15"/>
      <c r="I46" s="15"/>
      <c r="J46" s="15"/>
      <c r="K46" s="1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5.6">
      <c r="A47" s="23"/>
      <c r="B47" s="20"/>
      <c r="C47" s="20"/>
      <c r="D47" s="20"/>
      <c r="E47" s="20"/>
      <c r="F47" s="20"/>
      <c r="G47" s="15"/>
      <c r="H47" s="15"/>
      <c r="I47" s="15"/>
      <c r="J47" s="15"/>
      <c r="K47" s="1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5.6">
      <c r="A48" s="23"/>
      <c r="B48" s="20"/>
      <c r="C48" s="20"/>
      <c r="D48" s="20"/>
      <c r="E48" s="20"/>
      <c r="F48" s="20"/>
      <c r="G48" s="15"/>
      <c r="H48" s="15"/>
      <c r="I48" s="15"/>
      <c r="J48" s="15"/>
      <c r="K48" s="1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5.6">
      <c r="A49" s="23"/>
      <c r="B49" s="20"/>
      <c r="C49" s="20"/>
      <c r="D49" s="20"/>
      <c r="E49" s="20"/>
      <c r="F49" s="20"/>
      <c r="G49" s="15"/>
      <c r="H49" s="15"/>
      <c r="I49" s="15"/>
      <c r="J49" s="15"/>
      <c r="K49" s="1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5.6">
      <c r="A50" s="23"/>
      <c r="B50" s="20"/>
      <c r="C50" s="20"/>
      <c r="D50" s="20"/>
      <c r="E50" s="20"/>
      <c r="F50" s="20"/>
      <c r="G50" s="15"/>
      <c r="H50" s="15"/>
      <c r="I50" s="15"/>
      <c r="J50" s="15"/>
      <c r="K50" s="1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5.6">
      <c r="A51" s="23"/>
      <c r="B51" s="20"/>
      <c r="C51" s="20"/>
      <c r="D51" s="20"/>
      <c r="E51" s="20"/>
      <c r="F51" s="20"/>
      <c r="G51" s="15"/>
      <c r="H51" s="15"/>
      <c r="I51" s="15"/>
      <c r="J51" s="15"/>
      <c r="K51" s="1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5.6">
      <c r="A52" s="23"/>
      <c r="B52" s="20"/>
      <c r="C52" s="20"/>
      <c r="D52" s="20"/>
      <c r="E52" s="20"/>
      <c r="F52" s="20"/>
      <c r="G52" s="15"/>
      <c r="H52" s="15"/>
      <c r="I52" s="15"/>
      <c r="J52" s="15"/>
      <c r="K52" s="1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5.6">
      <c r="A53" s="23"/>
      <c r="B53" s="20"/>
      <c r="C53" s="20"/>
      <c r="D53" s="20"/>
      <c r="E53" s="20"/>
      <c r="F53" s="20"/>
      <c r="G53" s="15"/>
      <c r="H53" s="15"/>
      <c r="I53" s="15"/>
      <c r="J53" s="15"/>
      <c r="K53" s="1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5.6">
      <c r="A54" s="23"/>
      <c r="B54" s="20"/>
      <c r="C54" s="20"/>
      <c r="D54" s="20"/>
      <c r="E54" s="20"/>
      <c r="F54" s="20"/>
      <c r="G54" s="15"/>
      <c r="H54" s="15"/>
      <c r="I54" s="15"/>
      <c r="J54" s="15"/>
      <c r="K54" s="1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.6">
      <c r="A55" s="23"/>
      <c r="B55" s="20"/>
      <c r="C55" s="20"/>
      <c r="D55" s="20"/>
      <c r="E55" s="20"/>
      <c r="F55" s="20"/>
      <c r="G55" s="15"/>
      <c r="H55" s="15"/>
      <c r="I55" s="15"/>
      <c r="J55" s="15"/>
      <c r="K55" s="1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.6">
      <c r="A56" s="23"/>
      <c r="B56" s="20"/>
      <c r="C56" s="20"/>
      <c r="D56" s="20"/>
      <c r="E56" s="20"/>
      <c r="F56" s="20"/>
      <c r="G56" s="15"/>
      <c r="H56" s="15"/>
      <c r="I56" s="15"/>
      <c r="J56" s="15"/>
      <c r="K56" s="1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.6">
      <c r="A57" s="23"/>
      <c r="B57" s="20"/>
      <c r="C57" s="20"/>
      <c r="D57" s="20"/>
      <c r="E57" s="20"/>
      <c r="F57" s="20"/>
      <c r="G57" s="15"/>
      <c r="H57" s="15"/>
      <c r="I57" s="15"/>
      <c r="J57" s="15"/>
      <c r="K57" s="1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5.6">
      <c r="A58" s="23"/>
      <c r="B58" s="20"/>
      <c r="C58" s="20"/>
      <c r="D58" s="20"/>
      <c r="E58" s="20"/>
      <c r="F58" s="20"/>
      <c r="G58" s="15"/>
      <c r="H58" s="15"/>
      <c r="I58" s="15"/>
      <c r="J58" s="15"/>
      <c r="K58" s="1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.6">
      <c r="A59" s="23"/>
      <c r="B59" s="20"/>
      <c r="C59" s="20"/>
      <c r="D59" s="20"/>
      <c r="E59" s="20"/>
      <c r="F59" s="20"/>
      <c r="G59" s="15"/>
      <c r="H59" s="15"/>
      <c r="I59" s="15"/>
      <c r="J59" s="15"/>
      <c r="K59" s="1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.6">
      <c r="A60" s="23"/>
      <c r="B60" s="20"/>
      <c r="C60" s="20"/>
      <c r="D60" s="20"/>
      <c r="E60" s="20"/>
      <c r="F60" s="20"/>
      <c r="G60" s="15"/>
      <c r="H60" s="15"/>
      <c r="I60" s="15"/>
      <c r="J60" s="15"/>
      <c r="K60" s="1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5.6">
      <c r="A61" s="23"/>
      <c r="B61" s="20"/>
      <c r="C61" s="20"/>
      <c r="D61" s="20"/>
      <c r="E61" s="20"/>
      <c r="F61" s="20"/>
      <c r="G61" s="15"/>
      <c r="H61" s="15"/>
      <c r="I61" s="15"/>
      <c r="J61" s="15"/>
      <c r="K61" s="1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5.6">
      <c r="A62" s="23"/>
      <c r="B62" s="20"/>
      <c r="C62" s="20"/>
      <c r="D62" s="20"/>
      <c r="E62" s="20"/>
      <c r="F62" s="20"/>
      <c r="G62" s="15"/>
      <c r="H62" s="15"/>
      <c r="I62" s="15"/>
      <c r="J62" s="15"/>
      <c r="K62" s="1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5.6">
      <c r="A63" s="23"/>
      <c r="B63" s="20"/>
      <c r="C63" s="20"/>
      <c r="D63" s="20"/>
      <c r="E63" s="20"/>
      <c r="F63" s="20"/>
      <c r="G63" s="15"/>
      <c r="H63" s="15"/>
      <c r="I63" s="15"/>
      <c r="J63" s="15"/>
      <c r="K63" s="1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5.6">
      <c r="A64" s="23"/>
      <c r="B64" s="20"/>
      <c r="C64" s="20"/>
      <c r="D64" s="20"/>
      <c r="E64" s="20"/>
      <c r="F64" s="20"/>
      <c r="G64" s="15"/>
      <c r="H64" s="15"/>
      <c r="I64" s="15"/>
      <c r="J64" s="15"/>
      <c r="K64" s="1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5.6">
      <c r="A65" s="23"/>
      <c r="B65" s="20"/>
      <c r="C65" s="20"/>
      <c r="D65" s="20"/>
      <c r="E65" s="20"/>
      <c r="F65" s="20"/>
      <c r="G65" s="15"/>
      <c r="H65" s="15"/>
      <c r="I65" s="15"/>
      <c r="J65" s="15"/>
      <c r="K65" s="18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5.6">
      <c r="A66" s="23"/>
      <c r="B66" s="20"/>
      <c r="C66" s="20"/>
      <c r="D66" s="20"/>
      <c r="E66" s="20"/>
      <c r="F66" s="20"/>
      <c r="G66" s="15"/>
      <c r="H66" s="15"/>
      <c r="I66" s="15"/>
      <c r="J66" s="15"/>
      <c r="K66" s="18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5.6">
      <c r="A67" s="23"/>
      <c r="B67" s="20"/>
      <c r="C67" s="20"/>
      <c r="D67" s="20"/>
      <c r="E67" s="20"/>
      <c r="F67" s="20"/>
      <c r="G67" s="15"/>
      <c r="H67" s="15"/>
      <c r="I67" s="15"/>
      <c r="J67" s="15"/>
      <c r="K67" s="18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5.6">
      <c r="A68" s="23"/>
      <c r="B68" s="20"/>
      <c r="C68" s="20"/>
      <c r="D68" s="20"/>
      <c r="E68" s="20"/>
      <c r="F68" s="20"/>
      <c r="G68" s="15"/>
      <c r="H68" s="15"/>
      <c r="I68" s="15"/>
      <c r="J68" s="15"/>
      <c r="K68" s="1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5.6">
      <c r="A69" s="23"/>
      <c r="B69" s="20"/>
      <c r="C69" s="20"/>
      <c r="D69" s="20"/>
      <c r="E69" s="20"/>
      <c r="F69" s="20"/>
      <c r="G69" s="15"/>
      <c r="H69" s="15"/>
      <c r="I69" s="15"/>
      <c r="J69" s="15"/>
      <c r="K69" s="1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5.6">
      <c r="A70" s="23"/>
      <c r="B70" s="20"/>
      <c r="C70" s="20"/>
      <c r="D70" s="20"/>
      <c r="E70" s="20"/>
      <c r="F70" s="20"/>
      <c r="G70" s="15"/>
      <c r="H70" s="15"/>
      <c r="I70" s="15"/>
      <c r="J70" s="15"/>
      <c r="K70" s="1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5.6">
      <c r="A71" s="23"/>
      <c r="B71" s="20"/>
      <c r="C71" s="20"/>
      <c r="D71" s="20"/>
      <c r="E71" s="20"/>
      <c r="F71" s="20"/>
      <c r="G71" s="15"/>
      <c r="H71" s="15"/>
      <c r="I71" s="15"/>
      <c r="J71" s="15"/>
      <c r="K71" s="1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5.6">
      <c r="A72" s="23"/>
      <c r="B72" s="20"/>
      <c r="C72" s="20"/>
      <c r="D72" s="20"/>
      <c r="E72" s="20"/>
      <c r="F72" s="20"/>
      <c r="G72" s="15"/>
      <c r="H72" s="15"/>
      <c r="I72" s="15"/>
      <c r="J72" s="15"/>
      <c r="K72" s="1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5.6">
      <c r="A73" s="23"/>
      <c r="B73" s="20"/>
      <c r="C73" s="20"/>
      <c r="D73" s="20"/>
      <c r="E73" s="20"/>
      <c r="F73" s="20"/>
      <c r="G73" s="15"/>
      <c r="H73" s="15"/>
      <c r="I73" s="15"/>
      <c r="J73" s="15"/>
      <c r="K73" s="1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5.6">
      <c r="A74" s="23"/>
      <c r="B74" s="20"/>
      <c r="C74" s="20"/>
      <c r="D74" s="20"/>
      <c r="E74" s="20"/>
      <c r="F74" s="20"/>
      <c r="G74" s="15"/>
      <c r="H74" s="15"/>
      <c r="I74" s="15"/>
      <c r="J74" s="15"/>
      <c r="K74" s="1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5.6">
      <c r="A75" s="23"/>
      <c r="B75" s="20"/>
      <c r="C75" s="20"/>
      <c r="D75" s="20"/>
      <c r="E75" s="20"/>
      <c r="F75" s="20"/>
      <c r="G75" s="15"/>
      <c r="H75" s="15"/>
      <c r="I75" s="15"/>
      <c r="J75" s="15"/>
      <c r="K75" s="1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5.6">
      <c r="A76" s="23"/>
      <c r="B76" s="20"/>
      <c r="C76" s="20"/>
      <c r="D76" s="20"/>
      <c r="E76" s="20"/>
      <c r="F76" s="20"/>
      <c r="G76" s="15"/>
      <c r="H76" s="15"/>
      <c r="I76" s="15"/>
      <c r="J76" s="15"/>
      <c r="K76" s="1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5.6">
      <c r="A77" s="23"/>
      <c r="B77" s="20"/>
      <c r="C77" s="20"/>
      <c r="D77" s="20"/>
      <c r="E77" s="20"/>
      <c r="F77" s="20"/>
      <c r="G77" s="15"/>
      <c r="H77" s="15"/>
      <c r="I77" s="15"/>
      <c r="J77" s="15"/>
      <c r="K77" s="1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5.6">
      <c r="A78" s="23"/>
      <c r="B78" s="20"/>
      <c r="C78" s="20"/>
      <c r="D78" s="20"/>
      <c r="E78" s="20"/>
      <c r="F78" s="20"/>
      <c r="G78" s="15"/>
      <c r="H78" s="15"/>
      <c r="I78" s="15"/>
      <c r="J78" s="15"/>
      <c r="K78" s="1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5.6">
      <c r="A79" s="23"/>
      <c r="B79" s="20"/>
      <c r="C79" s="20"/>
      <c r="D79" s="20"/>
      <c r="E79" s="20"/>
      <c r="F79" s="20"/>
      <c r="G79" s="15"/>
      <c r="H79" s="15"/>
      <c r="I79" s="15"/>
      <c r="J79" s="15"/>
      <c r="K79" s="1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5.6">
      <c r="A80" s="23"/>
      <c r="B80" s="20"/>
      <c r="C80" s="20"/>
      <c r="D80" s="20"/>
      <c r="E80" s="20"/>
      <c r="F80" s="20"/>
      <c r="G80" s="15"/>
      <c r="H80" s="15"/>
      <c r="I80" s="15"/>
      <c r="J80" s="15"/>
      <c r="K80" s="1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5.6">
      <c r="A81" s="23"/>
      <c r="B81" s="20"/>
      <c r="C81" s="20"/>
      <c r="D81" s="20"/>
      <c r="E81" s="20"/>
      <c r="F81" s="20"/>
      <c r="G81" s="15"/>
      <c r="H81" s="15"/>
      <c r="I81" s="15"/>
      <c r="J81" s="15"/>
      <c r="K81" s="1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5.6">
      <c r="A82" s="23"/>
      <c r="B82" s="20"/>
      <c r="C82" s="20"/>
      <c r="D82" s="20"/>
      <c r="E82" s="20"/>
      <c r="F82" s="20"/>
      <c r="G82" s="15"/>
      <c r="H82" s="15"/>
      <c r="I82" s="15"/>
      <c r="J82" s="15"/>
      <c r="K82" s="1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5.6">
      <c r="A83" s="23"/>
      <c r="B83" s="20"/>
      <c r="C83" s="20"/>
      <c r="D83" s="20"/>
      <c r="E83" s="20"/>
      <c r="F83" s="20"/>
      <c r="G83" s="15"/>
      <c r="H83" s="15"/>
      <c r="I83" s="15"/>
      <c r="J83" s="15"/>
      <c r="K83" s="1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5.6">
      <c r="A84" s="23"/>
      <c r="B84" s="20"/>
      <c r="C84" s="20"/>
      <c r="D84" s="20"/>
      <c r="E84" s="20"/>
      <c r="F84" s="20"/>
      <c r="G84" s="15"/>
      <c r="H84" s="15"/>
      <c r="I84" s="15"/>
      <c r="J84" s="15"/>
      <c r="K84" s="1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5.6">
      <c r="A85" s="23"/>
      <c r="B85" s="20"/>
      <c r="C85" s="20"/>
      <c r="D85" s="20"/>
      <c r="E85" s="20"/>
      <c r="F85" s="20"/>
      <c r="G85" s="15"/>
      <c r="H85" s="15"/>
      <c r="I85" s="15"/>
      <c r="J85" s="15"/>
      <c r="K85" s="1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5.6">
      <c r="A86" s="23"/>
      <c r="B86" s="20"/>
      <c r="C86" s="20"/>
      <c r="D86" s="20"/>
      <c r="E86" s="20"/>
      <c r="F86" s="20"/>
      <c r="G86" s="15"/>
      <c r="H86" s="15"/>
      <c r="I86" s="15"/>
      <c r="J86" s="15"/>
      <c r="K86" s="1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5.6">
      <c r="A87" s="23"/>
      <c r="B87" s="20"/>
      <c r="C87" s="20"/>
      <c r="D87" s="20"/>
      <c r="E87" s="20"/>
      <c r="F87" s="20"/>
      <c r="G87" s="15"/>
      <c r="H87" s="15"/>
      <c r="I87" s="15"/>
      <c r="J87" s="15"/>
      <c r="K87" s="1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5.6">
      <c r="A88" s="23"/>
      <c r="B88" s="20"/>
      <c r="C88" s="20"/>
      <c r="D88" s="20"/>
      <c r="E88" s="20"/>
      <c r="F88" s="20"/>
      <c r="G88" s="15"/>
      <c r="H88" s="15"/>
      <c r="I88" s="15"/>
      <c r="J88" s="15"/>
      <c r="K88" s="1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5.6">
      <c r="A89" s="23"/>
      <c r="B89" s="20"/>
      <c r="C89" s="20"/>
      <c r="D89" s="20"/>
      <c r="E89" s="20"/>
      <c r="F89" s="20"/>
      <c r="G89" s="15"/>
      <c r="H89" s="15"/>
      <c r="I89" s="15"/>
      <c r="J89" s="15"/>
      <c r="K89" s="1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5.6">
      <c r="A90" s="23"/>
      <c r="B90" s="20"/>
      <c r="C90" s="20"/>
      <c r="D90" s="20"/>
      <c r="E90" s="20"/>
      <c r="F90" s="20"/>
      <c r="G90" s="15"/>
      <c r="H90" s="15"/>
      <c r="I90" s="15"/>
      <c r="J90" s="15"/>
      <c r="K90" s="1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5.6">
      <c r="A91" s="23"/>
      <c r="B91" s="20"/>
      <c r="C91" s="20"/>
      <c r="D91" s="20"/>
      <c r="E91" s="20"/>
      <c r="F91" s="20"/>
      <c r="G91" s="15"/>
      <c r="H91" s="15"/>
      <c r="I91" s="15"/>
      <c r="J91" s="15"/>
      <c r="K91" s="1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5.6">
      <c r="A92" s="23"/>
      <c r="B92" s="20"/>
      <c r="C92" s="20"/>
      <c r="D92" s="20"/>
      <c r="E92" s="20"/>
      <c r="F92" s="20"/>
      <c r="G92" s="15"/>
      <c r="H92" s="15"/>
      <c r="I92" s="15"/>
      <c r="J92" s="15"/>
      <c r="K92" s="1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5.6">
      <c r="A93" s="23"/>
      <c r="B93" s="20"/>
      <c r="C93" s="20"/>
      <c r="D93" s="20"/>
      <c r="E93" s="20"/>
      <c r="F93" s="20"/>
      <c r="G93" s="15"/>
      <c r="H93" s="15"/>
      <c r="I93" s="15"/>
      <c r="J93" s="15"/>
      <c r="K93" s="1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5.6">
      <c r="A94" s="23"/>
      <c r="B94" s="20"/>
      <c r="C94" s="20"/>
      <c r="D94" s="20"/>
      <c r="E94" s="20"/>
      <c r="F94" s="20"/>
      <c r="G94" s="15"/>
      <c r="H94" s="15"/>
      <c r="I94" s="15"/>
      <c r="J94" s="15"/>
      <c r="K94" s="1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5.6">
      <c r="A95" s="23"/>
      <c r="B95" s="20"/>
      <c r="C95" s="20"/>
      <c r="D95" s="20"/>
      <c r="E95" s="20"/>
      <c r="F95" s="20"/>
      <c r="G95" s="15"/>
      <c r="H95" s="15"/>
      <c r="I95" s="15"/>
      <c r="J95" s="15"/>
      <c r="K95" s="1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5.6">
      <c r="A96" s="23"/>
      <c r="B96" s="20"/>
      <c r="C96" s="20"/>
      <c r="D96" s="20"/>
      <c r="E96" s="20"/>
      <c r="F96" s="20"/>
      <c r="G96" s="15"/>
      <c r="H96" s="15"/>
      <c r="I96" s="15"/>
      <c r="J96" s="15"/>
      <c r="K96" s="1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5.6">
      <c r="A97" s="23"/>
      <c r="B97" s="20"/>
      <c r="C97" s="20"/>
      <c r="D97" s="20"/>
      <c r="E97" s="20"/>
      <c r="F97" s="20"/>
      <c r="G97" s="15"/>
      <c r="H97" s="15"/>
      <c r="I97" s="15"/>
      <c r="J97" s="15"/>
      <c r="K97" s="1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5.6">
      <c r="A98" s="23"/>
      <c r="B98" s="20"/>
      <c r="C98" s="20"/>
      <c r="D98" s="20"/>
      <c r="E98" s="20"/>
      <c r="F98" s="20"/>
      <c r="G98" s="15"/>
      <c r="H98" s="15"/>
      <c r="I98" s="15"/>
      <c r="J98" s="15"/>
      <c r="K98" s="1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5.6">
      <c r="A99" s="23"/>
      <c r="B99" s="20"/>
      <c r="C99" s="20"/>
      <c r="D99" s="20"/>
      <c r="E99" s="20"/>
      <c r="F99" s="20"/>
      <c r="G99" s="15"/>
      <c r="H99" s="15"/>
      <c r="I99" s="15"/>
      <c r="J99" s="15"/>
      <c r="K99" s="1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15.6">
      <c r="A100" s="23"/>
      <c r="B100" s="20"/>
      <c r="C100" s="20"/>
      <c r="D100" s="20"/>
      <c r="E100" s="20"/>
      <c r="F100" s="20"/>
      <c r="G100" s="15"/>
      <c r="H100" s="15"/>
      <c r="I100" s="15"/>
      <c r="J100" s="15"/>
      <c r="K100" s="1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5.6">
      <c r="A101" s="23"/>
      <c r="B101" s="20"/>
      <c r="C101" s="20"/>
      <c r="D101" s="20"/>
      <c r="E101" s="20"/>
      <c r="F101" s="20"/>
      <c r="G101" s="15"/>
      <c r="H101" s="15"/>
      <c r="I101" s="15"/>
      <c r="J101" s="15"/>
      <c r="K101" s="1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5.6">
      <c r="A102" s="23"/>
      <c r="B102" s="20"/>
      <c r="C102" s="20"/>
      <c r="D102" s="20"/>
      <c r="E102" s="20"/>
      <c r="F102" s="20"/>
      <c r="G102" s="15"/>
      <c r="H102" s="15"/>
      <c r="I102" s="15"/>
      <c r="J102" s="15"/>
      <c r="K102" s="18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5.6">
      <c r="A103" s="23"/>
      <c r="B103" s="20"/>
      <c r="C103" s="20"/>
      <c r="D103" s="20"/>
      <c r="E103" s="20"/>
      <c r="F103" s="20"/>
      <c r="G103" s="15"/>
      <c r="H103" s="15"/>
      <c r="I103" s="15"/>
      <c r="J103" s="15"/>
      <c r="K103" s="18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5.6">
      <c r="A104" s="23"/>
      <c r="B104" s="20"/>
      <c r="C104" s="20"/>
      <c r="D104" s="20"/>
      <c r="E104" s="20"/>
      <c r="F104" s="20"/>
      <c r="G104" s="15"/>
      <c r="H104" s="15"/>
      <c r="I104" s="15"/>
      <c r="J104" s="15"/>
      <c r="K104" s="18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5.6">
      <c r="A105" s="23"/>
      <c r="B105" s="20"/>
      <c r="C105" s="20"/>
      <c r="D105" s="20"/>
      <c r="E105" s="20"/>
      <c r="F105" s="20"/>
      <c r="G105" s="15"/>
      <c r="H105" s="15"/>
      <c r="I105" s="15"/>
      <c r="J105" s="15"/>
      <c r="K105" s="18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15.6">
      <c r="A106" s="23"/>
      <c r="B106" s="20"/>
      <c r="C106" s="20"/>
      <c r="D106" s="20"/>
      <c r="E106" s="20"/>
      <c r="F106" s="20"/>
      <c r="G106" s="15"/>
      <c r="H106" s="15"/>
      <c r="I106" s="15"/>
      <c r="J106" s="15"/>
      <c r="K106" s="1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15.6">
      <c r="A107" s="23"/>
      <c r="B107" s="20"/>
      <c r="C107" s="20"/>
      <c r="D107" s="20"/>
      <c r="E107" s="20"/>
      <c r="F107" s="20"/>
      <c r="G107" s="15"/>
      <c r="H107" s="15"/>
      <c r="I107" s="15"/>
      <c r="J107" s="15"/>
      <c r="K107" s="1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15.6">
      <c r="A108" s="23"/>
      <c r="B108" s="20"/>
      <c r="C108" s="20"/>
      <c r="D108" s="20"/>
      <c r="E108" s="20"/>
      <c r="F108" s="20"/>
      <c r="G108" s="15"/>
      <c r="H108" s="15"/>
      <c r="I108" s="15"/>
      <c r="J108" s="15"/>
      <c r="K108" s="1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15.6">
      <c r="A109" s="23"/>
      <c r="B109" s="20"/>
      <c r="C109" s="20"/>
      <c r="D109" s="20"/>
      <c r="E109" s="20"/>
      <c r="F109" s="20"/>
      <c r="G109" s="15"/>
      <c r="H109" s="15"/>
      <c r="I109" s="15"/>
      <c r="J109" s="15"/>
      <c r="K109" s="1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15.6">
      <c r="A110" s="23"/>
      <c r="B110" s="20"/>
      <c r="C110" s="20"/>
      <c r="D110" s="20"/>
      <c r="E110" s="20"/>
      <c r="F110" s="20"/>
      <c r="G110" s="15"/>
      <c r="H110" s="15"/>
      <c r="I110" s="15"/>
      <c r="J110" s="15"/>
      <c r="K110" s="1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15.6">
      <c r="A111" s="23"/>
      <c r="B111" s="20"/>
      <c r="C111" s="20"/>
      <c r="D111" s="20"/>
      <c r="E111" s="20"/>
      <c r="F111" s="20"/>
      <c r="G111" s="15"/>
      <c r="H111" s="15"/>
      <c r="I111" s="15"/>
      <c r="J111" s="15"/>
      <c r="K111" s="1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15.6">
      <c r="A112" s="23"/>
      <c r="B112" s="20"/>
      <c r="C112" s="20"/>
      <c r="D112" s="20"/>
      <c r="E112" s="20"/>
      <c r="F112" s="20"/>
      <c r="G112" s="15"/>
      <c r="H112" s="15"/>
      <c r="I112" s="15"/>
      <c r="J112" s="15"/>
      <c r="K112" s="1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15.6">
      <c r="A113" s="23"/>
      <c r="B113" s="20"/>
      <c r="C113" s="20"/>
      <c r="D113" s="20"/>
      <c r="E113" s="20"/>
      <c r="F113" s="20"/>
      <c r="G113" s="15"/>
      <c r="H113" s="15"/>
      <c r="I113" s="15"/>
      <c r="J113" s="15"/>
      <c r="K113" s="1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15.6">
      <c r="A114" s="23"/>
      <c r="B114" s="20"/>
      <c r="C114" s="20"/>
      <c r="D114" s="20"/>
      <c r="E114" s="20"/>
      <c r="F114" s="20"/>
      <c r="G114" s="15"/>
      <c r="H114" s="15"/>
      <c r="I114" s="15"/>
      <c r="J114" s="15"/>
      <c r="K114" s="1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15.6">
      <c r="A115" s="23"/>
      <c r="B115" s="20"/>
      <c r="C115" s="20"/>
      <c r="D115" s="20"/>
      <c r="E115" s="20"/>
      <c r="F115" s="20"/>
      <c r="G115" s="15"/>
      <c r="H115" s="15"/>
      <c r="I115" s="15"/>
      <c r="J115" s="15"/>
      <c r="K115" s="18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15.6">
      <c r="A116" s="23"/>
      <c r="B116" s="20"/>
      <c r="C116" s="20"/>
      <c r="D116" s="20"/>
      <c r="E116" s="20"/>
      <c r="F116" s="20"/>
      <c r="G116" s="15"/>
      <c r="H116" s="15"/>
      <c r="I116" s="15"/>
      <c r="J116" s="15"/>
      <c r="K116" s="18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15.6">
      <c r="A117" s="23"/>
      <c r="B117" s="20"/>
      <c r="C117" s="20"/>
      <c r="D117" s="20"/>
      <c r="E117" s="20"/>
      <c r="F117" s="20"/>
      <c r="G117" s="15"/>
      <c r="H117" s="15"/>
      <c r="I117" s="15"/>
      <c r="J117" s="15"/>
      <c r="K117" s="18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15.6">
      <c r="A118" s="23"/>
      <c r="B118" s="20"/>
      <c r="C118" s="20"/>
      <c r="D118" s="20"/>
      <c r="E118" s="20"/>
      <c r="F118" s="20"/>
      <c r="G118" s="15"/>
      <c r="H118" s="15"/>
      <c r="I118" s="15"/>
      <c r="J118" s="15"/>
      <c r="K118" s="18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15.6">
      <c r="A119" s="23"/>
      <c r="B119" s="20"/>
      <c r="C119" s="20"/>
      <c r="D119" s="20"/>
      <c r="E119" s="20"/>
      <c r="F119" s="20"/>
      <c r="G119" s="15"/>
      <c r="H119" s="15"/>
      <c r="I119" s="15"/>
      <c r="J119" s="15"/>
      <c r="K119" s="18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15.6">
      <c r="A120" s="23"/>
      <c r="B120" s="20"/>
      <c r="C120" s="20"/>
      <c r="D120" s="20"/>
      <c r="E120" s="20"/>
      <c r="F120" s="20"/>
      <c r="G120" s="15"/>
      <c r="H120" s="15"/>
      <c r="I120" s="15"/>
      <c r="J120" s="15"/>
      <c r="K120" s="18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15.6">
      <c r="A121" s="23"/>
      <c r="B121" s="20"/>
      <c r="C121" s="20"/>
      <c r="D121" s="20"/>
      <c r="E121" s="20"/>
      <c r="F121" s="20"/>
      <c r="G121" s="15"/>
      <c r="H121" s="15"/>
      <c r="I121" s="15"/>
      <c r="J121" s="15"/>
      <c r="K121" s="18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15.6">
      <c r="A122" s="23"/>
      <c r="B122" s="20"/>
      <c r="C122" s="20"/>
      <c r="D122" s="20"/>
      <c r="E122" s="20"/>
      <c r="F122" s="20"/>
      <c r="G122" s="15"/>
      <c r="H122" s="15"/>
      <c r="I122" s="15"/>
      <c r="J122" s="15"/>
      <c r="K122" s="18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15.6">
      <c r="A123" s="23"/>
      <c r="B123" s="20"/>
      <c r="C123" s="20"/>
      <c r="D123" s="20"/>
      <c r="E123" s="20"/>
      <c r="F123" s="20"/>
      <c r="G123" s="15"/>
      <c r="H123" s="15"/>
      <c r="I123" s="15"/>
      <c r="J123" s="15"/>
      <c r="K123" s="18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15.6">
      <c r="A124" s="23"/>
      <c r="B124" s="20"/>
      <c r="C124" s="20"/>
      <c r="D124" s="20"/>
      <c r="E124" s="20"/>
      <c r="F124" s="20"/>
      <c r="G124" s="15"/>
      <c r="H124" s="15"/>
      <c r="I124" s="15"/>
      <c r="J124" s="15"/>
      <c r="K124" s="18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15.6">
      <c r="A125" s="23"/>
      <c r="B125" s="20"/>
      <c r="C125" s="20"/>
      <c r="D125" s="20"/>
      <c r="E125" s="20"/>
      <c r="F125" s="20"/>
      <c r="G125" s="15"/>
      <c r="H125" s="15"/>
      <c r="I125" s="15"/>
      <c r="J125" s="15"/>
      <c r="K125" s="18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15.6">
      <c r="A126" s="23"/>
      <c r="B126" s="20"/>
      <c r="C126" s="20"/>
      <c r="D126" s="20"/>
      <c r="E126" s="20"/>
      <c r="F126" s="20"/>
      <c r="G126" s="15"/>
      <c r="H126" s="15"/>
      <c r="I126" s="15"/>
      <c r="J126" s="15"/>
      <c r="K126" s="18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15.6">
      <c r="A127" s="23"/>
      <c r="B127" s="20"/>
      <c r="C127" s="20"/>
      <c r="D127" s="20"/>
      <c r="E127" s="20"/>
      <c r="F127" s="20"/>
      <c r="G127" s="15"/>
      <c r="H127" s="15"/>
      <c r="I127" s="15"/>
      <c r="J127" s="15"/>
      <c r="K127" s="18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15.6">
      <c r="A128" s="23"/>
      <c r="B128" s="20"/>
      <c r="C128" s="20"/>
      <c r="D128" s="20"/>
      <c r="E128" s="20"/>
      <c r="F128" s="20"/>
      <c r="G128" s="15"/>
      <c r="H128" s="15"/>
      <c r="I128" s="15"/>
      <c r="J128" s="15"/>
      <c r="K128" s="18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15.6">
      <c r="A129" s="23"/>
      <c r="B129" s="20"/>
      <c r="C129" s="20"/>
      <c r="D129" s="20"/>
      <c r="E129" s="20"/>
      <c r="F129" s="20"/>
      <c r="G129" s="15"/>
      <c r="H129" s="15"/>
      <c r="I129" s="15"/>
      <c r="J129" s="15"/>
      <c r="K129" s="18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15.6">
      <c r="A130" s="23"/>
      <c r="B130" s="20"/>
      <c r="C130" s="20"/>
      <c r="D130" s="20"/>
      <c r="E130" s="20"/>
      <c r="F130" s="20"/>
      <c r="G130" s="15"/>
      <c r="H130" s="15"/>
      <c r="I130" s="15"/>
      <c r="J130" s="15"/>
      <c r="K130" s="18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15.6">
      <c r="A131" s="23"/>
      <c r="B131" s="20"/>
      <c r="C131" s="20"/>
      <c r="D131" s="20"/>
      <c r="E131" s="20"/>
      <c r="F131" s="20"/>
      <c r="G131" s="15"/>
      <c r="H131" s="15"/>
      <c r="I131" s="15"/>
      <c r="J131" s="15"/>
      <c r="K131" s="18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15.6">
      <c r="A132" s="23"/>
      <c r="B132" s="20"/>
      <c r="C132" s="20"/>
      <c r="D132" s="20"/>
      <c r="E132" s="20"/>
      <c r="F132" s="20"/>
      <c r="G132" s="15"/>
      <c r="H132" s="15"/>
      <c r="I132" s="15"/>
      <c r="J132" s="15"/>
      <c r="K132" s="18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15.6">
      <c r="A133" s="23"/>
      <c r="B133" s="20"/>
      <c r="C133" s="20"/>
      <c r="D133" s="20"/>
      <c r="E133" s="20"/>
      <c r="F133" s="20"/>
      <c r="G133" s="15"/>
      <c r="H133" s="15"/>
      <c r="I133" s="15"/>
      <c r="J133" s="15"/>
      <c r="K133" s="18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15.6">
      <c r="A134" s="23"/>
      <c r="B134" s="20"/>
      <c r="C134" s="20"/>
      <c r="D134" s="20"/>
      <c r="E134" s="20"/>
      <c r="F134" s="20"/>
      <c r="G134" s="15"/>
      <c r="H134" s="15"/>
      <c r="I134" s="15"/>
      <c r="J134" s="15"/>
      <c r="K134" s="18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15.6">
      <c r="A135" s="23"/>
      <c r="B135" s="20"/>
      <c r="C135" s="20"/>
      <c r="D135" s="20"/>
      <c r="E135" s="20"/>
      <c r="F135" s="20"/>
      <c r="G135" s="15"/>
      <c r="H135" s="15"/>
      <c r="I135" s="15"/>
      <c r="J135" s="15"/>
      <c r="K135" s="18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15.6">
      <c r="A136" s="23"/>
      <c r="B136" s="20"/>
      <c r="C136" s="20"/>
      <c r="D136" s="20"/>
      <c r="E136" s="20"/>
      <c r="F136" s="20"/>
      <c r="G136" s="15"/>
      <c r="H136" s="15"/>
      <c r="I136" s="15"/>
      <c r="J136" s="15"/>
      <c r="K136" s="18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15.6">
      <c r="A137" s="23"/>
      <c r="B137" s="20"/>
      <c r="C137" s="20"/>
      <c r="D137" s="20"/>
      <c r="E137" s="20"/>
      <c r="F137" s="20"/>
      <c r="G137" s="15"/>
      <c r="H137" s="15"/>
      <c r="I137" s="15"/>
      <c r="J137" s="15"/>
      <c r="K137" s="18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15.6">
      <c r="A138" s="23"/>
      <c r="B138" s="20"/>
      <c r="C138" s="20"/>
      <c r="D138" s="20"/>
      <c r="E138" s="20"/>
      <c r="F138" s="20"/>
      <c r="G138" s="15"/>
      <c r="H138" s="15"/>
      <c r="I138" s="15"/>
      <c r="J138" s="15"/>
      <c r="K138" s="18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15.6">
      <c r="A139" s="23"/>
      <c r="B139" s="20"/>
      <c r="C139" s="20"/>
      <c r="D139" s="20"/>
      <c r="E139" s="20"/>
      <c r="F139" s="20"/>
      <c r="G139" s="15"/>
      <c r="H139" s="15"/>
      <c r="I139" s="15"/>
      <c r="J139" s="15"/>
      <c r="K139" s="18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15.6">
      <c r="A140" s="23"/>
      <c r="B140" s="20"/>
      <c r="C140" s="20"/>
      <c r="D140" s="20"/>
      <c r="E140" s="20"/>
      <c r="F140" s="20"/>
      <c r="G140" s="15"/>
      <c r="H140" s="15"/>
      <c r="I140" s="15"/>
      <c r="J140" s="15"/>
      <c r="K140" s="18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15.6">
      <c r="A141" s="23"/>
      <c r="B141" s="20"/>
      <c r="C141" s="20"/>
      <c r="D141" s="20"/>
      <c r="E141" s="20"/>
      <c r="F141" s="20"/>
      <c r="G141" s="15"/>
      <c r="H141" s="15"/>
      <c r="I141" s="15"/>
      <c r="J141" s="15"/>
      <c r="K141" s="18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15.6">
      <c r="A142" s="23"/>
      <c r="B142" s="20"/>
      <c r="C142" s="20"/>
      <c r="D142" s="20"/>
      <c r="E142" s="20"/>
      <c r="F142" s="20"/>
      <c r="G142" s="15"/>
      <c r="H142" s="15"/>
      <c r="I142" s="15"/>
      <c r="J142" s="15"/>
      <c r="K142" s="18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15.6">
      <c r="A143" s="23"/>
      <c r="B143" s="20"/>
      <c r="C143" s="20"/>
      <c r="D143" s="20"/>
      <c r="E143" s="20"/>
      <c r="F143" s="20"/>
      <c r="G143" s="15"/>
      <c r="H143" s="15"/>
      <c r="I143" s="15"/>
      <c r="J143" s="15"/>
      <c r="K143" s="18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15.6">
      <c r="A144" s="23"/>
      <c r="B144" s="20"/>
      <c r="C144" s="20"/>
      <c r="D144" s="20"/>
      <c r="E144" s="20"/>
      <c r="F144" s="20"/>
      <c r="G144" s="15"/>
      <c r="H144" s="15"/>
      <c r="I144" s="15"/>
      <c r="J144" s="15"/>
      <c r="K144" s="18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15.6">
      <c r="A145" s="23"/>
      <c r="B145" s="20"/>
      <c r="C145" s="20"/>
      <c r="D145" s="20"/>
      <c r="E145" s="20"/>
      <c r="F145" s="20"/>
      <c r="G145" s="15"/>
      <c r="H145" s="15"/>
      <c r="I145" s="15"/>
      <c r="J145" s="15"/>
      <c r="K145" s="18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15.6">
      <c r="A146" s="23"/>
      <c r="B146" s="20"/>
      <c r="C146" s="20"/>
      <c r="D146" s="20"/>
      <c r="E146" s="20"/>
      <c r="F146" s="20"/>
      <c r="G146" s="15"/>
      <c r="H146" s="15"/>
      <c r="I146" s="15"/>
      <c r="J146" s="15"/>
      <c r="K146" s="18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15.6">
      <c r="A147" s="23"/>
      <c r="B147" s="20"/>
      <c r="C147" s="20"/>
      <c r="D147" s="20"/>
      <c r="E147" s="20"/>
      <c r="F147" s="20"/>
      <c r="G147" s="15"/>
      <c r="H147" s="15"/>
      <c r="I147" s="15"/>
      <c r="J147" s="15"/>
      <c r="K147" s="18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15.6">
      <c r="A148" s="23"/>
      <c r="B148" s="20"/>
      <c r="C148" s="20"/>
      <c r="D148" s="20"/>
      <c r="E148" s="20"/>
      <c r="F148" s="20"/>
      <c r="G148" s="15"/>
      <c r="H148" s="15"/>
      <c r="I148" s="15"/>
      <c r="J148" s="15"/>
      <c r="K148" s="18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15.6">
      <c r="A149" s="23"/>
      <c r="B149" s="20"/>
      <c r="C149" s="20"/>
      <c r="D149" s="20"/>
      <c r="E149" s="20"/>
      <c r="F149" s="20"/>
      <c r="G149" s="15"/>
      <c r="H149" s="15"/>
      <c r="I149" s="15"/>
      <c r="J149" s="15"/>
      <c r="K149" s="18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15.6">
      <c r="A150" s="23"/>
      <c r="B150" s="20"/>
      <c r="C150" s="20"/>
      <c r="D150" s="20"/>
      <c r="E150" s="20"/>
      <c r="F150" s="20"/>
      <c r="G150" s="15"/>
      <c r="H150" s="15"/>
      <c r="I150" s="15"/>
      <c r="J150" s="15"/>
      <c r="K150" s="18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5.6">
      <c r="A151" s="23"/>
      <c r="B151" s="20"/>
      <c r="C151" s="20"/>
      <c r="D151" s="20"/>
      <c r="E151" s="20"/>
      <c r="F151" s="20"/>
      <c r="G151" s="15"/>
      <c r="H151" s="15"/>
      <c r="I151" s="15"/>
      <c r="J151" s="15"/>
      <c r="K151" s="18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5.6">
      <c r="A152" s="23"/>
      <c r="B152" s="20"/>
      <c r="C152" s="20"/>
      <c r="D152" s="20"/>
      <c r="E152" s="20"/>
      <c r="F152" s="20"/>
      <c r="G152" s="15"/>
      <c r="H152" s="15"/>
      <c r="I152" s="15"/>
      <c r="J152" s="15"/>
      <c r="K152" s="18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5.6">
      <c r="A153" s="23"/>
      <c r="B153" s="20"/>
      <c r="C153" s="20"/>
      <c r="D153" s="20"/>
      <c r="E153" s="20"/>
      <c r="F153" s="20"/>
      <c r="G153" s="15"/>
      <c r="H153" s="15"/>
      <c r="I153" s="15"/>
      <c r="J153" s="15"/>
      <c r="K153" s="18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5.6">
      <c r="A154" s="23"/>
      <c r="B154" s="20"/>
      <c r="C154" s="20"/>
      <c r="D154" s="20"/>
      <c r="E154" s="20"/>
      <c r="F154" s="20"/>
      <c r="G154" s="15"/>
      <c r="H154" s="15"/>
      <c r="I154" s="15"/>
      <c r="J154" s="15"/>
      <c r="K154" s="18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5.6">
      <c r="A155" s="23"/>
      <c r="B155" s="20"/>
      <c r="C155" s="20"/>
      <c r="D155" s="20"/>
      <c r="E155" s="20"/>
      <c r="F155" s="20"/>
      <c r="G155" s="15"/>
      <c r="H155" s="15"/>
      <c r="I155" s="15"/>
      <c r="J155" s="15"/>
      <c r="K155" s="18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5.6">
      <c r="A156" s="23"/>
      <c r="B156" s="20"/>
      <c r="C156" s="20"/>
      <c r="D156" s="20"/>
      <c r="E156" s="20"/>
      <c r="F156" s="20"/>
      <c r="G156" s="15"/>
      <c r="H156" s="15"/>
      <c r="I156" s="15"/>
      <c r="J156" s="15"/>
      <c r="K156" s="18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5.6">
      <c r="A157" s="23"/>
      <c r="B157" s="20"/>
      <c r="C157" s="20"/>
      <c r="D157" s="20"/>
      <c r="E157" s="20"/>
      <c r="F157" s="20"/>
      <c r="G157" s="15"/>
      <c r="H157" s="15"/>
      <c r="I157" s="15"/>
      <c r="J157" s="15"/>
      <c r="K157" s="18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5.6">
      <c r="A158" s="23"/>
      <c r="B158" s="20"/>
      <c r="C158" s="20"/>
      <c r="D158" s="20"/>
      <c r="E158" s="20"/>
      <c r="F158" s="20"/>
      <c r="G158" s="15"/>
      <c r="H158" s="15"/>
      <c r="I158" s="15"/>
      <c r="J158" s="15"/>
      <c r="K158" s="18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5.6">
      <c r="A159" s="23"/>
      <c r="B159" s="20"/>
      <c r="C159" s="20"/>
      <c r="D159" s="20"/>
      <c r="E159" s="20"/>
      <c r="F159" s="20"/>
      <c r="G159" s="15"/>
      <c r="H159" s="15"/>
      <c r="I159" s="15"/>
      <c r="J159" s="15"/>
      <c r="K159" s="18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15.6">
      <c r="A160" s="23"/>
      <c r="B160" s="20"/>
      <c r="C160" s="20"/>
      <c r="D160" s="20"/>
      <c r="E160" s="20"/>
      <c r="F160" s="20"/>
      <c r="G160" s="15"/>
      <c r="H160" s="15"/>
      <c r="I160" s="15"/>
      <c r="J160" s="15"/>
      <c r="K160" s="18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15.6">
      <c r="A161" s="23"/>
      <c r="B161" s="20"/>
      <c r="C161" s="20"/>
      <c r="D161" s="20"/>
      <c r="E161" s="20"/>
      <c r="F161" s="20"/>
      <c r="G161" s="15"/>
      <c r="H161" s="15"/>
      <c r="I161" s="15"/>
      <c r="J161" s="15"/>
      <c r="K161" s="18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15.6">
      <c r="A162" s="23"/>
      <c r="B162" s="20"/>
      <c r="C162" s="20"/>
      <c r="D162" s="20"/>
      <c r="E162" s="20"/>
      <c r="F162" s="20"/>
      <c r="G162" s="15"/>
      <c r="H162" s="15"/>
      <c r="I162" s="15"/>
      <c r="J162" s="15"/>
      <c r="K162" s="18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15.6">
      <c r="A163" s="23"/>
      <c r="B163" s="20"/>
      <c r="C163" s="20"/>
      <c r="D163" s="20"/>
      <c r="E163" s="20"/>
      <c r="F163" s="20"/>
      <c r="G163" s="15"/>
      <c r="H163" s="15"/>
      <c r="I163" s="15"/>
      <c r="J163" s="15"/>
      <c r="K163" s="18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15.6">
      <c r="A164" s="23"/>
      <c r="B164" s="20"/>
      <c r="C164" s="20"/>
      <c r="D164" s="20"/>
      <c r="E164" s="20"/>
      <c r="F164" s="20"/>
      <c r="G164" s="15"/>
      <c r="H164" s="15"/>
      <c r="I164" s="15"/>
      <c r="J164" s="15"/>
      <c r="K164" s="18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15.6">
      <c r="A165" s="23"/>
      <c r="B165" s="20"/>
      <c r="C165" s="20"/>
      <c r="D165" s="20"/>
      <c r="E165" s="20"/>
      <c r="F165" s="20"/>
      <c r="G165" s="15"/>
      <c r="H165" s="15"/>
      <c r="I165" s="15"/>
      <c r="J165" s="15"/>
      <c r="K165" s="18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15.6">
      <c r="A166" s="23"/>
      <c r="B166" s="20"/>
      <c r="C166" s="20"/>
      <c r="D166" s="20"/>
      <c r="E166" s="20"/>
      <c r="F166" s="20"/>
      <c r="G166" s="15"/>
      <c r="H166" s="15"/>
      <c r="I166" s="15"/>
      <c r="J166" s="15"/>
      <c r="K166" s="18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15.6">
      <c r="A167" s="23"/>
      <c r="B167" s="20"/>
      <c r="C167" s="20"/>
      <c r="D167" s="20"/>
      <c r="E167" s="20"/>
      <c r="F167" s="20"/>
      <c r="G167" s="15"/>
      <c r="H167" s="15"/>
      <c r="I167" s="15"/>
      <c r="J167" s="15"/>
      <c r="K167" s="18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15.6">
      <c r="A168" s="23"/>
      <c r="B168" s="20"/>
      <c r="C168" s="20"/>
      <c r="D168" s="20"/>
      <c r="E168" s="20"/>
      <c r="F168" s="20"/>
      <c r="G168" s="15"/>
      <c r="H168" s="15"/>
      <c r="I168" s="15"/>
      <c r="J168" s="15"/>
      <c r="K168" s="18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15.6">
      <c r="A169" s="23"/>
      <c r="B169" s="20"/>
      <c r="C169" s="20"/>
      <c r="D169" s="20"/>
      <c r="E169" s="20"/>
      <c r="F169" s="20"/>
      <c r="G169" s="15"/>
      <c r="H169" s="15"/>
      <c r="I169" s="15"/>
      <c r="J169" s="15"/>
      <c r="K169" s="18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15.6">
      <c r="A170" s="23"/>
      <c r="B170" s="20"/>
      <c r="C170" s="20"/>
      <c r="D170" s="20"/>
      <c r="E170" s="20"/>
      <c r="F170" s="20"/>
      <c r="G170" s="15"/>
      <c r="H170" s="15"/>
      <c r="I170" s="15"/>
      <c r="J170" s="15"/>
      <c r="K170" s="18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15.6">
      <c r="A171" s="23"/>
      <c r="B171" s="20"/>
      <c r="C171" s="20"/>
      <c r="D171" s="20"/>
      <c r="E171" s="20"/>
      <c r="F171" s="20"/>
      <c r="G171" s="15"/>
      <c r="H171" s="15"/>
      <c r="I171" s="15"/>
      <c r="J171" s="15"/>
      <c r="K171" s="18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15.6">
      <c r="A172" s="23"/>
      <c r="B172" s="20"/>
      <c r="C172" s="20"/>
      <c r="D172" s="20"/>
      <c r="E172" s="20"/>
      <c r="F172" s="20"/>
      <c r="G172" s="15"/>
      <c r="H172" s="15"/>
      <c r="I172" s="15"/>
      <c r="J172" s="15"/>
      <c r="K172" s="18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15.6">
      <c r="A173" s="23"/>
      <c r="B173" s="20"/>
      <c r="C173" s="20"/>
      <c r="D173" s="20"/>
      <c r="E173" s="20"/>
      <c r="F173" s="20"/>
      <c r="G173" s="15"/>
      <c r="H173" s="15"/>
      <c r="I173" s="15"/>
      <c r="J173" s="15"/>
      <c r="K173" s="18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15.6">
      <c r="A174" s="23"/>
      <c r="B174" s="20"/>
      <c r="C174" s="20"/>
      <c r="D174" s="20"/>
      <c r="E174" s="20"/>
      <c r="F174" s="20"/>
      <c r="G174" s="15"/>
      <c r="H174" s="15"/>
      <c r="I174" s="15"/>
      <c r="J174" s="15"/>
      <c r="K174" s="18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15.6">
      <c r="A175" s="23"/>
      <c r="B175" s="20"/>
      <c r="C175" s="20"/>
      <c r="D175" s="20"/>
      <c r="E175" s="20"/>
      <c r="F175" s="20"/>
      <c r="G175" s="15"/>
      <c r="H175" s="15"/>
      <c r="I175" s="15"/>
      <c r="J175" s="15"/>
      <c r="K175" s="18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15.6">
      <c r="A176" s="23"/>
      <c r="B176" s="20"/>
      <c r="C176" s="20"/>
      <c r="D176" s="20"/>
      <c r="E176" s="20"/>
      <c r="F176" s="20"/>
      <c r="G176" s="15"/>
      <c r="H176" s="15"/>
      <c r="I176" s="15"/>
      <c r="J176" s="15"/>
      <c r="K176" s="18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15.6">
      <c r="A177" s="23"/>
      <c r="B177" s="20"/>
      <c r="C177" s="20"/>
      <c r="D177" s="20"/>
      <c r="E177" s="20"/>
      <c r="F177" s="20"/>
      <c r="G177" s="15"/>
      <c r="H177" s="15"/>
      <c r="I177" s="15"/>
      <c r="J177" s="15"/>
      <c r="K177" s="18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5.6">
      <c r="A178" s="23"/>
      <c r="B178" s="20"/>
      <c r="C178" s="20"/>
      <c r="D178" s="20"/>
      <c r="E178" s="20"/>
      <c r="F178" s="20"/>
      <c r="G178" s="15"/>
      <c r="H178" s="15"/>
      <c r="I178" s="15"/>
      <c r="J178" s="15"/>
      <c r="K178" s="18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5.6">
      <c r="A179" s="23"/>
      <c r="B179" s="20"/>
      <c r="C179" s="20"/>
      <c r="D179" s="20"/>
      <c r="E179" s="20"/>
      <c r="F179" s="20"/>
      <c r="G179" s="15"/>
      <c r="H179" s="15"/>
      <c r="I179" s="15"/>
      <c r="J179" s="15"/>
      <c r="K179" s="18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5.6">
      <c r="A180" s="23"/>
      <c r="B180" s="20"/>
      <c r="C180" s="20"/>
      <c r="D180" s="20"/>
      <c r="E180" s="20"/>
      <c r="F180" s="20"/>
      <c r="G180" s="15"/>
      <c r="H180" s="15"/>
      <c r="I180" s="15"/>
      <c r="J180" s="15"/>
      <c r="K180" s="18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5.6">
      <c r="A181" s="23"/>
      <c r="B181" s="20"/>
      <c r="C181" s="20"/>
      <c r="D181" s="20"/>
      <c r="E181" s="20"/>
      <c r="F181" s="20"/>
      <c r="G181" s="15"/>
      <c r="H181" s="15"/>
      <c r="I181" s="15"/>
      <c r="J181" s="15"/>
      <c r="K181" s="18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5.6">
      <c r="A182" s="23"/>
      <c r="B182" s="20"/>
      <c r="C182" s="20"/>
      <c r="D182" s="20"/>
      <c r="E182" s="20"/>
      <c r="F182" s="20"/>
      <c r="G182" s="15"/>
      <c r="H182" s="15"/>
      <c r="I182" s="15"/>
      <c r="J182" s="15"/>
      <c r="K182" s="18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5.6">
      <c r="A183" s="23"/>
      <c r="B183" s="20"/>
      <c r="C183" s="20"/>
      <c r="D183" s="20"/>
      <c r="E183" s="20"/>
      <c r="F183" s="20"/>
      <c r="G183" s="15"/>
      <c r="H183" s="15"/>
      <c r="I183" s="15"/>
      <c r="J183" s="15"/>
      <c r="K183" s="18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5.6">
      <c r="A184" s="23"/>
      <c r="B184" s="20"/>
      <c r="C184" s="20"/>
      <c r="D184" s="20"/>
      <c r="E184" s="20"/>
      <c r="F184" s="20"/>
      <c r="G184" s="15"/>
      <c r="H184" s="15"/>
      <c r="I184" s="15"/>
      <c r="J184" s="15"/>
      <c r="K184" s="18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15.6">
      <c r="A185" s="23"/>
      <c r="B185" s="20"/>
      <c r="C185" s="20"/>
      <c r="D185" s="20"/>
      <c r="E185" s="20"/>
      <c r="F185" s="20"/>
      <c r="G185" s="15"/>
      <c r="H185" s="15"/>
      <c r="I185" s="15"/>
      <c r="J185" s="15"/>
      <c r="K185" s="18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5.6">
      <c r="A186" s="23"/>
      <c r="B186" s="20"/>
      <c r="C186" s="20"/>
      <c r="D186" s="20"/>
      <c r="E186" s="20"/>
      <c r="F186" s="20"/>
      <c r="G186" s="15"/>
      <c r="H186" s="15"/>
      <c r="I186" s="15"/>
      <c r="J186" s="15"/>
      <c r="K186" s="18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5.6">
      <c r="A187" s="23"/>
      <c r="B187" s="20"/>
      <c r="C187" s="20"/>
      <c r="D187" s="20"/>
      <c r="E187" s="20"/>
      <c r="F187" s="20"/>
      <c r="G187" s="15"/>
      <c r="H187" s="15"/>
      <c r="I187" s="15"/>
      <c r="J187" s="15"/>
      <c r="K187" s="18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5.6">
      <c r="A188" s="23"/>
      <c r="B188" s="20"/>
      <c r="C188" s="20"/>
      <c r="D188" s="20"/>
      <c r="E188" s="20"/>
      <c r="F188" s="20"/>
      <c r="G188" s="15"/>
      <c r="H188" s="15"/>
      <c r="I188" s="15"/>
      <c r="J188" s="15"/>
      <c r="K188" s="18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5.6">
      <c r="A189" s="23"/>
      <c r="B189" s="20"/>
      <c r="C189" s="20"/>
      <c r="D189" s="20"/>
      <c r="E189" s="20"/>
      <c r="F189" s="20"/>
      <c r="G189" s="15"/>
      <c r="H189" s="15"/>
      <c r="I189" s="15"/>
      <c r="J189" s="15"/>
      <c r="K189" s="18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15.6">
      <c r="A190" s="23"/>
      <c r="B190" s="20"/>
      <c r="C190" s="20"/>
      <c r="D190" s="20"/>
      <c r="E190" s="20"/>
      <c r="F190" s="20"/>
      <c r="G190" s="15"/>
      <c r="H190" s="15"/>
      <c r="I190" s="15"/>
      <c r="J190" s="15"/>
      <c r="K190" s="18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15.6">
      <c r="A191" s="23"/>
      <c r="B191" s="20"/>
      <c r="C191" s="20"/>
      <c r="D191" s="20"/>
      <c r="E191" s="20"/>
      <c r="F191" s="20"/>
      <c r="G191" s="15"/>
      <c r="H191" s="15"/>
      <c r="I191" s="15"/>
      <c r="J191" s="15"/>
      <c r="K191" s="18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15.6">
      <c r="A192" s="23"/>
      <c r="B192" s="20"/>
      <c r="C192" s="20"/>
      <c r="D192" s="20"/>
      <c r="E192" s="20"/>
      <c r="F192" s="20"/>
      <c r="G192" s="15"/>
      <c r="H192" s="15"/>
      <c r="I192" s="15"/>
      <c r="J192" s="15"/>
      <c r="K192" s="18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5.6">
      <c r="A193" s="23"/>
      <c r="B193" s="20"/>
      <c r="C193" s="20"/>
      <c r="D193" s="20"/>
      <c r="E193" s="20"/>
      <c r="F193" s="20"/>
      <c r="G193" s="15"/>
      <c r="H193" s="15"/>
      <c r="I193" s="15"/>
      <c r="J193" s="15"/>
      <c r="K193" s="18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5.6">
      <c r="A194" s="23"/>
      <c r="B194" s="20"/>
      <c r="C194" s="20"/>
      <c r="D194" s="20"/>
      <c r="E194" s="20"/>
      <c r="F194" s="20"/>
      <c r="G194" s="15"/>
      <c r="H194" s="15"/>
      <c r="I194" s="15"/>
      <c r="J194" s="15"/>
      <c r="K194" s="18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5.6">
      <c r="A195" s="23"/>
      <c r="B195" s="20"/>
      <c r="C195" s="20"/>
      <c r="D195" s="20"/>
      <c r="E195" s="20"/>
      <c r="F195" s="20"/>
      <c r="G195" s="15"/>
      <c r="H195" s="15"/>
      <c r="I195" s="15"/>
      <c r="J195" s="15"/>
      <c r="K195" s="18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5.6">
      <c r="A196" s="23"/>
      <c r="B196" s="20"/>
      <c r="C196" s="20"/>
      <c r="D196" s="20"/>
      <c r="E196" s="20"/>
      <c r="F196" s="20"/>
      <c r="G196" s="15"/>
      <c r="H196" s="15"/>
      <c r="I196" s="15"/>
      <c r="J196" s="15"/>
      <c r="K196" s="18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5.6">
      <c r="A197" s="23"/>
      <c r="B197" s="20"/>
      <c r="C197" s="20"/>
      <c r="D197" s="20"/>
      <c r="E197" s="20"/>
      <c r="F197" s="20"/>
      <c r="G197" s="15"/>
      <c r="H197" s="15"/>
      <c r="I197" s="15"/>
      <c r="J197" s="15"/>
      <c r="K197" s="18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5.6">
      <c r="A198" s="23"/>
      <c r="B198" s="20"/>
      <c r="C198" s="20"/>
      <c r="D198" s="20"/>
      <c r="E198" s="20"/>
      <c r="F198" s="20"/>
      <c r="G198" s="15"/>
      <c r="H198" s="15"/>
      <c r="I198" s="15"/>
      <c r="J198" s="15"/>
      <c r="K198" s="18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5.6">
      <c r="A199" s="23"/>
      <c r="B199" s="20"/>
      <c r="C199" s="20"/>
      <c r="D199" s="20"/>
      <c r="E199" s="20"/>
      <c r="F199" s="20"/>
      <c r="G199" s="15"/>
      <c r="H199" s="15"/>
      <c r="I199" s="15"/>
      <c r="J199" s="15"/>
      <c r="K199" s="18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5.6">
      <c r="A200" s="23"/>
      <c r="B200" s="20"/>
      <c r="C200" s="20"/>
      <c r="D200" s="20"/>
      <c r="E200" s="20"/>
      <c r="F200" s="20"/>
      <c r="G200" s="15"/>
      <c r="H200" s="15"/>
      <c r="I200" s="15"/>
      <c r="J200" s="15"/>
      <c r="K200" s="18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5.6">
      <c r="A201" s="23"/>
      <c r="B201" s="20"/>
      <c r="C201" s="20"/>
      <c r="D201" s="20"/>
      <c r="E201" s="20"/>
      <c r="F201" s="20"/>
      <c r="G201" s="15"/>
      <c r="H201" s="15"/>
      <c r="I201" s="15"/>
      <c r="J201" s="15"/>
      <c r="K201" s="18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5.6">
      <c r="A202" s="23"/>
      <c r="B202" s="20"/>
      <c r="C202" s="20"/>
      <c r="D202" s="20"/>
      <c r="E202" s="20"/>
      <c r="F202" s="20"/>
      <c r="G202" s="15"/>
      <c r="H202" s="15"/>
      <c r="I202" s="15"/>
      <c r="J202" s="15"/>
      <c r="K202" s="18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5.6">
      <c r="A203" s="23"/>
      <c r="B203" s="20"/>
      <c r="C203" s="20"/>
      <c r="D203" s="20"/>
      <c r="E203" s="20"/>
      <c r="F203" s="20"/>
      <c r="G203" s="15"/>
      <c r="H203" s="15"/>
      <c r="I203" s="15"/>
      <c r="J203" s="15"/>
      <c r="K203" s="18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5.6">
      <c r="A204" s="23"/>
      <c r="B204" s="20"/>
      <c r="C204" s="20"/>
      <c r="D204" s="20"/>
      <c r="E204" s="20"/>
      <c r="F204" s="20"/>
      <c r="G204" s="15"/>
      <c r="H204" s="15"/>
      <c r="I204" s="15"/>
      <c r="J204" s="15"/>
      <c r="K204" s="18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5.6">
      <c r="A205" s="23"/>
      <c r="B205" s="20"/>
      <c r="C205" s="20"/>
      <c r="D205" s="20"/>
      <c r="E205" s="20"/>
      <c r="F205" s="20"/>
      <c r="G205" s="15"/>
      <c r="H205" s="15"/>
      <c r="I205" s="15"/>
      <c r="J205" s="15"/>
      <c r="K205" s="18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5.6">
      <c r="A206" s="23"/>
      <c r="B206" s="20"/>
      <c r="C206" s="20"/>
      <c r="D206" s="20"/>
      <c r="E206" s="20"/>
      <c r="F206" s="20"/>
      <c r="G206" s="15"/>
      <c r="H206" s="15"/>
      <c r="I206" s="15"/>
      <c r="J206" s="15"/>
      <c r="K206" s="18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5.6">
      <c r="A207" s="23"/>
      <c r="B207" s="20"/>
      <c r="C207" s="20"/>
      <c r="D207" s="20"/>
      <c r="E207" s="20"/>
      <c r="F207" s="20"/>
      <c r="G207" s="15"/>
      <c r="H207" s="15"/>
      <c r="I207" s="15"/>
      <c r="J207" s="15"/>
      <c r="K207" s="18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5.6">
      <c r="A208" s="23"/>
      <c r="B208" s="20"/>
      <c r="C208" s="20"/>
      <c r="D208" s="20"/>
      <c r="E208" s="20"/>
      <c r="F208" s="20"/>
      <c r="G208" s="15"/>
      <c r="H208" s="15"/>
      <c r="I208" s="15"/>
      <c r="J208" s="15"/>
      <c r="K208" s="18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5.6">
      <c r="A209" s="23"/>
      <c r="B209" s="20"/>
      <c r="C209" s="20"/>
      <c r="D209" s="20"/>
      <c r="E209" s="20"/>
      <c r="F209" s="20"/>
      <c r="G209" s="15"/>
      <c r="H209" s="15"/>
      <c r="I209" s="15"/>
      <c r="J209" s="15"/>
      <c r="K209" s="18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5.6">
      <c r="A210" s="23"/>
      <c r="B210" s="20"/>
      <c r="C210" s="20"/>
      <c r="D210" s="20"/>
      <c r="E210" s="20"/>
      <c r="F210" s="20"/>
      <c r="G210" s="15"/>
      <c r="H210" s="15"/>
      <c r="I210" s="15"/>
      <c r="J210" s="15"/>
      <c r="K210" s="18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5.6">
      <c r="A211" s="23"/>
      <c r="B211" s="20"/>
      <c r="C211" s="20"/>
      <c r="D211" s="20"/>
      <c r="E211" s="20"/>
      <c r="F211" s="20"/>
      <c r="G211" s="15"/>
      <c r="H211" s="15"/>
      <c r="I211" s="15"/>
      <c r="J211" s="15"/>
      <c r="K211" s="18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5.6">
      <c r="A212" s="23"/>
      <c r="B212" s="20"/>
      <c r="C212" s="20"/>
      <c r="D212" s="20"/>
      <c r="E212" s="20"/>
      <c r="F212" s="20"/>
      <c r="G212" s="15"/>
      <c r="H212" s="15"/>
      <c r="I212" s="15"/>
      <c r="J212" s="15"/>
      <c r="K212" s="18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5.6">
      <c r="A213" s="23"/>
      <c r="B213" s="20"/>
      <c r="C213" s="20"/>
      <c r="D213" s="20"/>
      <c r="E213" s="20"/>
      <c r="F213" s="20"/>
      <c r="G213" s="15"/>
      <c r="H213" s="15"/>
      <c r="I213" s="15"/>
      <c r="J213" s="15"/>
      <c r="K213" s="18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5.6">
      <c r="A214" s="23"/>
      <c r="B214" s="20"/>
      <c r="C214" s="20"/>
      <c r="D214" s="20"/>
      <c r="E214" s="20"/>
      <c r="F214" s="20"/>
      <c r="G214" s="15"/>
      <c r="H214" s="15"/>
      <c r="I214" s="15"/>
      <c r="J214" s="15"/>
      <c r="K214" s="18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5.6">
      <c r="A215" s="23"/>
      <c r="B215" s="20"/>
      <c r="C215" s="20"/>
      <c r="D215" s="20"/>
      <c r="E215" s="20"/>
      <c r="F215" s="20"/>
      <c r="G215" s="15"/>
      <c r="H215" s="15"/>
      <c r="I215" s="15"/>
      <c r="J215" s="15"/>
      <c r="K215" s="18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5.6">
      <c r="A216" s="23"/>
      <c r="B216" s="20"/>
      <c r="C216" s="20"/>
      <c r="D216" s="20"/>
      <c r="E216" s="20"/>
      <c r="F216" s="20"/>
      <c r="G216" s="15"/>
      <c r="H216" s="15"/>
      <c r="I216" s="15"/>
      <c r="J216" s="15"/>
      <c r="K216" s="18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5.6">
      <c r="A217" s="23"/>
      <c r="B217" s="20"/>
      <c r="C217" s="20"/>
      <c r="D217" s="20"/>
      <c r="E217" s="20"/>
      <c r="F217" s="20"/>
      <c r="G217" s="15"/>
      <c r="H217" s="15"/>
      <c r="I217" s="15"/>
      <c r="J217" s="15"/>
      <c r="K217" s="18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5.6">
      <c r="A218" s="23"/>
      <c r="B218" s="20"/>
      <c r="C218" s="20"/>
      <c r="D218" s="20"/>
      <c r="E218" s="20"/>
      <c r="F218" s="20"/>
      <c r="G218" s="15"/>
      <c r="H218" s="15"/>
      <c r="I218" s="15"/>
      <c r="J218" s="15"/>
      <c r="K218" s="18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5.6">
      <c r="A219" s="23"/>
      <c r="B219" s="20"/>
      <c r="C219" s="20"/>
      <c r="D219" s="20"/>
      <c r="E219" s="20"/>
      <c r="F219" s="20"/>
      <c r="G219" s="15"/>
      <c r="H219" s="15"/>
      <c r="I219" s="15"/>
      <c r="J219" s="15"/>
      <c r="K219" s="18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5.6">
      <c r="A220" s="23"/>
      <c r="B220" s="20"/>
      <c r="C220" s="20"/>
      <c r="D220" s="20"/>
      <c r="E220" s="20"/>
      <c r="F220" s="20"/>
      <c r="G220" s="15"/>
      <c r="H220" s="15"/>
      <c r="I220" s="15"/>
      <c r="J220" s="15"/>
      <c r="K220" s="18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5.6">
      <c r="A221" s="23"/>
      <c r="B221" s="20"/>
      <c r="C221" s="20"/>
      <c r="D221" s="20"/>
      <c r="E221" s="20"/>
      <c r="F221" s="20"/>
      <c r="G221" s="15"/>
      <c r="H221" s="15"/>
      <c r="I221" s="15"/>
      <c r="J221" s="15"/>
      <c r="K221" s="18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5.6">
      <c r="A222" s="23"/>
      <c r="B222" s="20"/>
      <c r="C222" s="20"/>
      <c r="D222" s="20"/>
      <c r="E222" s="20"/>
      <c r="F222" s="20"/>
      <c r="G222" s="15"/>
      <c r="H222" s="15"/>
      <c r="I222" s="15"/>
      <c r="J222" s="15"/>
      <c r="K222" s="1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5.6">
      <c r="A223" s="23"/>
      <c r="B223" s="20"/>
      <c r="C223" s="20"/>
      <c r="D223" s="20"/>
      <c r="E223" s="20"/>
      <c r="F223" s="20"/>
      <c r="G223" s="15"/>
      <c r="H223" s="15"/>
      <c r="I223" s="15"/>
      <c r="J223" s="15"/>
      <c r="K223" s="18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5.6">
      <c r="A224" s="23"/>
      <c r="B224" s="20"/>
      <c r="C224" s="20"/>
      <c r="D224" s="20"/>
      <c r="E224" s="20"/>
      <c r="F224" s="20"/>
      <c r="G224" s="15"/>
      <c r="H224" s="15"/>
      <c r="I224" s="15"/>
      <c r="J224" s="15"/>
      <c r="K224" s="18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5.6">
      <c r="A225" s="23"/>
      <c r="B225" s="20"/>
      <c r="C225" s="20"/>
      <c r="D225" s="20"/>
      <c r="E225" s="20"/>
      <c r="F225" s="20"/>
      <c r="G225" s="15"/>
      <c r="H225" s="15"/>
      <c r="I225" s="15"/>
      <c r="J225" s="15"/>
      <c r="K225" s="18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5.6">
      <c r="A226" s="23"/>
      <c r="B226" s="20"/>
      <c r="C226" s="20"/>
      <c r="D226" s="20"/>
      <c r="E226" s="20"/>
      <c r="F226" s="20"/>
      <c r="G226" s="15"/>
      <c r="H226" s="15"/>
      <c r="I226" s="15"/>
      <c r="J226" s="15"/>
      <c r="K226" s="18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5.6">
      <c r="A227" s="23"/>
      <c r="B227" s="20"/>
      <c r="C227" s="20"/>
      <c r="D227" s="20"/>
      <c r="E227" s="20"/>
      <c r="F227" s="20"/>
      <c r="G227" s="15"/>
      <c r="H227" s="15"/>
      <c r="I227" s="15"/>
      <c r="J227" s="15"/>
      <c r="K227" s="18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5.6">
      <c r="A228" s="23"/>
      <c r="B228" s="20"/>
      <c r="C228" s="20"/>
      <c r="D228" s="20"/>
      <c r="E228" s="20"/>
      <c r="F228" s="20"/>
      <c r="G228" s="15"/>
      <c r="H228" s="15"/>
      <c r="I228" s="15"/>
      <c r="J228" s="15"/>
      <c r="K228" s="18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5.6">
      <c r="A229" s="23"/>
      <c r="B229" s="20"/>
      <c r="C229" s="20"/>
      <c r="D229" s="20"/>
      <c r="E229" s="20"/>
      <c r="F229" s="20"/>
      <c r="G229" s="15"/>
      <c r="H229" s="15"/>
      <c r="I229" s="15"/>
      <c r="J229" s="15"/>
      <c r="K229" s="18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5.6">
      <c r="A230" s="23"/>
      <c r="B230" s="20"/>
      <c r="C230" s="20"/>
      <c r="D230" s="20"/>
      <c r="E230" s="20"/>
      <c r="F230" s="20"/>
      <c r="G230" s="15"/>
      <c r="H230" s="15"/>
      <c r="I230" s="15"/>
      <c r="J230" s="15"/>
      <c r="K230" s="18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5.6">
      <c r="A231" s="23"/>
      <c r="B231" s="20"/>
      <c r="C231" s="20"/>
      <c r="D231" s="20"/>
      <c r="E231" s="20"/>
      <c r="F231" s="20"/>
      <c r="G231" s="15"/>
      <c r="H231" s="15"/>
      <c r="I231" s="15"/>
      <c r="J231" s="15"/>
      <c r="K231" s="18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5.6">
      <c r="A232" s="23"/>
      <c r="B232" s="20"/>
      <c r="C232" s="20"/>
      <c r="D232" s="20"/>
      <c r="E232" s="20"/>
      <c r="F232" s="20"/>
      <c r="G232" s="15"/>
      <c r="H232" s="15"/>
      <c r="I232" s="15"/>
      <c r="J232" s="15"/>
      <c r="K232" s="18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5.6">
      <c r="A233" s="23"/>
      <c r="B233" s="20"/>
      <c r="C233" s="20"/>
      <c r="D233" s="20"/>
      <c r="E233" s="20"/>
      <c r="F233" s="20"/>
      <c r="G233" s="15"/>
      <c r="H233" s="15"/>
      <c r="I233" s="15"/>
      <c r="J233" s="15"/>
      <c r="K233" s="18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5.6">
      <c r="A234" s="23"/>
      <c r="B234" s="20"/>
      <c r="C234" s="20"/>
      <c r="D234" s="20"/>
      <c r="E234" s="20"/>
      <c r="F234" s="20"/>
      <c r="G234" s="15"/>
      <c r="H234" s="15"/>
      <c r="I234" s="15"/>
      <c r="J234" s="15"/>
      <c r="K234" s="18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5.6">
      <c r="A235" s="23"/>
      <c r="B235" s="20"/>
      <c r="C235" s="20"/>
      <c r="D235" s="20"/>
      <c r="E235" s="20"/>
      <c r="F235" s="20"/>
      <c r="G235" s="15"/>
      <c r="H235" s="15"/>
      <c r="I235" s="15"/>
      <c r="J235" s="15"/>
      <c r="K235" s="18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5.6">
      <c r="A236" s="23"/>
      <c r="B236" s="20"/>
      <c r="C236" s="20"/>
      <c r="D236" s="20"/>
      <c r="E236" s="20"/>
      <c r="F236" s="20"/>
      <c r="G236" s="15"/>
      <c r="H236" s="15"/>
      <c r="I236" s="15"/>
      <c r="J236" s="15"/>
      <c r="K236" s="18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5.6">
      <c r="A237" s="23"/>
      <c r="B237" s="20"/>
      <c r="C237" s="20"/>
      <c r="D237" s="20"/>
      <c r="E237" s="20"/>
      <c r="F237" s="20"/>
      <c r="G237" s="15"/>
      <c r="H237" s="15"/>
      <c r="I237" s="15"/>
      <c r="J237" s="15"/>
      <c r="K237" s="18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5.6">
      <c r="A238" s="23"/>
      <c r="B238" s="20"/>
      <c r="C238" s="20"/>
      <c r="D238" s="20"/>
      <c r="E238" s="20"/>
      <c r="F238" s="20"/>
      <c r="G238" s="15"/>
      <c r="H238" s="15"/>
      <c r="I238" s="15"/>
      <c r="J238" s="15"/>
      <c r="K238" s="18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5.6">
      <c r="A239" s="23"/>
      <c r="B239" s="20"/>
      <c r="C239" s="20"/>
      <c r="D239" s="20"/>
      <c r="E239" s="20"/>
      <c r="F239" s="20"/>
      <c r="G239" s="15"/>
      <c r="H239" s="15"/>
      <c r="I239" s="15"/>
      <c r="J239" s="15"/>
      <c r="K239" s="18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5.6">
      <c r="A240" s="23"/>
      <c r="B240" s="20"/>
      <c r="C240" s="20"/>
      <c r="D240" s="20"/>
      <c r="E240" s="20"/>
      <c r="F240" s="20"/>
      <c r="G240" s="15"/>
      <c r="H240" s="15"/>
      <c r="I240" s="15"/>
      <c r="J240" s="15"/>
      <c r="K240" s="18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5.6">
      <c r="A241" s="23"/>
      <c r="B241" s="20"/>
      <c r="C241" s="20"/>
      <c r="D241" s="20"/>
      <c r="E241" s="20"/>
      <c r="F241" s="20"/>
      <c r="G241" s="15"/>
      <c r="H241" s="15"/>
      <c r="I241" s="15"/>
      <c r="J241" s="15"/>
      <c r="K241" s="18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5.6">
      <c r="A242" s="23"/>
      <c r="B242" s="20"/>
      <c r="C242" s="20"/>
      <c r="D242" s="20"/>
      <c r="E242" s="20"/>
      <c r="F242" s="20"/>
      <c r="G242" s="15"/>
      <c r="H242" s="15"/>
      <c r="I242" s="15"/>
      <c r="J242" s="15"/>
      <c r="K242" s="18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5.6">
      <c r="A243" s="23"/>
      <c r="B243" s="20"/>
      <c r="C243" s="20"/>
      <c r="D243" s="20"/>
      <c r="E243" s="20"/>
      <c r="F243" s="20"/>
      <c r="G243" s="15"/>
      <c r="H243" s="15"/>
      <c r="I243" s="15"/>
      <c r="J243" s="15"/>
      <c r="K243" s="18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5.6">
      <c r="A244" s="23"/>
      <c r="B244" s="20"/>
      <c r="C244" s="20"/>
      <c r="D244" s="20"/>
      <c r="E244" s="20"/>
      <c r="F244" s="20"/>
      <c r="G244" s="15"/>
      <c r="H244" s="15"/>
      <c r="I244" s="15"/>
      <c r="J244" s="15"/>
      <c r="K244" s="18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5.6">
      <c r="A245" s="23"/>
      <c r="B245" s="20"/>
      <c r="C245" s="20"/>
      <c r="D245" s="20"/>
      <c r="E245" s="20"/>
      <c r="F245" s="20"/>
      <c r="G245" s="15"/>
      <c r="H245" s="15"/>
      <c r="I245" s="15"/>
      <c r="J245" s="15"/>
      <c r="K245" s="18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5.6">
      <c r="A246" s="23"/>
      <c r="B246" s="20"/>
      <c r="C246" s="20"/>
      <c r="D246" s="20"/>
      <c r="E246" s="20"/>
      <c r="F246" s="20"/>
      <c r="G246" s="15"/>
      <c r="H246" s="15"/>
      <c r="I246" s="15"/>
      <c r="J246" s="15"/>
      <c r="K246" s="18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5.6">
      <c r="A247" s="23"/>
      <c r="B247" s="20"/>
      <c r="C247" s="20"/>
      <c r="D247" s="20"/>
      <c r="E247" s="20"/>
      <c r="F247" s="20"/>
      <c r="G247" s="15"/>
      <c r="H247" s="15"/>
      <c r="I247" s="15"/>
      <c r="J247" s="15"/>
      <c r="K247" s="18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5.6">
      <c r="A248" s="23"/>
      <c r="B248" s="20"/>
      <c r="C248" s="20"/>
      <c r="D248" s="20"/>
      <c r="E248" s="20"/>
      <c r="F248" s="20"/>
      <c r="G248" s="15"/>
      <c r="H248" s="15"/>
      <c r="I248" s="15"/>
      <c r="J248" s="15"/>
      <c r="K248" s="18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5.6">
      <c r="A249" s="23"/>
      <c r="B249" s="20"/>
      <c r="C249" s="20"/>
      <c r="D249" s="20"/>
      <c r="E249" s="20"/>
      <c r="F249" s="20"/>
      <c r="G249" s="15"/>
      <c r="H249" s="15"/>
      <c r="I249" s="15"/>
      <c r="J249" s="15"/>
      <c r="K249" s="18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5.6">
      <c r="A250" s="23"/>
      <c r="B250" s="20"/>
      <c r="C250" s="20"/>
      <c r="D250" s="20"/>
      <c r="E250" s="20"/>
      <c r="F250" s="20"/>
      <c r="G250" s="15"/>
      <c r="H250" s="15"/>
      <c r="I250" s="15"/>
      <c r="J250" s="15"/>
      <c r="K250" s="18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5.6">
      <c r="A251" s="23"/>
      <c r="B251" s="20"/>
      <c r="C251" s="20"/>
      <c r="D251" s="20"/>
      <c r="E251" s="20"/>
      <c r="F251" s="20"/>
      <c r="G251" s="15"/>
      <c r="H251" s="15"/>
      <c r="I251" s="15"/>
      <c r="J251" s="15"/>
      <c r="K251" s="18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5.6">
      <c r="A252" s="23"/>
      <c r="B252" s="20"/>
      <c r="C252" s="20"/>
      <c r="D252" s="20"/>
      <c r="E252" s="20"/>
      <c r="F252" s="20"/>
      <c r="G252" s="15"/>
      <c r="H252" s="15"/>
      <c r="I252" s="15"/>
      <c r="J252" s="15"/>
      <c r="K252" s="18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5.6">
      <c r="A253" s="23"/>
      <c r="B253" s="20"/>
      <c r="C253" s="20"/>
      <c r="D253" s="20"/>
      <c r="E253" s="20"/>
      <c r="F253" s="20"/>
      <c r="G253" s="15"/>
      <c r="H253" s="15"/>
      <c r="I253" s="15"/>
      <c r="J253" s="15"/>
      <c r="K253" s="18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5.6">
      <c r="A254" s="23"/>
      <c r="B254" s="20"/>
      <c r="C254" s="20"/>
      <c r="D254" s="20"/>
      <c r="E254" s="20"/>
      <c r="F254" s="20"/>
      <c r="G254" s="15"/>
      <c r="H254" s="15"/>
      <c r="I254" s="15"/>
      <c r="J254" s="15"/>
      <c r="K254" s="18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5.6">
      <c r="A255" s="23"/>
      <c r="B255" s="20"/>
      <c r="C255" s="20"/>
      <c r="D255" s="20"/>
      <c r="E255" s="20"/>
      <c r="F255" s="20"/>
      <c r="G255" s="15"/>
      <c r="H255" s="15"/>
      <c r="I255" s="15"/>
      <c r="J255" s="15"/>
      <c r="K255" s="18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5.6">
      <c r="A256" s="23"/>
      <c r="B256" s="20"/>
      <c r="C256" s="20"/>
      <c r="D256" s="20"/>
      <c r="E256" s="20"/>
      <c r="F256" s="20"/>
      <c r="G256" s="15"/>
      <c r="H256" s="15"/>
      <c r="I256" s="15"/>
      <c r="J256" s="15"/>
      <c r="K256" s="18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5.6">
      <c r="A257" s="23"/>
      <c r="B257" s="20"/>
      <c r="C257" s="20"/>
      <c r="D257" s="20"/>
      <c r="E257" s="20"/>
      <c r="F257" s="20"/>
      <c r="G257" s="15"/>
      <c r="H257" s="15"/>
      <c r="I257" s="15"/>
      <c r="J257" s="15"/>
      <c r="K257" s="18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5.6">
      <c r="A258" s="23"/>
      <c r="B258" s="20"/>
      <c r="C258" s="20"/>
      <c r="D258" s="20"/>
      <c r="E258" s="20"/>
      <c r="F258" s="20"/>
      <c r="G258" s="15"/>
      <c r="H258" s="15"/>
      <c r="I258" s="15"/>
      <c r="J258" s="15"/>
      <c r="K258" s="18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5.6">
      <c r="A259" s="23"/>
      <c r="B259" s="20"/>
      <c r="C259" s="20"/>
      <c r="D259" s="20"/>
      <c r="E259" s="20"/>
      <c r="F259" s="20"/>
      <c r="G259" s="15"/>
      <c r="H259" s="15"/>
      <c r="I259" s="15"/>
      <c r="J259" s="15"/>
      <c r="K259" s="18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5.6">
      <c r="A260" s="23"/>
      <c r="B260" s="20"/>
      <c r="C260" s="20"/>
      <c r="D260" s="20"/>
      <c r="E260" s="20"/>
      <c r="F260" s="20"/>
      <c r="G260" s="15"/>
      <c r="H260" s="15"/>
      <c r="I260" s="15"/>
      <c r="J260" s="15"/>
      <c r="K260" s="18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5.6">
      <c r="A261" s="23"/>
      <c r="B261" s="20"/>
      <c r="C261" s="20"/>
      <c r="D261" s="20"/>
      <c r="E261" s="20"/>
      <c r="F261" s="20"/>
      <c r="G261" s="15"/>
      <c r="H261" s="15"/>
      <c r="I261" s="15"/>
      <c r="J261" s="15"/>
      <c r="K261" s="18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5.6">
      <c r="A262" s="23"/>
      <c r="B262" s="20"/>
      <c r="C262" s="20"/>
      <c r="D262" s="20"/>
      <c r="E262" s="20"/>
      <c r="F262" s="20"/>
      <c r="G262" s="15"/>
      <c r="H262" s="15"/>
      <c r="I262" s="15"/>
      <c r="J262" s="15"/>
      <c r="K262" s="18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5.6">
      <c r="A263" s="23"/>
      <c r="B263" s="20"/>
      <c r="C263" s="20"/>
      <c r="D263" s="20"/>
      <c r="E263" s="20"/>
      <c r="F263" s="20"/>
      <c r="G263" s="15"/>
      <c r="H263" s="15"/>
      <c r="I263" s="15"/>
      <c r="J263" s="15"/>
      <c r="K263" s="18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5.6">
      <c r="A264" s="23"/>
      <c r="B264" s="20"/>
      <c r="C264" s="20"/>
      <c r="D264" s="20"/>
      <c r="E264" s="20"/>
      <c r="F264" s="20"/>
      <c r="G264" s="15"/>
      <c r="H264" s="15"/>
      <c r="I264" s="15"/>
      <c r="J264" s="15"/>
      <c r="K264" s="18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5.6">
      <c r="A265" s="23"/>
      <c r="B265" s="20"/>
      <c r="C265" s="20"/>
      <c r="D265" s="20"/>
      <c r="E265" s="20"/>
      <c r="F265" s="20"/>
      <c r="G265" s="15"/>
      <c r="H265" s="15"/>
      <c r="I265" s="15"/>
      <c r="J265" s="15"/>
      <c r="K265" s="18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5.6">
      <c r="A266" s="23"/>
      <c r="B266" s="20"/>
      <c r="C266" s="20"/>
      <c r="D266" s="20"/>
      <c r="E266" s="20"/>
      <c r="F266" s="20"/>
      <c r="G266" s="15"/>
      <c r="H266" s="15"/>
      <c r="I266" s="15"/>
      <c r="J266" s="15"/>
      <c r="K266" s="18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5.6">
      <c r="A267" s="23"/>
      <c r="B267" s="20"/>
      <c r="C267" s="20"/>
      <c r="D267" s="20"/>
      <c r="E267" s="20"/>
      <c r="F267" s="20"/>
      <c r="G267" s="15"/>
      <c r="H267" s="15"/>
      <c r="I267" s="15"/>
      <c r="J267" s="15"/>
      <c r="K267" s="18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5.6">
      <c r="A268" s="23"/>
      <c r="B268" s="20"/>
      <c r="C268" s="20"/>
      <c r="D268" s="20"/>
      <c r="E268" s="20"/>
      <c r="F268" s="20"/>
      <c r="G268" s="15"/>
      <c r="H268" s="15"/>
      <c r="I268" s="15"/>
      <c r="J268" s="15"/>
      <c r="K268" s="18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5.6">
      <c r="A269" s="23"/>
      <c r="B269" s="20"/>
      <c r="C269" s="20"/>
      <c r="D269" s="20"/>
      <c r="E269" s="20"/>
      <c r="F269" s="20"/>
      <c r="G269" s="15"/>
      <c r="H269" s="15"/>
      <c r="I269" s="15"/>
      <c r="J269" s="15"/>
      <c r="K269" s="18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5.6">
      <c r="A270" s="23"/>
      <c r="B270" s="20"/>
      <c r="C270" s="20"/>
      <c r="D270" s="20"/>
      <c r="E270" s="20"/>
      <c r="F270" s="20"/>
      <c r="G270" s="15"/>
      <c r="H270" s="15"/>
      <c r="I270" s="15"/>
      <c r="J270" s="15"/>
      <c r="K270" s="18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5.6">
      <c r="A271" s="23"/>
      <c r="B271" s="20"/>
      <c r="C271" s="20"/>
      <c r="D271" s="20"/>
      <c r="E271" s="20"/>
      <c r="F271" s="20"/>
      <c r="G271" s="15"/>
      <c r="H271" s="15"/>
      <c r="I271" s="15"/>
      <c r="J271" s="15"/>
      <c r="K271" s="18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5.6">
      <c r="A272" s="23"/>
      <c r="B272" s="20"/>
      <c r="C272" s="20"/>
      <c r="D272" s="20"/>
      <c r="E272" s="20"/>
      <c r="F272" s="20"/>
      <c r="G272" s="15"/>
      <c r="H272" s="15"/>
      <c r="I272" s="15"/>
      <c r="J272" s="15"/>
      <c r="K272" s="18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5.6">
      <c r="A273" s="23"/>
      <c r="B273" s="20"/>
      <c r="C273" s="20"/>
      <c r="D273" s="20"/>
      <c r="E273" s="20"/>
      <c r="F273" s="20"/>
      <c r="G273" s="15"/>
      <c r="H273" s="15"/>
      <c r="I273" s="15"/>
      <c r="J273" s="15"/>
      <c r="K273" s="18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5.6">
      <c r="A274" s="23"/>
      <c r="B274" s="20"/>
      <c r="C274" s="20"/>
      <c r="D274" s="20"/>
      <c r="E274" s="20"/>
      <c r="F274" s="20"/>
      <c r="G274" s="15"/>
      <c r="H274" s="15"/>
      <c r="I274" s="15"/>
      <c r="J274" s="15"/>
      <c r="K274" s="18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5.6">
      <c r="A275" s="23"/>
      <c r="B275" s="20"/>
      <c r="C275" s="20"/>
      <c r="D275" s="20"/>
      <c r="E275" s="20"/>
      <c r="F275" s="20"/>
      <c r="G275" s="15"/>
      <c r="H275" s="15"/>
      <c r="I275" s="15"/>
      <c r="J275" s="15"/>
      <c r="K275" s="18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5.6">
      <c r="A276" s="23"/>
      <c r="B276" s="20"/>
      <c r="C276" s="20"/>
      <c r="D276" s="20"/>
      <c r="E276" s="20"/>
      <c r="F276" s="20"/>
      <c r="G276" s="15"/>
      <c r="H276" s="15"/>
      <c r="I276" s="15"/>
      <c r="J276" s="15"/>
      <c r="K276" s="18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5.6">
      <c r="A277" s="23"/>
      <c r="B277" s="20"/>
      <c r="C277" s="20"/>
      <c r="D277" s="20"/>
      <c r="E277" s="20"/>
      <c r="F277" s="20"/>
      <c r="G277" s="15"/>
      <c r="H277" s="15"/>
      <c r="I277" s="15"/>
      <c r="J277" s="15"/>
      <c r="K277" s="18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5.6">
      <c r="A278" s="23"/>
      <c r="B278" s="20"/>
      <c r="C278" s="20"/>
      <c r="D278" s="20"/>
      <c r="E278" s="20"/>
      <c r="F278" s="20"/>
      <c r="G278" s="15"/>
      <c r="H278" s="15"/>
      <c r="I278" s="15"/>
      <c r="J278" s="15"/>
      <c r="K278" s="18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5.6">
      <c r="A279" s="23"/>
      <c r="B279" s="20"/>
      <c r="C279" s="20"/>
      <c r="D279" s="20"/>
      <c r="E279" s="20"/>
      <c r="F279" s="20"/>
      <c r="G279" s="15"/>
      <c r="H279" s="15"/>
      <c r="I279" s="15"/>
      <c r="J279" s="15"/>
      <c r="K279" s="18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5.6">
      <c r="A280" s="23"/>
      <c r="B280" s="20"/>
      <c r="C280" s="20"/>
      <c r="D280" s="20"/>
      <c r="E280" s="20"/>
      <c r="F280" s="20"/>
      <c r="G280" s="15"/>
      <c r="H280" s="15"/>
      <c r="I280" s="15"/>
      <c r="J280" s="15"/>
      <c r="K280" s="18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5.6">
      <c r="A281" s="23"/>
      <c r="B281" s="20"/>
      <c r="C281" s="20"/>
      <c r="D281" s="20"/>
      <c r="E281" s="20"/>
      <c r="F281" s="20"/>
      <c r="G281" s="15"/>
      <c r="H281" s="15"/>
      <c r="I281" s="15"/>
      <c r="J281" s="15"/>
      <c r="K281" s="18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5.6">
      <c r="A282" s="23"/>
      <c r="B282" s="20"/>
      <c r="C282" s="20"/>
      <c r="D282" s="20"/>
      <c r="E282" s="20"/>
      <c r="F282" s="20"/>
      <c r="G282" s="15"/>
      <c r="H282" s="15"/>
      <c r="I282" s="15"/>
      <c r="J282" s="15"/>
      <c r="K282" s="18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5.6">
      <c r="A283" s="23"/>
      <c r="B283" s="20"/>
      <c r="C283" s="20"/>
      <c r="D283" s="20"/>
      <c r="E283" s="20"/>
      <c r="F283" s="20"/>
      <c r="G283" s="15"/>
      <c r="H283" s="15"/>
      <c r="I283" s="15"/>
      <c r="J283" s="15"/>
      <c r="K283" s="18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5.6">
      <c r="A284" s="23"/>
      <c r="B284" s="20"/>
      <c r="C284" s="20"/>
      <c r="D284" s="20"/>
      <c r="E284" s="20"/>
      <c r="F284" s="20"/>
      <c r="G284" s="15"/>
      <c r="H284" s="15"/>
      <c r="I284" s="15"/>
      <c r="J284" s="15"/>
      <c r="K284" s="18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5.6">
      <c r="A285" s="23"/>
      <c r="B285" s="20"/>
      <c r="C285" s="20"/>
      <c r="D285" s="20"/>
      <c r="E285" s="20"/>
      <c r="F285" s="20"/>
      <c r="G285" s="15"/>
      <c r="H285" s="15"/>
      <c r="I285" s="15"/>
      <c r="J285" s="15"/>
      <c r="K285" s="18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5.6">
      <c r="A286" s="23"/>
      <c r="B286" s="20"/>
      <c r="C286" s="20"/>
      <c r="D286" s="20"/>
      <c r="E286" s="20"/>
      <c r="F286" s="20"/>
      <c r="G286" s="15"/>
      <c r="H286" s="15"/>
      <c r="I286" s="15"/>
      <c r="J286" s="15"/>
      <c r="K286" s="18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5.6">
      <c r="A287" s="23"/>
      <c r="B287" s="20"/>
      <c r="C287" s="20"/>
      <c r="D287" s="20"/>
      <c r="E287" s="20"/>
      <c r="F287" s="20"/>
      <c r="G287" s="15"/>
      <c r="H287" s="15"/>
      <c r="I287" s="15"/>
      <c r="J287" s="15"/>
      <c r="K287" s="18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5.6">
      <c r="A288" s="23"/>
      <c r="B288" s="20"/>
      <c r="C288" s="20"/>
      <c r="D288" s="20"/>
      <c r="E288" s="20"/>
      <c r="F288" s="20"/>
      <c r="G288" s="15"/>
      <c r="H288" s="15"/>
      <c r="I288" s="15"/>
      <c r="J288" s="15"/>
      <c r="K288" s="18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5.6">
      <c r="A289" s="23"/>
      <c r="B289" s="20"/>
      <c r="C289" s="20"/>
      <c r="D289" s="20"/>
      <c r="E289" s="20"/>
      <c r="F289" s="20"/>
      <c r="G289" s="15"/>
      <c r="H289" s="15"/>
      <c r="I289" s="15"/>
      <c r="J289" s="15"/>
      <c r="K289" s="18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5.6">
      <c r="A290" s="23"/>
      <c r="B290" s="20"/>
      <c r="C290" s="20"/>
      <c r="D290" s="20"/>
      <c r="E290" s="20"/>
      <c r="F290" s="20"/>
      <c r="G290" s="15"/>
      <c r="H290" s="15"/>
      <c r="I290" s="15"/>
      <c r="J290" s="15"/>
      <c r="K290" s="18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5.6">
      <c r="A291" s="23"/>
      <c r="B291" s="20"/>
      <c r="C291" s="20"/>
      <c r="D291" s="20"/>
      <c r="E291" s="20"/>
      <c r="F291" s="20"/>
      <c r="G291" s="15"/>
      <c r="H291" s="15"/>
      <c r="I291" s="15"/>
      <c r="J291" s="15"/>
      <c r="K291" s="18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5.6">
      <c r="A292" s="23"/>
      <c r="B292" s="20"/>
      <c r="C292" s="20"/>
      <c r="D292" s="20"/>
      <c r="E292" s="20"/>
      <c r="F292" s="20"/>
      <c r="G292" s="15"/>
      <c r="H292" s="15"/>
      <c r="I292" s="15"/>
      <c r="J292" s="15"/>
      <c r="K292" s="18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5.6">
      <c r="A293" s="23"/>
      <c r="B293" s="20"/>
      <c r="C293" s="20"/>
      <c r="D293" s="20"/>
      <c r="E293" s="20"/>
      <c r="F293" s="20"/>
      <c r="G293" s="15"/>
      <c r="H293" s="15"/>
      <c r="I293" s="15"/>
      <c r="J293" s="15"/>
      <c r="K293" s="18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5.6">
      <c r="A294" s="23"/>
      <c r="B294" s="20"/>
      <c r="C294" s="20"/>
      <c r="D294" s="20"/>
      <c r="E294" s="20"/>
      <c r="F294" s="20"/>
      <c r="G294" s="15"/>
      <c r="H294" s="15"/>
      <c r="I294" s="15"/>
      <c r="J294" s="15"/>
      <c r="K294" s="18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5.6">
      <c r="A295" s="23"/>
      <c r="B295" s="20"/>
      <c r="C295" s="20"/>
      <c r="D295" s="20"/>
      <c r="E295" s="20"/>
      <c r="F295" s="20"/>
      <c r="G295" s="15"/>
      <c r="H295" s="15"/>
      <c r="I295" s="15"/>
      <c r="J295" s="15"/>
      <c r="K295" s="18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5.6">
      <c r="A296" s="23"/>
      <c r="B296" s="20"/>
      <c r="C296" s="20"/>
      <c r="D296" s="20"/>
      <c r="E296" s="20"/>
      <c r="F296" s="20"/>
      <c r="G296" s="15"/>
      <c r="H296" s="15"/>
      <c r="I296" s="15"/>
      <c r="J296" s="15"/>
      <c r="K296" s="18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5.6">
      <c r="A297" s="23"/>
      <c r="B297" s="20"/>
      <c r="C297" s="20"/>
      <c r="D297" s="20"/>
      <c r="E297" s="20"/>
      <c r="F297" s="20"/>
      <c r="G297" s="15"/>
      <c r="H297" s="15"/>
      <c r="I297" s="15"/>
      <c r="J297" s="15"/>
      <c r="K297" s="18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5.6">
      <c r="A298" s="23"/>
      <c r="B298" s="20"/>
      <c r="C298" s="20"/>
      <c r="D298" s="20"/>
      <c r="E298" s="20"/>
      <c r="F298" s="20"/>
      <c r="G298" s="15"/>
      <c r="H298" s="15"/>
      <c r="I298" s="15"/>
      <c r="J298" s="15"/>
      <c r="K298" s="18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5.6">
      <c r="A299" s="23"/>
      <c r="B299" s="20"/>
      <c r="C299" s="20"/>
      <c r="D299" s="20"/>
      <c r="E299" s="20"/>
      <c r="F299" s="20"/>
      <c r="G299" s="15"/>
      <c r="H299" s="15"/>
      <c r="I299" s="15"/>
      <c r="J299" s="15"/>
      <c r="K299" s="18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5.6">
      <c r="A300" s="23"/>
      <c r="B300" s="20"/>
      <c r="C300" s="20"/>
      <c r="D300" s="20"/>
      <c r="E300" s="20"/>
      <c r="F300" s="20"/>
      <c r="G300" s="15"/>
      <c r="H300" s="15"/>
      <c r="I300" s="15"/>
      <c r="J300" s="15"/>
      <c r="K300" s="18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5.6">
      <c r="A301" s="23"/>
      <c r="B301" s="20"/>
      <c r="C301" s="20"/>
      <c r="D301" s="20"/>
      <c r="E301" s="20"/>
      <c r="F301" s="20"/>
      <c r="G301" s="15"/>
      <c r="H301" s="15"/>
      <c r="I301" s="15"/>
      <c r="J301" s="15"/>
      <c r="K301" s="18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5.6">
      <c r="A302" s="23"/>
      <c r="B302" s="20"/>
      <c r="C302" s="20"/>
      <c r="D302" s="20"/>
      <c r="E302" s="20"/>
      <c r="F302" s="20"/>
      <c r="G302" s="15"/>
      <c r="H302" s="15"/>
      <c r="I302" s="15"/>
      <c r="J302" s="15"/>
      <c r="K302" s="18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5.6">
      <c r="A303" s="23"/>
      <c r="B303" s="20"/>
      <c r="C303" s="20"/>
      <c r="D303" s="20"/>
      <c r="E303" s="20"/>
      <c r="F303" s="20"/>
      <c r="G303" s="15"/>
      <c r="H303" s="15"/>
      <c r="I303" s="15"/>
      <c r="J303" s="15"/>
      <c r="K303" s="18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5.6">
      <c r="A304" s="23"/>
      <c r="B304" s="20"/>
      <c r="C304" s="20"/>
      <c r="D304" s="20"/>
      <c r="E304" s="20"/>
      <c r="F304" s="20"/>
      <c r="G304" s="15"/>
      <c r="H304" s="15"/>
      <c r="I304" s="15"/>
      <c r="J304" s="15"/>
      <c r="K304" s="18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5.6">
      <c r="A305" s="23"/>
      <c r="B305" s="20"/>
      <c r="C305" s="20"/>
      <c r="D305" s="20"/>
      <c r="E305" s="20"/>
      <c r="F305" s="20"/>
      <c r="G305" s="15"/>
      <c r="H305" s="15"/>
      <c r="I305" s="15"/>
      <c r="J305" s="15"/>
      <c r="K305" s="18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5.6">
      <c r="A306" s="23"/>
      <c r="B306" s="20"/>
      <c r="C306" s="20"/>
      <c r="D306" s="20"/>
      <c r="E306" s="20"/>
      <c r="F306" s="20"/>
      <c r="G306" s="15"/>
      <c r="H306" s="15"/>
      <c r="I306" s="15"/>
      <c r="J306" s="15"/>
      <c r="K306" s="18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5.6">
      <c r="A307" s="23"/>
      <c r="B307" s="20"/>
      <c r="C307" s="20"/>
      <c r="D307" s="20"/>
      <c r="E307" s="20"/>
      <c r="F307" s="20"/>
      <c r="G307" s="15"/>
      <c r="H307" s="15"/>
      <c r="I307" s="15"/>
      <c r="J307" s="15"/>
      <c r="K307" s="18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5.6">
      <c r="A308" s="23"/>
      <c r="B308" s="20"/>
      <c r="C308" s="20"/>
      <c r="D308" s="20"/>
      <c r="E308" s="20"/>
      <c r="F308" s="20"/>
      <c r="G308" s="15"/>
      <c r="H308" s="15"/>
      <c r="I308" s="15"/>
      <c r="J308" s="15"/>
      <c r="K308" s="18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5.6">
      <c r="A309" s="23"/>
      <c r="B309" s="20"/>
      <c r="C309" s="20"/>
      <c r="D309" s="20"/>
      <c r="E309" s="20"/>
      <c r="F309" s="20"/>
      <c r="G309" s="15"/>
      <c r="H309" s="15"/>
      <c r="I309" s="15"/>
      <c r="J309" s="15"/>
      <c r="K309" s="18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5.6">
      <c r="A310" s="23"/>
      <c r="B310" s="20"/>
      <c r="C310" s="20"/>
      <c r="D310" s="20"/>
      <c r="E310" s="20"/>
      <c r="F310" s="20"/>
      <c r="G310" s="15"/>
      <c r="H310" s="15"/>
      <c r="I310" s="15"/>
      <c r="J310" s="15"/>
      <c r="K310" s="18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5.6">
      <c r="A311" s="23"/>
      <c r="B311" s="20"/>
      <c r="C311" s="20"/>
      <c r="D311" s="20"/>
      <c r="E311" s="20"/>
      <c r="F311" s="20"/>
      <c r="G311" s="15"/>
      <c r="H311" s="15"/>
      <c r="I311" s="15"/>
      <c r="J311" s="15"/>
      <c r="K311" s="18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5.6">
      <c r="A312" s="23"/>
      <c r="B312" s="20"/>
      <c r="C312" s="20"/>
      <c r="D312" s="20"/>
      <c r="E312" s="20"/>
      <c r="F312" s="20"/>
      <c r="G312" s="15"/>
      <c r="H312" s="15"/>
      <c r="I312" s="15"/>
      <c r="J312" s="15"/>
      <c r="K312" s="18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5.6">
      <c r="A313" s="23"/>
      <c r="B313" s="20"/>
      <c r="C313" s="20"/>
      <c r="D313" s="20"/>
      <c r="E313" s="20"/>
      <c r="F313" s="20"/>
      <c r="G313" s="15"/>
      <c r="H313" s="15"/>
      <c r="I313" s="15"/>
      <c r="J313" s="15"/>
      <c r="K313" s="18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5.6">
      <c r="A314" s="23"/>
      <c r="B314" s="20"/>
      <c r="C314" s="20"/>
      <c r="D314" s="20"/>
      <c r="E314" s="20"/>
      <c r="F314" s="20"/>
      <c r="G314" s="15"/>
      <c r="H314" s="15"/>
      <c r="I314" s="15"/>
      <c r="J314" s="15"/>
      <c r="K314" s="18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5.6">
      <c r="A315" s="23"/>
      <c r="B315" s="20"/>
      <c r="C315" s="20"/>
      <c r="D315" s="20"/>
      <c r="E315" s="20"/>
      <c r="F315" s="20"/>
      <c r="G315" s="15"/>
      <c r="H315" s="15"/>
      <c r="I315" s="15"/>
      <c r="J315" s="15"/>
      <c r="K315" s="18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5.6">
      <c r="A316" s="23"/>
      <c r="B316" s="20"/>
      <c r="C316" s="20"/>
      <c r="D316" s="20"/>
      <c r="E316" s="20"/>
      <c r="F316" s="20"/>
      <c r="G316" s="15"/>
      <c r="H316" s="15"/>
      <c r="I316" s="15"/>
      <c r="J316" s="15"/>
      <c r="K316" s="18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5.6">
      <c r="A317" s="23"/>
      <c r="B317" s="20"/>
      <c r="C317" s="20"/>
      <c r="D317" s="20"/>
      <c r="E317" s="20"/>
      <c r="F317" s="20"/>
      <c r="G317" s="15"/>
      <c r="H317" s="15"/>
      <c r="I317" s="15"/>
      <c r="J317" s="15"/>
      <c r="K317" s="18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5.6">
      <c r="A318" s="23"/>
      <c r="B318" s="20"/>
      <c r="C318" s="20"/>
      <c r="D318" s="20"/>
      <c r="E318" s="20"/>
      <c r="F318" s="20"/>
      <c r="G318" s="15"/>
      <c r="H318" s="15"/>
      <c r="I318" s="15"/>
      <c r="J318" s="15"/>
      <c r="K318" s="18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5.6">
      <c r="A319" s="23"/>
      <c r="B319" s="20"/>
      <c r="C319" s="20"/>
      <c r="D319" s="20"/>
      <c r="E319" s="20"/>
      <c r="F319" s="20"/>
      <c r="G319" s="15"/>
      <c r="H319" s="15"/>
      <c r="I319" s="15"/>
      <c r="J319" s="15"/>
      <c r="K319" s="18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5.6">
      <c r="A320" s="23"/>
      <c r="B320" s="20"/>
      <c r="C320" s="20"/>
      <c r="D320" s="20"/>
      <c r="E320" s="20"/>
      <c r="F320" s="20"/>
      <c r="G320" s="15"/>
      <c r="H320" s="15"/>
      <c r="I320" s="15"/>
      <c r="J320" s="15"/>
      <c r="K320" s="18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5.6">
      <c r="A321" s="23"/>
      <c r="B321" s="20"/>
      <c r="C321" s="20"/>
      <c r="D321" s="20"/>
      <c r="E321" s="20"/>
      <c r="F321" s="20"/>
      <c r="G321" s="15"/>
      <c r="H321" s="15"/>
      <c r="I321" s="15"/>
      <c r="J321" s="15"/>
      <c r="K321" s="18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5.6">
      <c r="A322" s="23"/>
      <c r="B322" s="20"/>
      <c r="C322" s="20"/>
      <c r="D322" s="20"/>
      <c r="E322" s="20"/>
      <c r="F322" s="20"/>
      <c r="G322" s="15"/>
      <c r="H322" s="15"/>
      <c r="I322" s="15"/>
      <c r="J322" s="15"/>
      <c r="K322" s="18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5.6">
      <c r="A323" s="23"/>
      <c r="B323" s="20"/>
      <c r="C323" s="20"/>
      <c r="D323" s="20"/>
      <c r="E323" s="20"/>
      <c r="F323" s="20"/>
      <c r="G323" s="15"/>
      <c r="H323" s="15"/>
      <c r="I323" s="15"/>
      <c r="J323" s="15"/>
      <c r="K323" s="18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5.6">
      <c r="A324" s="23"/>
      <c r="B324" s="20"/>
      <c r="C324" s="20"/>
      <c r="D324" s="20"/>
      <c r="E324" s="20"/>
      <c r="F324" s="20"/>
      <c r="G324" s="15"/>
      <c r="H324" s="15"/>
      <c r="I324" s="15"/>
      <c r="J324" s="15"/>
      <c r="K324" s="18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5.6">
      <c r="A325" s="23"/>
      <c r="B325" s="20"/>
      <c r="C325" s="20"/>
      <c r="D325" s="20"/>
      <c r="E325" s="20"/>
      <c r="F325" s="20"/>
      <c r="G325" s="15"/>
      <c r="H325" s="15"/>
      <c r="I325" s="15"/>
      <c r="J325" s="15"/>
      <c r="K325" s="18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5.6">
      <c r="A326" s="23"/>
      <c r="B326" s="20"/>
      <c r="C326" s="20"/>
      <c r="D326" s="20"/>
      <c r="E326" s="20"/>
      <c r="F326" s="20"/>
      <c r="G326" s="15"/>
      <c r="H326" s="15"/>
      <c r="I326" s="15"/>
      <c r="J326" s="15"/>
      <c r="K326" s="18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5.6">
      <c r="A327" s="23"/>
      <c r="B327" s="20"/>
      <c r="C327" s="20"/>
      <c r="D327" s="20"/>
      <c r="E327" s="20"/>
      <c r="F327" s="20"/>
      <c r="G327" s="15"/>
      <c r="H327" s="15"/>
      <c r="I327" s="15"/>
      <c r="J327" s="15"/>
      <c r="K327" s="18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5.6">
      <c r="A328" s="23"/>
      <c r="B328" s="20"/>
      <c r="C328" s="20"/>
      <c r="D328" s="20"/>
      <c r="E328" s="20"/>
      <c r="F328" s="20"/>
      <c r="G328" s="15"/>
      <c r="H328" s="15"/>
      <c r="I328" s="15"/>
      <c r="J328" s="15"/>
      <c r="K328" s="18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5.6">
      <c r="A329" s="23"/>
      <c r="B329" s="20"/>
      <c r="C329" s="20"/>
      <c r="D329" s="20"/>
      <c r="E329" s="20"/>
      <c r="F329" s="20"/>
      <c r="G329" s="15"/>
      <c r="H329" s="15"/>
      <c r="I329" s="15"/>
      <c r="J329" s="15"/>
      <c r="K329" s="18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5.6">
      <c r="A330" s="23"/>
      <c r="B330" s="20"/>
      <c r="C330" s="20"/>
      <c r="D330" s="20"/>
      <c r="E330" s="20"/>
      <c r="F330" s="20"/>
      <c r="G330" s="15"/>
      <c r="H330" s="15"/>
      <c r="I330" s="15"/>
      <c r="J330" s="15"/>
      <c r="K330" s="18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5.6">
      <c r="A331" s="23"/>
      <c r="B331" s="20"/>
      <c r="C331" s="20"/>
      <c r="D331" s="20"/>
      <c r="E331" s="20"/>
      <c r="F331" s="20"/>
      <c r="G331" s="15"/>
      <c r="H331" s="15"/>
      <c r="I331" s="15"/>
      <c r="J331" s="15"/>
      <c r="K331" s="18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5.6">
      <c r="A332" s="23"/>
      <c r="B332" s="20"/>
      <c r="C332" s="20"/>
      <c r="D332" s="20"/>
      <c r="E332" s="20"/>
      <c r="F332" s="20"/>
      <c r="G332" s="15"/>
      <c r="H332" s="15"/>
      <c r="I332" s="15"/>
      <c r="J332" s="15"/>
      <c r="K332" s="18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5.6">
      <c r="A333" s="23"/>
      <c r="B333" s="20"/>
      <c r="C333" s="20"/>
      <c r="D333" s="20"/>
      <c r="E333" s="20"/>
      <c r="F333" s="20"/>
      <c r="G333" s="15"/>
      <c r="H333" s="15"/>
      <c r="I333" s="15"/>
      <c r="J333" s="15"/>
      <c r="K333" s="18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15.6">
      <c r="A334" s="23"/>
      <c r="B334" s="20"/>
      <c r="C334" s="20"/>
      <c r="D334" s="20"/>
      <c r="E334" s="20"/>
      <c r="F334" s="20"/>
      <c r="G334" s="15"/>
      <c r="H334" s="15"/>
      <c r="I334" s="15"/>
      <c r="J334" s="15"/>
      <c r="K334" s="18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5.6">
      <c r="A335" s="23"/>
      <c r="B335" s="20"/>
      <c r="C335" s="20"/>
      <c r="D335" s="20"/>
      <c r="E335" s="20"/>
      <c r="F335" s="20"/>
      <c r="G335" s="15"/>
      <c r="H335" s="15"/>
      <c r="I335" s="15"/>
      <c r="J335" s="15"/>
      <c r="K335" s="18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5.6">
      <c r="A336" s="23"/>
      <c r="B336" s="20"/>
      <c r="C336" s="20"/>
      <c r="D336" s="20"/>
      <c r="E336" s="20"/>
      <c r="F336" s="20"/>
      <c r="G336" s="15"/>
      <c r="H336" s="15"/>
      <c r="I336" s="15"/>
      <c r="J336" s="15"/>
      <c r="K336" s="18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5.6">
      <c r="A337" s="23"/>
      <c r="B337" s="20"/>
      <c r="C337" s="20"/>
      <c r="D337" s="20"/>
      <c r="E337" s="20"/>
      <c r="F337" s="20"/>
      <c r="G337" s="15"/>
      <c r="H337" s="15"/>
      <c r="I337" s="15"/>
      <c r="J337" s="15"/>
      <c r="K337" s="18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5.6">
      <c r="A338" s="23"/>
      <c r="B338" s="20"/>
      <c r="C338" s="20"/>
      <c r="D338" s="20"/>
      <c r="E338" s="20"/>
      <c r="F338" s="20"/>
      <c r="G338" s="15"/>
      <c r="H338" s="15"/>
      <c r="I338" s="15"/>
      <c r="J338" s="15"/>
      <c r="K338" s="18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5.6">
      <c r="A339" s="23"/>
      <c r="B339" s="20"/>
      <c r="C339" s="20"/>
      <c r="D339" s="20"/>
      <c r="E339" s="20"/>
      <c r="F339" s="20"/>
      <c r="G339" s="15"/>
      <c r="H339" s="15"/>
      <c r="I339" s="15"/>
      <c r="J339" s="15"/>
      <c r="K339" s="18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5.6">
      <c r="A340" s="23"/>
      <c r="B340" s="20"/>
      <c r="C340" s="20"/>
      <c r="D340" s="20"/>
      <c r="E340" s="20"/>
      <c r="F340" s="20"/>
      <c r="G340" s="15"/>
      <c r="H340" s="15"/>
      <c r="I340" s="15"/>
      <c r="J340" s="15"/>
      <c r="K340" s="18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5.6">
      <c r="A341" s="23"/>
      <c r="B341" s="20"/>
      <c r="C341" s="20"/>
      <c r="D341" s="20"/>
      <c r="E341" s="20"/>
      <c r="F341" s="20"/>
      <c r="G341" s="15"/>
      <c r="H341" s="15"/>
      <c r="I341" s="15"/>
      <c r="J341" s="15"/>
      <c r="K341" s="18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5.6">
      <c r="A342" s="23"/>
      <c r="B342" s="20"/>
      <c r="C342" s="20"/>
      <c r="D342" s="20"/>
      <c r="E342" s="20"/>
      <c r="F342" s="20"/>
      <c r="G342" s="15"/>
      <c r="H342" s="15"/>
      <c r="I342" s="15"/>
      <c r="J342" s="15"/>
      <c r="K342" s="18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5.6">
      <c r="A343" s="23"/>
      <c r="B343" s="20"/>
      <c r="C343" s="20"/>
      <c r="D343" s="20"/>
      <c r="E343" s="20"/>
      <c r="F343" s="20"/>
      <c r="G343" s="15"/>
      <c r="H343" s="15"/>
      <c r="I343" s="15"/>
      <c r="J343" s="15"/>
      <c r="K343" s="18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5.6">
      <c r="A344" s="23"/>
      <c r="B344" s="20"/>
      <c r="C344" s="20"/>
      <c r="D344" s="20"/>
      <c r="E344" s="20"/>
      <c r="F344" s="20"/>
      <c r="G344" s="15"/>
      <c r="H344" s="15"/>
      <c r="I344" s="15"/>
      <c r="J344" s="15"/>
      <c r="K344" s="18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5.6">
      <c r="A345" s="23"/>
      <c r="B345" s="20"/>
      <c r="C345" s="20"/>
      <c r="D345" s="20"/>
      <c r="E345" s="20"/>
      <c r="F345" s="20"/>
      <c r="G345" s="15"/>
      <c r="H345" s="15"/>
      <c r="I345" s="15"/>
      <c r="J345" s="15"/>
      <c r="K345" s="18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5.6">
      <c r="A346" s="23"/>
      <c r="B346" s="20"/>
      <c r="C346" s="20"/>
      <c r="D346" s="20"/>
      <c r="E346" s="20"/>
      <c r="F346" s="20"/>
      <c r="G346" s="15"/>
      <c r="H346" s="15"/>
      <c r="I346" s="15"/>
      <c r="J346" s="15"/>
      <c r="K346" s="18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5.6">
      <c r="A347" s="23"/>
      <c r="B347" s="20"/>
      <c r="C347" s="20"/>
      <c r="D347" s="20"/>
      <c r="E347" s="20"/>
      <c r="F347" s="20"/>
      <c r="G347" s="15"/>
      <c r="H347" s="15"/>
      <c r="I347" s="15"/>
      <c r="J347" s="15"/>
      <c r="K347" s="18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5.6">
      <c r="A348" s="23"/>
      <c r="B348" s="20"/>
      <c r="C348" s="20"/>
      <c r="D348" s="20"/>
      <c r="E348" s="20"/>
      <c r="F348" s="20"/>
      <c r="G348" s="15"/>
      <c r="H348" s="15"/>
      <c r="I348" s="15"/>
      <c r="J348" s="15"/>
      <c r="K348" s="18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5.6">
      <c r="A349" s="23"/>
      <c r="B349" s="20"/>
      <c r="C349" s="20"/>
      <c r="D349" s="20"/>
      <c r="E349" s="20"/>
      <c r="F349" s="20"/>
      <c r="G349" s="15"/>
      <c r="H349" s="15"/>
      <c r="I349" s="15"/>
      <c r="J349" s="15"/>
      <c r="K349" s="18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5.6">
      <c r="A350" s="23"/>
      <c r="B350" s="20"/>
      <c r="C350" s="20"/>
      <c r="D350" s="20"/>
      <c r="E350" s="20"/>
      <c r="F350" s="20"/>
      <c r="G350" s="15"/>
      <c r="H350" s="15"/>
      <c r="I350" s="15"/>
      <c r="J350" s="15"/>
      <c r="K350" s="18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5.6">
      <c r="A351" s="23"/>
      <c r="B351" s="20"/>
      <c r="C351" s="20"/>
      <c r="D351" s="20"/>
      <c r="E351" s="20"/>
      <c r="F351" s="20"/>
      <c r="G351" s="15"/>
      <c r="H351" s="15"/>
      <c r="I351" s="15"/>
      <c r="J351" s="15"/>
      <c r="K351" s="18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5.6">
      <c r="A352" s="23"/>
      <c r="B352" s="20"/>
      <c r="C352" s="20"/>
      <c r="D352" s="20"/>
      <c r="E352" s="20"/>
      <c r="F352" s="20"/>
      <c r="G352" s="15"/>
      <c r="H352" s="15"/>
      <c r="I352" s="15"/>
      <c r="J352" s="15"/>
      <c r="K352" s="18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5.6">
      <c r="A353" s="23"/>
      <c r="B353" s="20"/>
      <c r="C353" s="20"/>
      <c r="D353" s="20"/>
      <c r="E353" s="20"/>
      <c r="F353" s="20"/>
      <c r="G353" s="15"/>
      <c r="H353" s="15"/>
      <c r="I353" s="15"/>
      <c r="J353" s="15"/>
      <c r="K353" s="18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5.6">
      <c r="A354" s="23"/>
      <c r="B354" s="20"/>
      <c r="C354" s="20"/>
      <c r="D354" s="20"/>
      <c r="E354" s="20"/>
      <c r="F354" s="20"/>
      <c r="G354" s="15"/>
      <c r="H354" s="15"/>
      <c r="I354" s="15"/>
      <c r="J354" s="15"/>
      <c r="K354" s="18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5.6">
      <c r="A355" s="23"/>
      <c r="B355" s="20"/>
      <c r="C355" s="20"/>
      <c r="D355" s="20"/>
      <c r="E355" s="20"/>
      <c r="F355" s="20"/>
      <c r="G355" s="15"/>
      <c r="H355" s="15"/>
      <c r="I355" s="15"/>
      <c r="J355" s="15"/>
      <c r="K355" s="18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5.6">
      <c r="A356" s="23"/>
      <c r="B356" s="20"/>
      <c r="C356" s="20"/>
      <c r="D356" s="20"/>
      <c r="E356" s="20"/>
      <c r="F356" s="20"/>
      <c r="G356" s="15"/>
      <c r="H356" s="15"/>
      <c r="I356" s="15"/>
      <c r="J356" s="15"/>
      <c r="K356" s="18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5.6">
      <c r="A357" s="23"/>
      <c r="B357" s="20"/>
      <c r="C357" s="20"/>
      <c r="D357" s="20"/>
      <c r="E357" s="20"/>
      <c r="F357" s="20"/>
      <c r="G357" s="15"/>
      <c r="H357" s="15"/>
      <c r="I357" s="15"/>
      <c r="J357" s="15"/>
      <c r="K357" s="18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5.6">
      <c r="A358" s="23"/>
      <c r="B358" s="20"/>
      <c r="C358" s="20"/>
      <c r="D358" s="20"/>
      <c r="E358" s="20"/>
      <c r="F358" s="20"/>
      <c r="G358" s="15"/>
      <c r="H358" s="15"/>
      <c r="I358" s="15"/>
      <c r="J358" s="15"/>
      <c r="K358" s="18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5.6">
      <c r="A359" s="23"/>
      <c r="B359" s="20"/>
      <c r="C359" s="20"/>
      <c r="D359" s="20"/>
      <c r="E359" s="20"/>
      <c r="F359" s="20"/>
      <c r="G359" s="15"/>
      <c r="H359" s="15"/>
      <c r="I359" s="15"/>
      <c r="J359" s="15"/>
      <c r="K359" s="18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5.6">
      <c r="A360" s="23"/>
      <c r="B360" s="20"/>
      <c r="C360" s="20"/>
      <c r="D360" s="20"/>
      <c r="E360" s="20"/>
      <c r="F360" s="20"/>
      <c r="G360" s="15"/>
      <c r="H360" s="15"/>
      <c r="I360" s="15"/>
      <c r="J360" s="15"/>
      <c r="K360" s="18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5.6">
      <c r="A361" s="23"/>
      <c r="B361" s="20"/>
      <c r="C361" s="20"/>
      <c r="D361" s="20"/>
      <c r="E361" s="20"/>
      <c r="F361" s="20"/>
      <c r="G361" s="15"/>
      <c r="H361" s="15"/>
      <c r="I361" s="15"/>
      <c r="J361" s="15"/>
      <c r="K361" s="18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5.6">
      <c r="A362" s="23"/>
      <c r="B362" s="20"/>
      <c r="C362" s="20"/>
      <c r="D362" s="20"/>
      <c r="E362" s="20"/>
      <c r="F362" s="20"/>
      <c r="G362" s="15"/>
      <c r="H362" s="15"/>
      <c r="I362" s="15"/>
      <c r="J362" s="15"/>
      <c r="K362" s="18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5.6">
      <c r="A363" s="23"/>
      <c r="B363" s="20"/>
      <c r="C363" s="20"/>
      <c r="D363" s="20"/>
      <c r="E363" s="20"/>
      <c r="F363" s="20"/>
      <c r="G363" s="15"/>
      <c r="H363" s="15"/>
      <c r="I363" s="15"/>
      <c r="J363" s="15"/>
      <c r="K363" s="18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5.6">
      <c r="A364" s="23"/>
      <c r="B364" s="20"/>
      <c r="C364" s="20"/>
      <c r="D364" s="20"/>
      <c r="E364" s="20"/>
      <c r="F364" s="20"/>
      <c r="G364" s="15"/>
      <c r="H364" s="15"/>
      <c r="I364" s="15"/>
      <c r="J364" s="15"/>
      <c r="K364" s="18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5.6">
      <c r="A365" s="23"/>
      <c r="B365" s="20"/>
      <c r="C365" s="20"/>
      <c r="D365" s="20"/>
      <c r="E365" s="20"/>
      <c r="F365" s="20"/>
      <c r="G365" s="15"/>
      <c r="H365" s="15"/>
      <c r="I365" s="15"/>
      <c r="J365" s="15"/>
      <c r="K365" s="18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5.6">
      <c r="A366" s="23"/>
      <c r="B366" s="20"/>
      <c r="C366" s="20"/>
      <c r="D366" s="20"/>
      <c r="E366" s="20"/>
      <c r="F366" s="20"/>
      <c r="G366" s="15"/>
      <c r="H366" s="15"/>
      <c r="I366" s="15"/>
      <c r="J366" s="15"/>
      <c r="K366" s="18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5.6">
      <c r="A367" s="23"/>
      <c r="B367" s="20"/>
      <c r="C367" s="20"/>
      <c r="D367" s="20"/>
      <c r="E367" s="20"/>
      <c r="F367" s="20"/>
      <c r="G367" s="15"/>
      <c r="H367" s="15"/>
      <c r="I367" s="15"/>
      <c r="J367" s="15"/>
      <c r="K367" s="18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5.6">
      <c r="A368" s="23"/>
      <c r="B368" s="20"/>
      <c r="C368" s="20"/>
      <c r="D368" s="20"/>
      <c r="E368" s="20"/>
      <c r="F368" s="20"/>
      <c r="G368" s="15"/>
      <c r="H368" s="15"/>
      <c r="I368" s="15"/>
      <c r="J368" s="15"/>
      <c r="K368" s="18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5.6">
      <c r="A369" s="23"/>
      <c r="B369" s="20"/>
      <c r="C369" s="20"/>
      <c r="D369" s="20"/>
      <c r="E369" s="20"/>
      <c r="F369" s="20"/>
      <c r="G369" s="15"/>
      <c r="H369" s="15"/>
      <c r="I369" s="15"/>
      <c r="J369" s="15"/>
      <c r="K369" s="18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5.6">
      <c r="A370" s="23"/>
      <c r="B370" s="20"/>
      <c r="C370" s="20"/>
      <c r="D370" s="20"/>
      <c r="E370" s="20"/>
      <c r="F370" s="20"/>
      <c r="G370" s="15"/>
      <c r="H370" s="15"/>
      <c r="I370" s="15"/>
      <c r="J370" s="15"/>
      <c r="K370" s="18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5.6">
      <c r="A371" s="23"/>
      <c r="B371" s="20"/>
      <c r="C371" s="20"/>
      <c r="D371" s="20"/>
      <c r="E371" s="20"/>
      <c r="F371" s="20"/>
      <c r="G371" s="15"/>
      <c r="H371" s="15"/>
      <c r="I371" s="15"/>
      <c r="J371" s="15"/>
      <c r="K371" s="18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5.6">
      <c r="A372" s="23"/>
      <c r="B372" s="20"/>
      <c r="C372" s="20"/>
      <c r="D372" s="20"/>
      <c r="E372" s="20"/>
      <c r="F372" s="20"/>
      <c r="G372" s="15"/>
      <c r="H372" s="15"/>
      <c r="I372" s="15"/>
      <c r="J372" s="15"/>
      <c r="K372" s="18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5.6">
      <c r="A373" s="23"/>
      <c r="B373" s="20"/>
      <c r="C373" s="20"/>
      <c r="D373" s="20"/>
      <c r="E373" s="20"/>
      <c r="F373" s="20"/>
      <c r="G373" s="15"/>
      <c r="H373" s="15"/>
      <c r="I373" s="15"/>
      <c r="J373" s="15"/>
      <c r="K373" s="18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5.6">
      <c r="A374" s="23"/>
      <c r="B374" s="20"/>
      <c r="C374" s="20"/>
      <c r="D374" s="20"/>
      <c r="E374" s="20"/>
      <c r="F374" s="20"/>
      <c r="G374" s="15"/>
      <c r="H374" s="15"/>
      <c r="I374" s="15"/>
      <c r="J374" s="15"/>
      <c r="K374" s="18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5.6">
      <c r="A375" s="23"/>
      <c r="B375" s="20"/>
      <c r="C375" s="20"/>
      <c r="D375" s="20"/>
      <c r="E375" s="20"/>
      <c r="F375" s="20"/>
      <c r="G375" s="15"/>
      <c r="H375" s="15"/>
      <c r="I375" s="15"/>
      <c r="J375" s="15"/>
      <c r="K375" s="18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5.6">
      <c r="A376" s="23"/>
      <c r="B376" s="20"/>
      <c r="C376" s="20"/>
      <c r="D376" s="20"/>
      <c r="E376" s="20"/>
      <c r="F376" s="20"/>
      <c r="G376" s="15"/>
      <c r="H376" s="15"/>
      <c r="I376" s="15"/>
      <c r="J376" s="15"/>
      <c r="K376" s="18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5.6">
      <c r="A377" s="23"/>
      <c r="B377" s="20"/>
      <c r="C377" s="20"/>
      <c r="D377" s="20"/>
      <c r="E377" s="20"/>
      <c r="F377" s="20"/>
      <c r="G377" s="15"/>
      <c r="H377" s="15"/>
      <c r="I377" s="15"/>
      <c r="J377" s="15"/>
      <c r="K377" s="18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5.6">
      <c r="A378" s="23"/>
      <c r="B378" s="20"/>
      <c r="C378" s="20"/>
      <c r="D378" s="20"/>
      <c r="E378" s="20"/>
      <c r="F378" s="20"/>
      <c r="G378" s="15"/>
      <c r="H378" s="15"/>
      <c r="I378" s="15"/>
      <c r="J378" s="15"/>
      <c r="K378" s="18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5.6">
      <c r="A379" s="23"/>
      <c r="B379" s="20"/>
      <c r="C379" s="20"/>
      <c r="D379" s="20"/>
      <c r="E379" s="20"/>
      <c r="F379" s="20"/>
      <c r="G379" s="15"/>
      <c r="H379" s="15"/>
      <c r="I379" s="15"/>
      <c r="J379" s="15"/>
      <c r="K379" s="18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5.6">
      <c r="A380" s="23"/>
      <c r="B380" s="20"/>
      <c r="C380" s="20"/>
      <c r="D380" s="20"/>
      <c r="E380" s="20"/>
      <c r="F380" s="20"/>
      <c r="G380" s="15"/>
      <c r="H380" s="15"/>
      <c r="I380" s="15"/>
      <c r="J380" s="15"/>
      <c r="K380" s="18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5.6">
      <c r="A381" s="23"/>
      <c r="B381" s="20"/>
      <c r="C381" s="20"/>
      <c r="D381" s="20"/>
      <c r="E381" s="20"/>
      <c r="F381" s="20"/>
      <c r="G381" s="15"/>
      <c r="H381" s="15"/>
      <c r="I381" s="15"/>
      <c r="J381" s="15"/>
      <c r="K381" s="18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5.6">
      <c r="A382" s="23"/>
      <c r="B382" s="20"/>
      <c r="C382" s="20"/>
      <c r="D382" s="20"/>
      <c r="E382" s="20"/>
      <c r="F382" s="20"/>
      <c r="G382" s="15"/>
      <c r="H382" s="15"/>
      <c r="I382" s="15"/>
      <c r="J382" s="15"/>
      <c r="K382" s="18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5.6">
      <c r="A383" s="23"/>
      <c r="B383" s="20"/>
      <c r="C383" s="20"/>
      <c r="D383" s="20"/>
      <c r="E383" s="20"/>
      <c r="F383" s="20"/>
      <c r="G383" s="15"/>
      <c r="H383" s="15"/>
      <c r="I383" s="15"/>
      <c r="J383" s="15"/>
      <c r="K383" s="18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5.6">
      <c r="A384" s="23"/>
      <c r="B384" s="20"/>
      <c r="C384" s="20"/>
      <c r="D384" s="20"/>
      <c r="E384" s="20"/>
      <c r="F384" s="20"/>
      <c r="G384" s="15"/>
      <c r="H384" s="15"/>
      <c r="I384" s="15"/>
      <c r="J384" s="15"/>
      <c r="K384" s="18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5.6">
      <c r="A385" s="23"/>
      <c r="B385" s="20"/>
      <c r="C385" s="20"/>
      <c r="D385" s="20"/>
      <c r="E385" s="20"/>
      <c r="F385" s="20"/>
      <c r="G385" s="15"/>
      <c r="H385" s="15"/>
      <c r="I385" s="15"/>
      <c r="J385" s="15"/>
      <c r="K385" s="18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5.6">
      <c r="A386" s="23"/>
      <c r="B386" s="20"/>
      <c r="C386" s="20"/>
      <c r="D386" s="20"/>
      <c r="E386" s="20"/>
      <c r="F386" s="20"/>
      <c r="G386" s="15"/>
      <c r="H386" s="15"/>
      <c r="I386" s="15"/>
      <c r="J386" s="15"/>
      <c r="K386" s="18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5.6">
      <c r="A387" s="23"/>
      <c r="B387" s="20"/>
      <c r="C387" s="20"/>
      <c r="D387" s="20"/>
      <c r="E387" s="20"/>
      <c r="F387" s="20"/>
      <c r="G387" s="15"/>
      <c r="H387" s="15"/>
      <c r="I387" s="15"/>
      <c r="J387" s="15"/>
      <c r="K387" s="18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5.6">
      <c r="A388" s="23"/>
      <c r="B388" s="20"/>
      <c r="C388" s="20"/>
      <c r="D388" s="20"/>
      <c r="E388" s="20"/>
      <c r="F388" s="20"/>
      <c r="G388" s="15"/>
      <c r="H388" s="15"/>
      <c r="I388" s="15"/>
      <c r="J388" s="15"/>
      <c r="K388" s="18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5.6">
      <c r="A389" s="23"/>
      <c r="B389" s="20"/>
      <c r="C389" s="20"/>
      <c r="D389" s="20"/>
      <c r="E389" s="20"/>
      <c r="F389" s="20"/>
      <c r="G389" s="15"/>
      <c r="H389" s="15"/>
      <c r="I389" s="15"/>
      <c r="J389" s="15"/>
      <c r="K389" s="18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5.6">
      <c r="A390" s="23"/>
      <c r="B390" s="20"/>
      <c r="C390" s="20"/>
      <c r="D390" s="20"/>
      <c r="E390" s="20"/>
      <c r="F390" s="20"/>
      <c r="G390" s="15"/>
      <c r="H390" s="15"/>
      <c r="I390" s="15"/>
      <c r="J390" s="15"/>
      <c r="K390" s="18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5.6">
      <c r="A391" s="23"/>
      <c r="B391" s="20"/>
      <c r="C391" s="20"/>
      <c r="D391" s="20"/>
      <c r="E391" s="20"/>
      <c r="F391" s="20"/>
      <c r="G391" s="15"/>
      <c r="H391" s="15"/>
      <c r="I391" s="15"/>
      <c r="J391" s="15"/>
      <c r="K391" s="18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5.6">
      <c r="A392" s="23"/>
      <c r="B392" s="20"/>
      <c r="C392" s="20"/>
      <c r="D392" s="20"/>
      <c r="E392" s="20"/>
      <c r="F392" s="20"/>
      <c r="G392" s="15"/>
      <c r="H392" s="15"/>
      <c r="I392" s="15"/>
      <c r="J392" s="15"/>
      <c r="K392" s="18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5.6">
      <c r="A393" s="23"/>
      <c r="B393" s="20"/>
      <c r="C393" s="20"/>
      <c r="D393" s="20"/>
      <c r="E393" s="20"/>
      <c r="F393" s="20"/>
      <c r="G393" s="15"/>
      <c r="H393" s="15"/>
      <c r="I393" s="15"/>
      <c r="J393" s="15"/>
      <c r="K393" s="18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5.6">
      <c r="A394" s="23"/>
      <c r="B394" s="20"/>
      <c r="C394" s="20"/>
      <c r="D394" s="20"/>
      <c r="E394" s="20"/>
      <c r="F394" s="20"/>
      <c r="G394" s="15"/>
      <c r="H394" s="15"/>
      <c r="I394" s="15"/>
      <c r="J394" s="15"/>
      <c r="K394" s="18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5.6">
      <c r="A395" s="23"/>
      <c r="B395" s="20"/>
      <c r="C395" s="20"/>
      <c r="D395" s="20"/>
      <c r="E395" s="20"/>
      <c r="F395" s="20"/>
      <c r="G395" s="15"/>
      <c r="H395" s="15"/>
      <c r="I395" s="15"/>
      <c r="J395" s="15"/>
      <c r="K395" s="18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5.6">
      <c r="A396" s="23"/>
      <c r="B396" s="20"/>
      <c r="C396" s="20"/>
      <c r="D396" s="20"/>
      <c r="E396" s="20"/>
      <c r="F396" s="20"/>
      <c r="G396" s="15"/>
      <c r="H396" s="15"/>
      <c r="I396" s="15"/>
      <c r="J396" s="15"/>
      <c r="K396" s="18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15.6">
      <c r="A397" s="24"/>
      <c r="B397" s="21"/>
      <c r="C397" s="21"/>
      <c r="D397" s="21"/>
      <c r="E397" s="21"/>
      <c r="F397" s="21"/>
      <c r="G397" s="16"/>
      <c r="H397" s="16"/>
      <c r="I397" s="16"/>
      <c r="J397" s="16"/>
      <c r="K397" s="19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</sheetData>
  <mergeCells count="1">
    <mergeCell ref="A1:K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50"/>
  <sheetViews>
    <sheetView workbookViewId="0">
      <selection activeCell="F7" sqref="F7"/>
    </sheetView>
  </sheetViews>
  <sheetFormatPr defaultRowHeight="14.4"/>
  <cols>
    <col min="1" max="1" width="7" customWidth="1"/>
    <col min="2" max="2" width="38" customWidth="1"/>
    <col min="3" max="5" width="9" customWidth="1"/>
    <col min="6" max="6" width="11" customWidth="1"/>
    <col min="7" max="8" width="13" customWidth="1"/>
    <col min="9" max="9" width="10" customWidth="1"/>
    <col min="10" max="11" width="9" customWidth="1"/>
  </cols>
  <sheetData>
    <row r="1" spans="1:11" ht="22.35" customHeight="1">
      <c r="A1" s="119" t="s">
        <v>43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1" ht="15.6">
      <c r="A2" s="12"/>
      <c r="B2" s="12"/>
      <c r="C2" s="12"/>
      <c r="D2" s="12"/>
      <c r="E2" s="12"/>
      <c r="F2" s="12"/>
    </row>
    <row r="3" spans="1:11" ht="21.6" customHeight="1">
      <c r="A3" s="26" t="s">
        <v>44</v>
      </c>
      <c r="B3" s="26" t="s">
        <v>45</v>
      </c>
      <c r="C3" s="26" t="s">
        <v>46</v>
      </c>
      <c r="D3" s="26" t="s">
        <v>47</v>
      </c>
      <c r="E3" s="26" t="s">
        <v>48</v>
      </c>
      <c r="F3" s="26" t="s">
        <v>49</v>
      </c>
      <c r="G3" s="26" t="s">
        <v>50</v>
      </c>
      <c r="H3" s="26" t="s">
        <v>51</v>
      </c>
      <c r="I3" s="26" t="s">
        <v>52</v>
      </c>
      <c r="J3" s="26" t="s">
        <v>53</v>
      </c>
      <c r="K3" s="26" t="s">
        <v>54</v>
      </c>
    </row>
    <row r="4" spans="1:11" ht="15.6">
      <c r="A4" s="28">
        <v>1</v>
      </c>
      <c r="B4" s="32" t="s">
        <v>55</v>
      </c>
      <c r="C4" s="28" t="s">
        <v>56</v>
      </c>
      <c r="D4" s="28" t="s">
        <v>56</v>
      </c>
      <c r="E4" s="28" t="s">
        <v>56</v>
      </c>
      <c r="F4" s="28" t="s">
        <v>56</v>
      </c>
      <c r="G4" s="28" t="s">
        <v>56</v>
      </c>
      <c r="H4" s="28" t="s">
        <v>56</v>
      </c>
      <c r="I4" s="28" t="s">
        <v>56</v>
      </c>
      <c r="J4" s="28" t="s">
        <v>56</v>
      </c>
      <c r="K4" s="28" t="s">
        <v>56</v>
      </c>
    </row>
    <row r="5" spans="1:11" ht="15.6">
      <c r="A5" s="28">
        <v>2</v>
      </c>
      <c r="B5" s="32" t="s">
        <v>57</v>
      </c>
      <c r="C5" s="28" t="s">
        <v>56</v>
      </c>
      <c r="D5" s="28" t="s">
        <v>56</v>
      </c>
      <c r="E5" s="28" t="s">
        <v>56</v>
      </c>
      <c r="F5" s="28" t="s">
        <v>56</v>
      </c>
      <c r="G5" s="28" t="s">
        <v>56</v>
      </c>
      <c r="H5" s="28" t="s">
        <v>56</v>
      </c>
      <c r="I5" s="28" t="s">
        <v>56</v>
      </c>
      <c r="J5" s="28" t="s">
        <v>56</v>
      </c>
      <c r="K5" s="28" t="s">
        <v>56</v>
      </c>
    </row>
    <row r="6" spans="1:11" ht="31.2">
      <c r="A6" s="28">
        <v>3</v>
      </c>
      <c r="B6" s="32" t="s">
        <v>58</v>
      </c>
      <c r="C6" s="28"/>
      <c r="D6" s="28" t="s">
        <v>56</v>
      </c>
      <c r="E6" s="28" t="s">
        <v>56</v>
      </c>
      <c r="F6" s="28" t="s">
        <v>56</v>
      </c>
      <c r="G6" s="28" t="s">
        <v>56</v>
      </c>
      <c r="H6" s="28" t="s">
        <v>56</v>
      </c>
      <c r="I6" s="28"/>
      <c r="J6" s="28" t="s">
        <v>56</v>
      </c>
      <c r="K6" s="28" t="s">
        <v>56</v>
      </c>
    </row>
    <row r="7" spans="1:11" ht="15.6">
      <c r="A7" s="28">
        <v>4</v>
      </c>
      <c r="B7" s="32" t="s">
        <v>59</v>
      </c>
      <c r="C7" s="28"/>
      <c r="D7" s="28" t="s">
        <v>56</v>
      </c>
      <c r="E7" s="28" t="s">
        <v>56</v>
      </c>
      <c r="F7" s="28" t="s">
        <v>56</v>
      </c>
      <c r="G7" s="28"/>
      <c r="H7" s="28"/>
      <c r="I7" s="28"/>
      <c r="J7" s="28" t="s">
        <v>56</v>
      </c>
      <c r="K7" s="28"/>
    </row>
    <row r="8" spans="1:11" ht="15.6">
      <c r="A8" s="28">
        <v>5</v>
      </c>
      <c r="B8" s="32" t="s">
        <v>30</v>
      </c>
      <c r="C8" s="28"/>
      <c r="D8" s="28" t="s">
        <v>56</v>
      </c>
      <c r="E8" s="28" t="s">
        <v>56</v>
      </c>
      <c r="F8" s="28" t="s">
        <v>56</v>
      </c>
      <c r="G8" s="28" t="s">
        <v>56</v>
      </c>
      <c r="H8" s="28" t="s">
        <v>56</v>
      </c>
      <c r="I8" s="28"/>
      <c r="J8" s="28" t="s">
        <v>56</v>
      </c>
      <c r="K8" s="28" t="s">
        <v>56</v>
      </c>
    </row>
    <row r="9" spans="1:11" ht="15.6">
      <c r="A9" s="28">
        <v>6</v>
      </c>
      <c r="B9" s="32" t="s">
        <v>60</v>
      </c>
      <c r="C9" s="28" t="s">
        <v>56</v>
      </c>
      <c r="D9" s="28" t="s">
        <v>56</v>
      </c>
      <c r="E9" s="28" t="s">
        <v>56</v>
      </c>
      <c r="F9" s="28" t="s">
        <v>56</v>
      </c>
      <c r="G9" s="28" t="s">
        <v>56</v>
      </c>
      <c r="H9" s="28" t="s">
        <v>56</v>
      </c>
      <c r="I9" s="28" t="s">
        <v>56</v>
      </c>
      <c r="J9" s="28" t="s">
        <v>56</v>
      </c>
      <c r="K9" s="28" t="s">
        <v>56</v>
      </c>
    </row>
    <row r="10" spans="1:11" ht="15.6">
      <c r="A10" s="28">
        <v>7</v>
      </c>
      <c r="B10" s="32" t="s">
        <v>61</v>
      </c>
      <c r="C10" s="28"/>
      <c r="D10" s="28" t="s">
        <v>56</v>
      </c>
      <c r="E10" s="28" t="s">
        <v>56</v>
      </c>
      <c r="F10" s="28" t="s">
        <v>56</v>
      </c>
      <c r="G10" s="28"/>
      <c r="H10" s="28"/>
      <c r="I10" s="28"/>
      <c r="J10" s="28"/>
      <c r="K10" s="28"/>
    </row>
    <row r="11" spans="1:11" ht="15.6">
      <c r="A11" s="28">
        <v>8</v>
      </c>
      <c r="B11" s="32" t="s">
        <v>62</v>
      </c>
      <c r="C11" s="28"/>
      <c r="D11" s="28" t="s">
        <v>56</v>
      </c>
      <c r="E11" s="28" t="s">
        <v>56</v>
      </c>
      <c r="F11" s="28" t="s">
        <v>56</v>
      </c>
      <c r="G11" s="28" t="s">
        <v>56</v>
      </c>
      <c r="H11" s="28" t="s">
        <v>56</v>
      </c>
      <c r="I11" s="28" t="s">
        <v>56</v>
      </c>
      <c r="J11" s="28" t="s">
        <v>56</v>
      </c>
      <c r="K11" s="28"/>
    </row>
    <row r="12" spans="1:11" ht="15.6">
      <c r="A12" s="28">
        <v>9</v>
      </c>
      <c r="B12" s="32" t="s">
        <v>63</v>
      </c>
      <c r="C12" s="28" t="s">
        <v>56</v>
      </c>
      <c r="D12" s="28"/>
      <c r="E12" s="28"/>
      <c r="F12" s="28"/>
      <c r="G12" s="28"/>
      <c r="H12" s="28"/>
      <c r="I12" s="28"/>
      <c r="J12" s="28"/>
      <c r="K12" s="28"/>
    </row>
    <row r="13" spans="1:11" ht="15.6">
      <c r="A13" s="28">
        <v>10</v>
      </c>
      <c r="B13" s="32" t="s">
        <v>64</v>
      </c>
      <c r="C13" s="28"/>
      <c r="D13" s="28" t="s">
        <v>56</v>
      </c>
      <c r="E13" s="28"/>
      <c r="F13" s="28"/>
      <c r="G13" s="28"/>
      <c r="H13" s="28"/>
      <c r="I13" s="28"/>
      <c r="J13" s="28"/>
      <c r="K13" s="28"/>
    </row>
    <row r="14" spans="1:11" ht="15.6">
      <c r="A14" s="28">
        <v>11</v>
      </c>
      <c r="B14" s="32" t="s">
        <v>65</v>
      </c>
      <c r="C14" s="28"/>
      <c r="D14" s="28" t="s">
        <v>56</v>
      </c>
      <c r="E14" s="28" t="s">
        <v>56</v>
      </c>
      <c r="F14" s="28"/>
      <c r="G14" s="28"/>
      <c r="H14" s="28"/>
      <c r="I14" s="28"/>
      <c r="J14" s="28"/>
      <c r="K14" s="28"/>
    </row>
    <row r="15" spans="1:11" ht="15.6">
      <c r="A15" s="28">
        <v>12</v>
      </c>
      <c r="B15" s="32" t="s">
        <v>66</v>
      </c>
      <c r="C15" s="28"/>
      <c r="D15" s="28"/>
      <c r="E15" s="28" t="s">
        <v>56</v>
      </c>
      <c r="F15" s="28"/>
      <c r="G15" s="28"/>
      <c r="H15" s="28"/>
      <c r="I15" s="28"/>
      <c r="J15" s="28"/>
      <c r="K15" s="28"/>
    </row>
    <row r="16" spans="1:11" ht="15.6">
      <c r="A16" s="28">
        <v>13</v>
      </c>
      <c r="B16" s="32" t="s">
        <v>67</v>
      </c>
      <c r="C16" s="28"/>
      <c r="D16" s="28" t="s">
        <v>56</v>
      </c>
      <c r="E16" s="28" t="s">
        <v>56</v>
      </c>
      <c r="F16" s="28" t="s">
        <v>56</v>
      </c>
      <c r="G16" s="28" t="s">
        <v>56</v>
      </c>
      <c r="H16" s="28" t="s">
        <v>56</v>
      </c>
      <c r="I16" s="28" t="s">
        <v>56</v>
      </c>
      <c r="J16" s="28" t="s">
        <v>56</v>
      </c>
      <c r="K16" s="28"/>
    </row>
    <row r="17" spans="1:11" ht="15.6">
      <c r="A17" s="28">
        <v>14</v>
      </c>
      <c r="B17" s="32" t="s">
        <v>68</v>
      </c>
      <c r="C17" s="28" t="s">
        <v>56</v>
      </c>
      <c r="D17" s="28" t="s">
        <v>56</v>
      </c>
      <c r="E17" s="28" t="s">
        <v>56</v>
      </c>
      <c r="F17" s="28" t="s">
        <v>56</v>
      </c>
      <c r="G17" s="28" t="s">
        <v>56</v>
      </c>
      <c r="H17" s="28" t="s">
        <v>56</v>
      </c>
      <c r="I17" s="28" t="s">
        <v>56</v>
      </c>
      <c r="J17" s="28" t="s">
        <v>56</v>
      </c>
      <c r="K17" s="28" t="s">
        <v>56</v>
      </c>
    </row>
    <row r="18" spans="1:11" ht="15.6">
      <c r="A18" s="28">
        <v>15</v>
      </c>
      <c r="B18" s="32" t="s">
        <v>69</v>
      </c>
      <c r="C18" s="28"/>
      <c r="D18" s="28"/>
      <c r="E18" s="28" t="s">
        <v>56</v>
      </c>
      <c r="F18" s="28" t="s">
        <v>56</v>
      </c>
      <c r="G18" s="28" t="s">
        <v>56</v>
      </c>
      <c r="H18" s="28" t="s">
        <v>56</v>
      </c>
      <c r="I18" s="28" t="s">
        <v>56</v>
      </c>
      <c r="J18" s="28"/>
      <c r="K18" s="28" t="s">
        <v>56</v>
      </c>
    </row>
    <row r="19" spans="1:11" ht="15.6">
      <c r="A19" s="28">
        <v>16</v>
      </c>
      <c r="B19" s="32" t="s">
        <v>70</v>
      </c>
      <c r="C19" s="28"/>
      <c r="D19" s="28" t="s">
        <v>56</v>
      </c>
      <c r="E19" s="28" t="s">
        <v>56</v>
      </c>
      <c r="F19" s="28" t="s">
        <v>56</v>
      </c>
      <c r="G19" s="28" t="s">
        <v>56</v>
      </c>
      <c r="H19" s="28" t="s">
        <v>56</v>
      </c>
      <c r="I19" s="28" t="s">
        <v>56</v>
      </c>
      <c r="J19" s="28" t="s">
        <v>56</v>
      </c>
      <c r="K19" s="28" t="s">
        <v>56</v>
      </c>
    </row>
    <row r="20" spans="1:11" ht="15.6">
      <c r="A20" s="28">
        <v>17</v>
      </c>
      <c r="B20" s="32" t="s">
        <v>71</v>
      </c>
      <c r="C20" s="28"/>
      <c r="D20" s="28" t="s">
        <v>56</v>
      </c>
      <c r="E20" s="28" t="s">
        <v>56</v>
      </c>
      <c r="F20" s="28" t="s">
        <v>56</v>
      </c>
      <c r="G20" s="28" t="s">
        <v>56</v>
      </c>
      <c r="H20" s="28" t="s">
        <v>56</v>
      </c>
      <c r="I20" s="28"/>
      <c r="J20" s="28" t="s">
        <v>56</v>
      </c>
      <c r="K20" s="28" t="s">
        <v>56</v>
      </c>
    </row>
    <row r="21" spans="1:11" ht="15.6">
      <c r="A21" s="28">
        <v>18</v>
      </c>
      <c r="B21" s="32" t="s">
        <v>32</v>
      </c>
      <c r="C21" s="28"/>
      <c r="D21" s="28" t="s">
        <v>56</v>
      </c>
      <c r="E21" s="28" t="s">
        <v>56</v>
      </c>
      <c r="F21" s="28" t="s">
        <v>56</v>
      </c>
      <c r="G21" s="28" t="s">
        <v>56</v>
      </c>
      <c r="H21" s="28" t="s">
        <v>56</v>
      </c>
      <c r="I21" s="28" t="s">
        <v>56</v>
      </c>
      <c r="J21" s="28" t="s">
        <v>56</v>
      </c>
      <c r="K21" s="28" t="s">
        <v>56</v>
      </c>
    </row>
    <row r="22" spans="1:11" ht="15.6">
      <c r="A22" s="28">
        <v>19</v>
      </c>
      <c r="B22" s="32" t="s">
        <v>72</v>
      </c>
      <c r="C22" s="28"/>
      <c r="D22" s="28"/>
      <c r="E22" s="28" t="s">
        <v>56</v>
      </c>
      <c r="F22" s="28"/>
      <c r="G22" s="28"/>
      <c r="H22" s="28"/>
      <c r="I22" s="28"/>
      <c r="J22" s="28"/>
      <c r="K22" s="28"/>
    </row>
    <row r="23" spans="1:11" ht="15.6">
      <c r="A23" s="28">
        <v>20</v>
      </c>
      <c r="B23" s="32" t="s">
        <v>73</v>
      </c>
      <c r="C23" s="28"/>
      <c r="D23" s="28"/>
      <c r="E23" s="28"/>
      <c r="F23" s="28"/>
      <c r="G23" s="28" t="s">
        <v>56</v>
      </c>
      <c r="H23" s="28" t="s">
        <v>56</v>
      </c>
      <c r="I23" s="28" t="s">
        <v>56</v>
      </c>
      <c r="J23" s="28"/>
      <c r="K23" s="28" t="s">
        <v>56</v>
      </c>
    </row>
    <row r="24" spans="1:11" ht="31.2">
      <c r="A24" s="28">
        <v>21</v>
      </c>
      <c r="B24" s="32" t="s">
        <v>74</v>
      </c>
      <c r="C24" s="28"/>
      <c r="D24" s="28"/>
      <c r="E24" s="28" t="s">
        <v>56</v>
      </c>
      <c r="F24" s="28"/>
      <c r="G24" s="28"/>
      <c r="H24" s="28"/>
      <c r="I24" s="28"/>
      <c r="J24" s="28"/>
      <c r="K24" s="28"/>
    </row>
    <row r="25" spans="1:11" ht="15.6">
      <c r="A25" s="28">
        <v>22</v>
      </c>
      <c r="B25" s="32" t="s">
        <v>75</v>
      </c>
      <c r="C25" s="28"/>
      <c r="D25" s="28" t="s">
        <v>56</v>
      </c>
      <c r="E25" s="28"/>
      <c r="F25" s="28"/>
      <c r="G25" s="28"/>
      <c r="H25" s="28"/>
      <c r="I25" s="28"/>
      <c r="J25" s="28"/>
      <c r="K25" s="28"/>
    </row>
    <row r="26" spans="1:11" ht="15.6">
      <c r="A26" s="28">
        <v>23</v>
      </c>
      <c r="B26" s="32" t="s">
        <v>31</v>
      </c>
      <c r="C26" s="28"/>
      <c r="D26" s="28" t="s">
        <v>56</v>
      </c>
      <c r="E26" s="28"/>
      <c r="F26" s="28"/>
      <c r="G26" s="28"/>
      <c r="H26" s="28"/>
      <c r="I26" s="28"/>
      <c r="J26" s="28"/>
      <c r="K26" s="28"/>
    </row>
    <row r="27" spans="1:11" ht="15.6">
      <c r="A27" s="28">
        <v>24</v>
      </c>
      <c r="B27" s="32" t="s">
        <v>76</v>
      </c>
      <c r="C27" s="28"/>
      <c r="D27" s="28"/>
      <c r="E27" s="28" t="s">
        <v>56</v>
      </c>
      <c r="F27" s="28"/>
      <c r="G27" s="28"/>
      <c r="H27" s="28"/>
      <c r="I27" s="28"/>
      <c r="J27" s="28"/>
      <c r="K27" s="28"/>
    </row>
    <row r="28" spans="1:11" ht="15.6">
      <c r="A28" s="28">
        <v>25</v>
      </c>
      <c r="B28" s="32" t="s">
        <v>77</v>
      </c>
      <c r="C28" s="28"/>
      <c r="D28" s="28"/>
      <c r="E28" s="28"/>
      <c r="F28" s="28" t="s">
        <v>56</v>
      </c>
      <c r="G28" s="28" t="s">
        <v>56</v>
      </c>
      <c r="H28" s="28" t="s">
        <v>56</v>
      </c>
      <c r="I28" s="28"/>
      <c r="J28" s="28"/>
      <c r="K28" s="28"/>
    </row>
    <row r="29" spans="1:11" ht="15.6">
      <c r="A29" s="28">
        <v>26</v>
      </c>
      <c r="B29" s="32" t="s">
        <v>78</v>
      </c>
      <c r="C29" s="28"/>
      <c r="D29" s="28" t="s">
        <v>56</v>
      </c>
      <c r="E29" s="28" t="s">
        <v>56</v>
      </c>
      <c r="F29" s="28" t="s">
        <v>56</v>
      </c>
      <c r="G29" s="28" t="s">
        <v>56</v>
      </c>
      <c r="H29" s="28" t="s">
        <v>56</v>
      </c>
      <c r="I29" s="28" t="s">
        <v>56</v>
      </c>
      <c r="J29" s="28" t="s">
        <v>56</v>
      </c>
      <c r="K29" s="28" t="s">
        <v>56</v>
      </c>
    </row>
    <row r="30" spans="1:11" ht="15.6">
      <c r="A30" s="28">
        <v>27</v>
      </c>
      <c r="B30" s="32" t="s">
        <v>79</v>
      </c>
      <c r="C30" s="28"/>
      <c r="D30" s="28"/>
      <c r="E30" s="28"/>
      <c r="F30" s="28"/>
      <c r="G30" s="28"/>
      <c r="H30" s="28"/>
      <c r="I30" s="28"/>
      <c r="J30" s="28" t="s">
        <v>56</v>
      </c>
      <c r="K30" s="28"/>
    </row>
    <row r="31" spans="1:11" ht="15.6">
      <c r="A31" s="28">
        <v>28</v>
      </c>
      <c r="B31" s="32" t="s">
        <v>80</v>
      </c>
      <c r="C31" s="28" t="s">
        <v>56</v>
      </c>
      <c r="D31" s="28" t="s">
        <v>56</v>
      </c>
      <c r="E31" s="28"/>
      <c r="F31" s="28"/>
      <c r="G31" s="28"/>
      <c r="H31" s="28"/>
      <c r="I31" s="28"/>
      <c r="J31" s="28" t="s">
        <v>56</v>
      </c>
      <c r="K31" s="28"/>
    </row>
    <row r="32" spans="1:11" ht="15.6">
      <c r="A32" s="12"/>
      <c r="B32" s="12"/>
      <c r="C32" s="12"/>
      <c r="D32" s="12"/>
      <c r="E32" s="12"/>
      <c r="F32" s="12"/>
    </row>
    <row r="33" spans="1:11" ht="19.2" customHeight="1">
      <c r="A33" s="117"/>
      <c r="B33" s="115"/>
      <c r="C33" s="115"/>
      <c r="D33" s="115"/>
      <c r="E33" s="115"/>
      <c r="F33" s="115"/>
      <c r="G33" s="118"/>
      <c r="H33" s="118"/>
      <c r="I33" s="118"/>
      <c r="J33" s="118"/>
      <c r="K33" s="118"/>
    </row>
    <row r="34" spans="1:11" ht="15.6">
      <c r="A34" s="12"/>
      <c r="B34" s="12"/>
      <c r="C34" s="12"/>
      <c r="D34" s="12"/>
      <c r="E34" s="12"/>
      <c r="F34" s="12"/>
    </row>
    <row r="35" spans="1:11" ht="15.6">
      <c r="A35" s="12"/>
      <c r="B35" s="12"/>
      <c r="C35" s="12"/>
      <c r="D35" s="12"/>
      <c r="E35" s="12"/>
      <c r="F35" s="12"/>
    </row>
    <row r="36" spans="1:11" ht="15.6">
      <c r="A36" s="12"/>
      <c r="B36" s="12"/>
      <c r="C36" s="12"/>
      <c r="D36" s="12"/>
      <c r="E36" s="12"/>
      <c r="F36" s="12"/>
    </row>
    <row r="37" spans="1:11" ht="15.6">
      <c r="A37" s="12"/>
      <c r="B37" s="12"/>
      <c r="C37" s="12"/>
      <c r="D37" s="12"/>
      <c r="E37" s="12"/>
      <c r="F37" s="12"/>
    </row>
    <row r="38" spans="1:11" ht="15.6">
      <c r="A38" s="12"/>
      <c r="B38" s="12"/>
      <c r="C38" s="12"/>
      <c r="D38" s="12"/>
      <c r="E38" s="12"/>
      <c r="F38" s="12"/>
    </row>
    <row r="39" spans="1:11" ht="15.6">
      <c r="A39" s="12"/>
      <c r="B39" s="12"/>
      <c r="C39" s="12"/>
      <c r="D39" s="12"/>
      <c r="E39" s="12"/>
      <c r="F39" s="12"/>
    </row>
    <row r="40" spans="1:11" ht="15.6">
      <c r="A40" s="12"/>
      <c r="B40" s="12"/>
      <c r="C40" s="12"/>
      <c r="D40" s="12"/>
      <c r="E40" s="12"/>
      <c r="F40" s="12"/>
    </row>
    <row r="41" spans="1:11" ht="15.6">
      <c r="A41" s="12"/>
      <c r="B41" s="12"/>
      <c r="C41" s="12"/>
      <c r="D41" s="12"/>
      <c r="E41" s="12"/>
      <c r="F41" s="12"/>
    </row>
    <row r="42" spans="1:11" ht="15.6">
      <c r="A42" s="12"/>
      <c r="B42" s="12"/>
      <c r="C42" s="12"/>
      <c r="D42" s="12"/>
      <c r="E42" s="12"/>
      <c r="F42" s="12"/>
    </row>
    <row r="43" spans="1:11" ht="15.6">
      <c r="A43" s="12"/>
      <c r="B43" s="12"/>
      <c r="C43" s="12"/>
      <c r="D43" s="12"/>
      <c r="E43" s="12"/>
      <c r="F43" s="12"/>
    </row>
    <row r="44" spans="1:11" ht="15.6">
      <c r="A44" s="12"/>
      <c r="B44" s="12"/>
      <c r="C44" s="12"/>
      <c r="D44" s="12"/>
      <c r="E44" s="12"/>
      <c r="F44" s="12"/>
    </row>
    <row r="45" spans="1:11" ht="15.6">
      <c r="A45" s="12"/>
      <c r="B45" s="12"/>
      <c r="C45" s="12"/>
      <c r="D45" s="12"/>
      <c r="E45" s="12"/>
      <c r="F45" s="12"/>
    </row>
    <row r="46" spans="1:11" ht="15.6">
      <c r="A46" s="12"/>
      <c r="B46" s="12"/>
      <c r="C46" s="12"/>
      <c r="D46" s="12"/>
      <c r="E46" s="12"/>
      <c r="F46" s="12"/>
    </row>
    <row r="47" spans="1:11" ht="15.6">
      <c r="A47" s="12"/>
      <c r="B47" s="12"/>
      <c r="C47" s="12"/>
      <c r="D47" s="12"/>
      <c r="E47" s="12"/>
      <c r="F47" s="12"/>
    </row>
    <row r="48" spans="1:11" ht="15.6">
      <c r="A48" s="12"/>
      <c r="B48" s="12"/>
      <c r="C48" s="12"/>
      <c r="D48" s="12"/>
      <c r="E48" s="12"/>
      <c r="F48" s="12"/>
    </row>
    <row r="49" spans="1:6" ht="15.6">
      <c r="A49" s="12"/>
      <c r="B49" s="12"/>
      <c r="C49" s="12"/>
      <c r="D49" s="12"/>
      <c r="E49" s="12"/>
      <c r="F49" s="12"/>
    </row>
    <row r="50" spans="1:6" ht="15.6">
      <c r="A50" s="12"/>
      <c r="B50" s="12"/>
      <c r="C50" s="12"/>
      <c r="D50" s="12"/>
      <c r="E50" s="12"/>
      <c r="F50" s="12"/>
    </row>
  </sheetData>
  <mergeCells count="2">
    <mergeCell ref="A33:K33"/>
    <mergeCell ref="A1:K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51"/>
  <sheetViews>
    <sheetView workbookViewId="0">
      <selection activeCell="B36" sqref="B36"/>
    </sheetView>
  </sheetViews>
  <sheetFormatPr defaultRowHeight="14.4"/>
  <cols>
    <col min="1" max="1" width="7" customWidth="1"/>
    <col min="2" max="2" width="34" customWidth="1"/>
    <col min="3" max="3" width="40" customWidth="1"/>
    <col min="4" max="4" width="24" customWidth="1"/>
    <col min="5" max="5" width="19" customWidth="1"/>
  </cols>
  <sheetData>
    <row r="1" spans="1:6" ht="22.35" customHeight="1">
      <c r="A1" s="119" t="s">
        <v>81</v>
      </c>
      <c r="B1" s="119"/>
      <c r="C1" s="119"/>
      <c r="D1" s="119"/>
      <c r="E1" s="119"/>
      <c r="F1" s="59"/>
    </row>
    <row r="2" spans="1:6" ht="15.6">
      <c r="A2" s="119"/>
      <c r="B2" s="119"/>
      <c r="C2" s="119"/>
      <c r="D2" s="119"/>
      <c r="E2" s="119"/>
      <c r="F2" s="12"/>
    </row>
    <row r="3" spans="1:6" s="37" customFormat="1" ht="27.6">
      <c r="A3" s="60"/>
      <c r="B3" s="60"/>
      <c r="C3" s="60"/>
      <c r="D3" s="60"/>
      <c r="E3" s="60"/>
      <c r="F3" s="61"/>
    </row>
    <row r="4" spans="1:6" ht="21.6" customHeight="1">
      <c r="A4" s="26" t="s">
        <v>44</v>
      </c>
      <c r="B4" s="26" t="s">
        <v>45</v>
      </c>
      <c r="C4" s="26" t="s">
        <v>82</v>
      </c>
      <c r="D4" s="26" t="s">
        <v>83</v>
      </c>
      <c r="E4" s="26" t="s">
        <v>84</v>
      </c>
      <c r="F4" s="12"/>
    </row>
    <row r="5" spans="1:6" ht="15.6">
      <c r="A5" s="28">
        <v>1</v>
      </c>
      <c r="B5" s="32" t="s">
        <v>85</v>
      </c>
      <c r="C5" s="32" t="s">
        <v>86</v>
      </c>
      <c r="D5" s="32" t="s">
        <v>87</v>
      </c>
      <c r="E5" s="28" t="s">
        <v>88</v>
      </c>
      <c r="F5" s="12"/>
    </row>
    <row r="6" spans="1:6" ht="15.6">
      <c r="A6" s="28">
        <v>2</v>
      </c>
      <c r="B6" s="32" t="s">
        <v>89</v>
      </c>
      <c r="C6" s="32" t="s">
        <v>90</v>
      </c>
      <c r="D6" s="32" t="s">
        <v>87</v>
      </c>
      <c r="E6" s="28" t="s">
        <v>88</v>
      </c>
      <c r="F6" s="12"/>
    </row>
    <row r="7" spans="1:6" ht="15.6">
      <c r="A7" s="28">
        <v>3</v>
      </c>
      <c r="B7" s="32" t="s">
        <v>91</v>
      </c>
      <c r="C7" s="32" t="s">
        <v>92</v>
      </c>
      <c r="D7" s="32" t="s">
        <v>87</v>
      </c>
      <c r="E7" s="28" t="s">
        <v>88</v>
      </c>
      <c r="F7" s="12"/>
    </row>
    <row r="8" spans="1:6" ht="15.6">
      <c r="A8" s="28">
        <v>4</v>
      </c>
      <c r="B8" s="32" t="s">
        <v>93</v>
      </c>
      <c r="C8" s="32" t="s">
        <v>94</v>
      </c>
      <c r="D8" s="32" t="s">
        <v>95</v>
      </c>
      <c r="E8" s="28" t="s">
        <v>96</v>
      </c>
      <c r="F8" s="12"/>
    </row>
    <row r="9" spans="1:6" ht="15.6">
      <c r="A9" s="28">
        <v>5</v>
      </c>
      <c r="B9" s="32" t="s">
        <v>97</v>
      </c>
      <c r="C9" s="32" t="s">
        <v>98</v>
      </c>
      <c r="D9" s="32" t="s">
        <v>99</v>
      </c>
      <c r="E9" s="28" t="s">
        <v>100</v>
      </c>
      <c r="F9" s="12"/>
    </row>
    <row r="10" spans="1:6" ht="15.6">
      <c r="A10" s="28">
        <v>6</v>
      </c>
      <c r="B10" s="32" t="s">
        <v>101</v>
      </c>
      <c r="C10" s="32" t="s">
        <v>102</v>
      </c>
      <c r="D10" s="32" t="s">
        <v>99</v>
      </c>
      <c r="E10" s="28" t="s">
        <v>103</v>
      </c>
      <c r="F10" s="12"/>
    </row>
    <row r="11" spans="1:6" ht="15.6">
      <c r="A11" s="28">
        <v>7</v>
      </c>
      <c r="B11" s="32" t="s">
        <v>104</v>
      </c>
      <c r="C11" s="32" t="s">
        <v>105</v>
      </c>
      <c r="D11" s="32" t="s">
        <v>99</v>
      </c>
      <c r="E11" s="28" t="s">
        <v>106</v>
      </c>
      <c r="F11" s="12"/>
    </row>
    <row r="12" spans="1:6" ht="15.6">
      <c r="A12" s="28">
        <v>8</v>
      </c>
      <c r="B12" s="32" t="s">
        <v>107</v>
      </c>
      <c r="C12" s="32" t="s">
        <v>108</v>
      </c>
      <c r="D12" s="32" t="s">
        <v>99</v>
      </c>
      <c r="E12" s="28" t="s">
        <v>106</v>
      </c>
      <c r="F12" s="12"/>
    </row>
    <row r="13" spans="1:6" ht="15.6">
      <c r="A13" s="28">
        <v>9</v>
      </c>
      <c r="B13" s="32" t="s">
        <v>109</v>
      </c>
      <c r="C13" s="32" t="s">
        <v>110</v>
      </c>
      <c r="D13" s="32" t="s">
        <v>111</v>
      </c>
      <c r="E13" s="28" t="s">
        <v>112</v>
      </c>
      <c r="F13" s="12"/>
    </row>
    <row r="14" spans="1:6" ht="15.6">
      <c r="A14" s="28">
        <v>10</v>
      </c>
      <c r="B14" s="32" t="s">
        <v>113</v>
      </c>
      <c r="C14" s="32" t="s">
        <v>114</v>
      </c>
      <c r="D14" s="32" t="s">
        <v>111</v>
      </c>
      <c r="E14" s="28" t="s">
        <v>115</v>
      </c>
      <c r="F14" s="12"/>
    </row>
    <row r="15" spans="1:6" ht="15.6">
      <c r="A15" s="28">
        <v>11</v>
      </c>
      <c r="B15" s="32" t="s">
        <v>116</v>
      </c>
      <c r="C15" s="32" t="s">
        <v>117</v>
      </c>
      <c r="D15" s="32" t="s">
        <v>118</v>
      </c>
      <c r="E15" s="28" t="s">
        <v>119</v>
      </c>
      <c r="F15" s="12"/>
    </row>
    <row r="16" spans="1:6" ht="15.6">
      <c r="A16" s="28">
        <v>12</v>
      </c>
      <c r="B16" s="32" t="s">
        <v>20</v>
      </c>
      <c r="C16" s="32" t="s">
        <v>120</v>
      </c>
      <c r="D16" s="32" t="s">
        <v>118</v>
      </c>
      <c r="E16" s="28" t="s">
        <v>121</v>
      </c>
      <c r="F16" s="12"/>
    </row>
    <row r="17" spans="1:6" ht="15.6">
      <c r="A17" s="28">
        <v>13</v>
      </c>
      <c r="B17" s="32" t="s">
        <v>122</v>
      </c>
      <c r="C17" s="32" t="s">
        <v>123</v>
      </c>
      <c r="D17" s="32" t="s">
        <v>124</v>
      </c>
      <c r="E17" s="28" t="s">
        <v>125</v>
      </c>
      <c r="F17" s="12"/>
    </row>
    <row r="18" spans="1:6" ht="15.6">
      <c r="A18" s="28">
        <v>14</v>
      </c>
      <c r="B18" s="32" t="s">
        <v>126</v>
      </c>
      <c r="C18" s="32" t="s">
        <v>127</v>
      </c>
      <c r="D18" s="32" t="s">
        <v>124</v>
      </c>
      <c r="E18" s="28" t="s">
        <v>125</v>
      </c>
      <c r="F18" s="12"/>
    </row>
    <row r="19" spans="1:6" ht="31.2">
      <c r="A19" s="28">
        <v>15</v>
      </c>
      <c r="B19" s="32" t="s">
        <v>128</v>
      </c>
      <c r="C19" s="32" t="s">
        <v>129</v>
      </c>
      <c r="D19" s="32" t="s">
        <v>124</v>
      </c>
      <c r="E19" s="28" t="s">
        <v>130</v>
      </c>
      <c r="F19" s="12"/>
    </row>
    <row r="20" spans="1:6" ht="15.6">
      <c r="A20" s="28">
        <v>16</v>
      </c>
      <c r="B20" s="32" t="s">
        <v>131</v>
      </c>
      <c r="C20" s="32" t="s">
        <v>132</v>
      </c>
      <c r="D20" s="32" t="s">
        <v>133</v>
      </c>
      <c r="E20" s="28" t="s">
        <v>134</v>
      </c>
      <c r="F20" s="12"/>
    </row>
    <row r="21" spans="1:6" ht="15.6">
      <c r="A21" s="28">
        <v>17</v>
      </c>
      <c r="B21" s="32" t="s">
        <v>135</v>
      </c>
      <c r="C21" s="32" t="s">
        <v>136</v>
      </c>
      <c r="D21" s="32" t="s">
        <v>137</v>
      </c>
      <c r="E21" s="28" t="s">
        <v>138</v>
      </c>
      <c r="F21" s="12"/>
    </row>
    <row r="22" spans="1:6" ht="15.6">
      <c r="A22" s="28">
        <v>18</v>
      </c>
      <c r="B22" s="32" t="s">
        <v>139</v>
      </c>
      <c r="C22" s="32" t="s">
        <v>140</v>
      </c>
      <c r="D22" s="32" t="s">
        <v>137</v>
      </c>
      <c r="E22" s="28" t="s">
        <v>141</v>
      </c>
      <c r="F22" s="12"/>
    </row>
    <row r="23" spans="1:6" ht="31.2">
      <c r="A23" s="28">
        <v>19</v>
      </c>
      <c r="B23" s="32" t="s">
        <v>142</v>
      </c>
      <c r="C23" s="32" t="s">
        <v>143</v>
      </c>
      <c r="D23" s="32" t="s">
        <v>137</v>
      </c>
      <c r="E23" s="28" t="s">
        <v>144</v>
      </c>
      <c r="F23" s="12"/>
    </row>
    <row r="24" spans="1:6" ht="15.6">
      <c r="A24" s="28">
        <v>20</v>
      </c>
      <c r="B24" s="32" t="s">
        <v>145</v>
      </c>
      <c r="C24" s="32" t="s">
        <v>146</v>
      </c>
      <c r="D24" s="32" t="s">
        <v>137</v>
      </c>
      <c r="E24" s="28" t="s">
        <v>144</v>
      </c>
      <c r="F24" s="12"/>
    </row>
    <row r="25" spans="1:6" ht="15.6">
      <c r="A25" s="28">
        <v>21</v>
      </c>
      <c r="B25" s="32" t="s">
        <v>147</v>
      </c>
      <c r="C25" s="32" t="s">
        <v>148</v>
      </c>
      <c r="D25" s="32" t="s">
        <v>137</v>
      </c>
      <c r="E25" s="28" t="s">
        <v>149</v>
      </c>
      <c r="F25" s="12"/>
    </row>
    <row r="26" spans="1:6" ht="15.6">
      <c r="A26" s="28">
        <v>22</v>
      </c>
      <c r="B26" s="32" t="s">
        <v>150</v>
      </c>
      <c r="C26" s="32" t="s">
        <v>151</v>
      </c>
      <c r="D26" s="32" t="s">
        <v>152</v>
      </c>
      <c r="E26" s="28" t="s">
        <v>153</v>
      </c>
      <c r="F26" s="12"/>
    </row>
    <row r="27" spans="1:6" ht="15.6">
      <c r="A27" s="28">
        <v>23</v>
      </c>
      <c r="B27" s="32" t="s">
        <v>154</v>
      </c>
      <c r="C27" s="32" t="s">
        <v>155</v>
      </c>
      <c r="D27" s="32" t="s">
        <v>152</v>
      </c>
      <c r="E27" s="28" t="s">
        <v>156</v>
      </c>
      <c r="F27" s="12"/>
    </row>
    <row r="28" spans="1:6" ht="15.6">
      <c r="A28" s="28">
        <v>24</v>
      </c>
      <c r="B28" s="32" t="s">
        <v>157</v>
      </c>
      <c r="C28" s="32" t="s">
        <v>158</v>
      </c>
      <c r="D28" s="32" t="s">
        <v>159</v>
      </c>
      <c r="E28" s="28" t="s">
        <v>160</v>
      </c>
      <c r="F28" s="12"/>
    </row>
    <row r="29" spans="1:6" ht="15.6">
      <c r="A29" s="28">
        <v>25</v>
      </c>
      <c r="B29" s="32" t="s">
        <v>161</v>
      </c>
      <c r="C29" s="32" t="s">
        <v>162</v>
      </c>
      <c r="D29" s="32" t="s">
        <v>163</v>
      </c>
      <c r="E29" s="28" t="s">
        <v>164</v>
      </c>
      <c r="F29" s="12"/>
    </row>
    <row r="30" spans="1:6" ht="15.6">
      <c r="A30" s="12"/>
      <c r="B30" s="12"/>
      <c r="C30" s="12"/>
      <c r="D30" s="12"/>
      <c r="E30" s="12"/>
      <c r="F30" s="12"/>
    </row>
    <row r="31" spans="1:6" ht="19.2" customHeight="1">
      <c r="A31" s="117"/>
      <c r="B31" s="115"/>
      <c r="C31" s="115"/>
      <c r="D31" s="115"/>
      <c r="E31" s="115"/>
      <c r="F31" s="12"/>
    </row>
    <row r="32" spans="1:6" ht="15.6">
      <c r="A32" s="12"/>
      <c r="B32" s="12"/>
      <c r="C32" s="12"/>
      <c r="D32" s="12"/>
      <c r="E32" s="12"/>
      <c r="F32" s="12"/>
    </row>
    <row r="33" spans="1:6" ht="15.6">
      <c r="A33" s="12"/>
      <c r="B33" s="12"/>
      <c r="C33" s="12"/>
      <c r="D33" s="12"/>
      <c r="E33" s="12"/>
      <c r="F33" s="12"/>
    </row>
    <row r="34" spans="1:6" ht="15.6">
      <c r="A34" s="12"/>
      <c r="B34" s="12"/>
      <c r="C34" s="12"/>
      <c r="D34" s="12"/>
      <c r="E34" s="12"/>
      <c r="F34" s="12"/>
    </row>
    <row r="35" spans="1:6" ht="15.6">
      <c r="A35" s="12"/>
      <c r="B35" s="12"/>
      <c r="C35" s="12"/>
      <c r="D35" s="12"/>
      <c r="E35" s="12"/>
      <c r="F35" s="12"/>
    </row>
    <row r="36" spans="1:6" ht="15.6">
      <c r="A36" s="12"/>
      <c r="B36" s="12"/>
      <c r="C36" s="12"/>
      <c r="D36" s="12"/>
      <c r="E36" s="12"/>
      <c r="F36" s="12"/>
    </row>
    <row r="37" spans="1:6" ht="15.6">
      <c r="A37" s="12"/>
      <c r="B37" s="12"/>
      <c r="C37" s="12"/>
      <c r="D37" s="12"/>
      <c r="E37" s="12"/>
      <c r="F37" s="12"/>
    </row>
    <row r="38" spans="1:6" ht="15.6">
      <c r="A38" s="12"/>
      <c r="B38" s="12"/>
      <c r="C38" s="12"/>
      <c r="D38" s="12"/>
      <c r="E38" s="12"/>
      <c r="F38" s="12"/>
    </row>
    <row r="39" spans="1:6" ht="15.6">
      <c r="A39" s="12"/>
      <c r="B39" s="12"/>
      <c r="C39" s="12"/>
      <c r="D39" s="12"/>
      <c r="E39" s="12"/>
      <c r="F39" s="12"/>
    </row>
    <row r="40" spans="1:6" ht="15.6">
      <c r="A40" s="12"/>
      <c r="B40" s="12"/>
      <c r="C40" s="12"/>
      <c r="D40" s="12"/>
      <c r="E40" s="12"/>
      <c r="F40" s="12"/>
    </row>
    <row r="41" spans="1:6" ht="15.6">
      <c r="A41" s="12"/>
      <c r="B41" s="12"/>
      <c r="C41" s="12"/>
      <c r="D41" s="12"/>
      <c r="E41" s="12"/>
      <c r="F41" s="12"/>
    </row>
    <row r="42" spans="1:6" ht="15.6">
      <c r="A42" s="12"/>
      <c r="B42" s="12"/>
      <c r="C42" s="12"/>
      <c r="D42" s="12"/>
      <c r="E42" s="12"/>
      <c r="F42" s="12"/>
    </row>
    <row r="43" spans="1:6" ht="15.6">
      <c r="A43" s="12"/>
      <c r="B43" s="12"/>
      <c r="C43" s="12"/>
      <c r="D43" s="12"/>
      <c r="E43" s="12"/>
      <c r="F43" s="12"/>
    </row>
    <row r="44" spans="1:6" ht="15.6">
      <c r="A44" s="12"/>
      <c r="B44" s="12"/>
      <c r="C44" s="12"/>
      <c r="D44" s="12"/>
      <c r="E44" s="12"/>
      <c r="F44" s="12"/>
    </row>
    <row r="45" spans="1:6" ht="15.6">
      <c r="A45" s="12"/>
      <c r="B45" s="12"/>
      <c r="C45" s="12"/>
      <c r="D45" s="12"/>
      <c r="E45" s="12"/>
      <c r="F45" s="12"/>
    </row>
    <row r="46" spans="1:6" ht="15.6">
      <c r="A46" s="12"/>
      <c r="B46" s="12"/>
      <c r="C46" s="12"/>
      <c r="D46" s="12"/>
      <c r="E46" s="12"/>
      <c r="F46" s="12"/>
    </row>
    <row r="47" spans="1:6" ht="15.6">
      <c r="A47" s="12"/>
      <c r="B47" s="12"/>
      <c r="C47" s="12"/>
      <c r="D47" s="12"/>
      <c r="E47" s="12"/>
      <c r="F47" s="12"/>
    </row>
    <row r="48" spans="1:6" ht="15.6">
      <c r="A48" s="12"/>
      <c r="B48" s="12"/>
      <c r="C48" s="12"/>
      <c r="D48" s="12"/>
      <c r="E48" s="12"/>
      <c r="F48" s="12"/>
    </row>
    <row r="49" spans="1:6" ht="15.6">
      <c r="A49" s="12"/>
      <c r="B49" s="12"/>
      <c r="C49" s="12"/>
      <c r="D49" s="12"/>
      <c r="E49" s="12"/>
      <c r="F49" s="12"/>
    </row>
    <row r="50" spans="1:6" ht="15.6">
      <c r="A50" s="12"/>
      <c r="B50" s="12"/>
      <c r="C50" s="12"/>
      <c r="D50" s="12"/>
      <c r="E50" s="12"/>
      <c r="F50" s="12"/>
    </row>
    <row r="51" spans="1:6" ht="15.6">
      <c r="A51" s="12"/>
      <c r="B51" s="12"/>
      <c r="C51" s="12"/>
      <c r="D51" s="12"/>
      <c r="E51" s="12"/>
      <c r="F51" s="12"/>
    </row>
  </sheetData>
  <mergeCells count="2">
    <mergeCell ref="A31:E31"/>
    <mergeCell ref="A1:E2"/>
  </mergeCells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시작</vt:lpstr>
      <vt:lpstr>세입</vt:lpstr>
      <vt:lpstr>세출(원안)</vt:lpstr>
      <vt:lpstr>세출(조정안)</vt:lpstr>
      <vt:lpstr>업무추진비</vt:lpstr>
      <vt:lpstr>참고자료(통합교부비목록)</vt:lpstr>
      <vt:lpstr>참고자료(개별운영비목록)</vt:lpstr>
      <vt:lpstr>시작!Print_Area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옥정초행정실</dc:creator>
  <cp:lastModifiedBy>User</cp:lastModifiedBy>
  <dcterms:created xsi:type="dcterms:W3CDTF">2026-08-29T14:18:59Z</dcterms:created>
  <dcterms:modified xsi:type="dcterms:W3CDTF">2026-09-07T10:39:30Z</dcterms:modified>
</cp:coreProperties>
</file>