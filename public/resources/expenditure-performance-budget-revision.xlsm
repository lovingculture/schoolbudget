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집행실적 정리본\"/>
    </mc:Choice>
  </mc:AlternateContent>
  <xr:revisionPtr revIDLastSave="0" documentId="8_{D547409D-937B-4B7A-856F-FEE4CA9CCE66}" xr6:coauthVersionLast="47" xr6:coauthVersionMax="47" xr10:uidLastSave="{00000000-0000-0000-0000-000000000000}"/>
  <bookViews>
    <workbookView xWindow="-108" yWindow="-108" windowWidth="23256" windowHeight="12456" xr2:uid="{FE1C65F8-9741-4796-A221-619FF2B7EA11}"/>
  </bookViews>
  <sheets>
    <sheet name="Sheet1" sheetId="1" r:id="rId1"/>
    <sheet name="불러온원본" sheetId="2" r:id="rId2"/>
    <sheet name="추경검토" sheetId="5" r:id="rId3"/>
    <sheet name="정리본" sheetId="3" r:id="rId4"/>
    <sheet name="단위사업별집계" sheetId="4" r:id="rId5"/>
  </sheets>
  <definedNames>
    <definedName name="_xlnm._FilterDatabase" localSheetId="4" hidden="1">단위사업별집계!$A$3:$F$41</definedName>
    <definedName name="_xlnm._FilterDatabase" localSheetId="3" hidden="1">정리본!$A$3:$O$527</definedName>
    <definedName name="_xlnm._FilterDatabase" localSheetId="2" hidden="1">추경검토!$A$7:$O$531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O532" i="5" l="1"/>
  <c r="N532" i="5"/>
  <c r="M532" i="5"/>
  <c r="L532" i="5"/>
  <c r="K532" i="5"/>
  <c r="J532" i="5"/>
  <c r="I532" i="5"/>
  <c r="F5" i="5"/>
  <c r="E5" i="5"/>
  <c r="D5" i="5"/>
  <c r="C5" i="5"/>
  <c r="B5" i="5"/>
  <c r="F4" i="5"/>
  <c r="E4" i="5"/>
  <c r="D4" i="5"/>
  <c r="C4" i="5"/>
  <c r="B4" i="5"/>
  <c r="N531" i="5"/>
  <c r="N530" i="5"/>
  <c r="N529" i="5"/>
  <c r="N528" i="5"/>
  <c r="N527" i="5"/>
  <c r="N526" i="5"/>
  <c r="N525" i="5"/>
  <c r="N524" i="5"/>
  <c r="N523" i="5"/>
  <c r="N522" i="5"/>
  <c r="N521" i="5"/>
  <c r="N520" i="5"/>
  <c r="N519" i="5"/>
  <c r="N518" i="5"/>
  <c r="N517" i="5"/>
  <c r="N516" i="5"/>
  <c r="N515" i="5"/>
  <c r="N514" i="5"/>
  <c r="N513" i="5"/>
  <c r="N512" i="5"/>
  <c r="N511" i="5"/>
  <c r="N510" i="5"/>
  <c r="N509" i="5"/>
  <c r="N508" i="5"/>
  <c r="N507" i="5"/>
  <c r="N506" i="5"/>
  <c r="N505" i="5"/>
  <c r="N504" i="5"/>
  <c r="N503" i="5"/>
  <c r="N502" i="5"/>
  <c r="N501" i="5"/>
  <c r="N500" i="5"/>
  <c r="N499" i="5"/>
  <c r="N498" i="5"/>
  <c r="N497" i="5"/>
  <c r="N496" i="5"/>
  <c r="N495" i="5"/>
  <c r="N494" i="5"/>
  <c r="N493" i="5"/>
  <c r="N492" i="5"/>
  <c r="N491" i="5"/>
  <c r="N490" i="5"/>
  <c r="N489" i="5"/>
  <c r="N488" i="5"/>
  <c r="N487" i="5"/>
  <c r="N486" i="5"/>
  <c r="N485" i="5"/>
  <c r="N484" i="5"/>
  <c r="N483" i="5"/>
  <c r="N482" i="5"/>
  <c r="N481" i="5"/>
  <c r="N480" i="5"/>
  <c r="N479" i="5"/>
  <c r="N478" i="5"/>
  <c r="N477" i="5"/>
  <c r="N476" i="5"/>
  <c r="N475" i="5"/>
  <c r="N474" i="5"/>
  <c r="N473" i="5"/>
  <c r="N472" i="5"/>
  <c r="N471" i="5"/>
  <c r="N470" i="5"/>
  <c r="N469" i="5"/>
  <c r="N468" i="5"/>
  <c r="N467" i="5"/>
  <c r="N466" i="5"/>
  <c r="N465" i="5"/>
  <c r="N464" i="5"/>
  <c r="N463" i="5"/>
  <c r="N462" i="5"/>
  <c r="N461" i="5"/>
  <c r="N460" i="5"/>
  <c r="N459" i="5"/>
  <c r="N458" i="5"/>
  <c r="N457" i="5"/>
  <c r="N456" i="5"/>
  <c r="N455" i="5"/>
  <c r="N454" i="5"/>
  <c r="N453" i="5"/>
  <c r="N452" i="5"/>
  <c r="N451" i="5"/>
  <c r="N450" i="5"/>
  <c r="N449" i="5"/>
  <c r="N448" i="5"/>
  <c r="N447" i="5"/>
  <c r="N446" i="5"/>
  <c r="N445" i="5"/>
  <c r="N444" i="5"/>
  <c r="N443" i="5"/>
  <c r="N442" i="5"/>
  <c r="N441" i="5"/>
  <c r="N440" i="5"/>
  <c r="N439" i="5"/>
  <c r="N438" i="5"/>
  <c r="N437" i="5"/>
  <c r="N436" i="5"/>
  <c r="N435" i="5"/>
  <c r="N434" i="5"/>
  <c r="N433" i="5"/>
  <c r="N432" i="5"/>
  <c r="N431" i="5"/>
  <c r="N430" i="5"/>
  <c r="N429" i="5"/>
  <c r="N428" i="5"/>
  <c r="N427" i="5"/>
  <c r="N426" i="5"/>
  <c r="N425" i="5"/>
  <c r="N424" i="5"/>
  <c r="N423" i="5"/>
  <c r="N422" i="5"/>
  <c r="N421" i="5"/>
  <c r="N420" i="5"/>
  <c r="N419" i="5"/>
  <c r="N418" i="5"/>
  <c r="N417" i="5"/>
  <c r="N416" i="5"/>
  <c r="N415" i="5"/>
  <c r="N414" i="5"/>
  <c r="N413" i="5"/>
  <c r="N412" i="5"/>
  <c r="N411" i="5"/>
  <c r="N410" i="5"/>
  <c r="N409" i="5"/>
  <c r="N408" i="5"/>
  <c r="N407" i="5"/>
  <c r="N406" i="5"/>
  <c r="N405" i="5"/>
  <c r="N404" i="5"/>
  <c r="N403" i="5"/>
  <c r="N402" i="5"/>
  <c r="N401" i="5"/>
  <c r="N400" i="5"/>
  <c r="N399" i="5"/>
  <c r="N398" i="5"/>
  <c r="N397" i="5"/>
  <c r="N396" i="5"/>
  <c r="N395" i="5"/>
  <c r="N394" i="5"/>
  <c r="N393" i="5"/>
  <c r="N392" i="5"/>
  <c r="N391" i="5"/>
  <c r="N390" i="5"/>
  <c r="N389" i="5"/>
  <c r="N388" i="5"/>
  <c r="N387" i="5"/>
  <c r="N386" i="5"/>
  <c r="N385" i="5"/>
  <c r="N384" i="5"/>
  <c r="N383" i="5"/>
  <c r="N382" i="5"/>
  <c r="N381" i="5"/>
  <c r="N380" i="5"/>
  <c r="N379" i="5"/>
  <c r="N378" i="5"/>
  <c r="N377" i="5"/>
  <c r="N376" i="5"/>
  <c r="N375" i="5"/>
  <c r="N374" i="5"/>
  <c r="N373" i="5"/>
  <c r="N372" i="5"/>
  <c r="N371" i="5"/>
  <c r="N370" i="5"/>
  <c r="N369" i="5"/>
  <c r="N368" i="5"/>
  <c r="N367" i="5"/>
  <c r="N366" i="5"/>
  <c r="N365" i="5"/>
  <c r="N364" i="5"/>
  <c r="N363" i="5"/>
  <c r="N362" i="5"/>
  <c r="N361" i="5"/>
  <c r="N360" i="5"/>
  <c r="N359" i="5"/>
  <c r="N358" i="5"/>
  <c r="N357" i="5"/>
  <c r="N356" i="5"/>
  <c r="N355" i="5"/>
  <c r="N354" i="5"/>
  <c r="N353" i="5"/>
  <c r="N352" i="5"/>
  <c r="N351" i="5"/>
  <c r="N350" i="5"/>
  <c r="N349" i="5"/>
  <c r="N348" i="5"/>
  <c r="N347" i="5"/>
  <c r="N346" i="5"/>
  <c r="N345" i="5"/>
  <c r="N344" i="5"/>
  <c r="N343" i="5"/>
  <c r="N342" i="5"/>
  <c r="N341" i="5"/>
  <c r="N340" i="5"/>
  <c r="N339" i="5"/>
  <c r="N338" i="5"/>
  <c r="N337" i="5"/>
  <c r="N336" i="5"/>
  <c r="N335" i="5"/>
  <c r="N334" i="5"/>
  <c r="N333" i="5"/>
  <c r="N332" i="5"/>
  <c r="N331" i="5"/>
  <c r="N330" i="5"/>
  <c r="N329" i="5"/>
  <c r="N328" i="5"/>
  <c r="N327" i="5"/>
  <c r="N326" i="5"/>
  <c r="N325" i="5"/>
  <c r="N324" i="5"/>
  <c r="N323" i="5"/>
  <c r="N322" i="5"/>
  <c r="N321" i="5"/>
  <c r="N320" i="5"/>
  <c r="N319" i="5"/>
  <c r="N318" i="5"/>
  <c r="N317" i="5"/>
  <c r="N316" i="5"/>
  <c r="N315" i="5"/>
  <c r="N314" i="5"/>
  <c r="N313" i="5"/>
  <c r="N312" i="5"/>
  <c r="N311" i="5"/>
  <c r="N310" i="5"/>
  <c r="N309" i="5"/>
  <c r="N308" i="5"/>
  <c r="N307" i="5"/>
  <c r="N306" i="5"/>
  <c r="N305" i="5"/>
  <c r="N304" i="5"/>
  <c r="N303" i="5"/>
  <c r="N302" i="5"/>
  <c r="N301" i="5"/>
  <c r="N300" i="5"/>
  <c r="N299" i="5"/>
  <c r="N298" i="5"/>
  <c r="N297" i="5"/>
  <c r="N296" i="5"/>
  <c r="N295" i="5"/>
  <c r="N294" i="5"/>
  <c r="N293" i="5"/>
  <c r="N292" i="5"/>
  <c r="N291" i="5"/>
  <c r="N290" i="5"/>
  <c r="N289" i="5"/>
  <c r="N288" i="5"/>
  <c r="N287" i="5"/>
  <c r="N286" i="5"/>
  <c r="N285" i="5"/>
  <c r="N284" i="5"/>
  <c r="N283" i="5"/>
  <c r="N282" i="5"/>
  <c r="N281" i="5"/>
  <c r="N280" i="5"/>
  <c r="N279" i="5"/>
  <c r="N278" i="5"/>
  <c r="N277" i="5"/>
  <c r="N276" i="5"/>
  <c r="N275" i="5"/>
  <c r="N274" i="5"/>
  <c r="N273" i="5"/>
  <c r="N272" i="5"/>
  <c r="N271" i="5"/>
  <c r="N270" i="5"/>
  <c r="N269" i="5"/>
  <c r="N268" i="5"/>
  <c r="N267" i="5"/>
  <c r="N266" i="5"/>
  <c r="N265" i="5"/>
  <c r="N264" i="5"/>
  <c r="N263" i="5"/>
  <c r="N262" i="5"/>
  <c r="N261" i="5"/>
  <c r="N260" i="5"/>
  <c r="N259" i="5"/>
  <c r="N258" i="5"/>
  <c r="N257" i="5"/>
  <c r="N256" i="5"/>
  <c r="N255" i="5"/>
  <c r="N254" i="5"/>
  <c r="N253" i="5"/>
  <c r="N252" i="5"/>
  <c r="N251" i="5"/>
  <c r="N250" i="5"/>
  <c r="N249" i="5"/>
  <c r="N248" i="5"/>
  <c r="N247" i="5"/>
  <c r="N246" i="5"/>
  <c r="N245" i="5"/>
  <c r="N244" i="5"/>
  <c r="N243" i="5"/>
  <c r="N242" i="5"/>
  <c r="N241" i="5"/>
  <c r="N240" i="5"/>
  <c r="N239" i="5"/>
  <c r="N238" i="5"/>
  <c r="N237" i="5"/>
  <c r="N236" i="5"/>
  <c r="N235" i="5"/>
  <c r="N234" i="5"/>
  <c r="N233" i="5"/>
  <c r="N232" i="5"/>
  <c r="N231" i="5"/>
  <c r="N230" i="5"/>
  <c r="N229" i="5"/>
  <c r="N228" i="5"/>
  <c r="N227" i="5"/>
  <c r="N226" i="5"/>
  <c r="N225" i="5"/>
  <c r="N224" i="5"/>
  <c r="N223" i="5"/>
  <c r="N222" i="5"/>
  <c r="N221" i="5"/>
  <c r="N220" i="5"/>
  <c r="N219" i="5"/>
  <c r="N218" i="5"/>
  <c r="N217" i="5"/>
  <c r="N216" i="5"/>
  <c r="N215" i="5"/>
  <c r="N214" i="5"/>
  <c r="N213" i="5"/>
  <c r="N212" i="5"/>
  <c r="N211" i="5"/>
  <c r="N210" i="5"/>
  <c r="N209" i="5"/>
  <c r="N208" i="5"/>
  <c r="N207" i="5"/>
  <c r="N206" i="5"/>
  <c r="N205" i="5"/>
  <c r="N204" i="5"/>
  <c r="N203" i="5"/>
  <c r="N202" i="5"/>
  <c r="N201" i="5"/>
  <c r="N200" i="5"/>
  <c r="N199" i="5"/>
  <c r="N198" i="5"/>
  <c r="N197" i="5"/>
  <c r="N196" i="5"/>
  <c r="N195" i="5"/>
  <c r="N194" i="5"/>
  <c r="N193" i="5"/>
  <c r="N192" i="5"/>
  <c r="N191" i="5"/>
  <c r="N190" i="5"/>
  <c r="N189" i="5"/>
  <c r="N188" i="5"/>
  <c r="N187" i="5"/>
  <c r="N186" i="5"/>
  <c r="N185" i="5"/>
  <c r="N184" i="5"/>
  <c r="N183" i="5"/>
  <c r="N182" i="5"/>
  <c r="N181" i="5"/>
  <c r="N180" i="5"/>
  <c r="N179" i="5"/>
  <c r="N178" i="5"/>
  <c r="N177" i="5"/>
  <c r="N176" i="5"/>
  <c r="N175" i="5"/>
  <c r="N174" i="5"/>
  <c r="N173" i="5"/>
  <c r="N172" i="5"/>
  <c r="N171" i="5"/>
  <c r="N170" i="5"/>
  <c r="N169" i="5"/>
  <c r="N168" i="5"/>
  <c r="N167" i="5"/>
  <c r="N166" i="5"/>
  <c r="N165" i="5"/>
  <c r="N164" i="5"/>
  <c r="N163" i="5"/>
  <c r="N162" i="5"/>
  <c r="N161" i="5"/>
  <c r="N160" i="5"/>
  <c r="N159" i="5"/>
  <c r="N158" i="5"/>
  <c r="N157" i="5"/>
  <c r="N156" i="5"/>
  <c r="N155" i="5"/>
  <c r="N154" i="5"/>
  <c r="N153" i="5"/>
  <c r="N152" i="5"/>
  <c r="N151" i="5"/>
  <c r="N150" i="5"/>
  <c r="N149" i="5"/>
  <c r="N148" i="5"/>
  <c r="N147" i="5"/>
  <c r="N146" i="5"/>
  <c r="N145" i="5"/>
  <c r="N144" i="5"/>
  <c r="N143" i="5"/>
  <c r="N142" i="5"/>
  <c r="N141" i="5"/>
  <c r="N140" i="5"/>
  <c r="N139" i="5"/>
  <c r="N138" i="5"/>
  <c r="N137" i="5"/>
  <c r="N136" i="5"/>
  <c r="N135" i="5"/>
  <c r="N134" i="5"/>
  <c r="N133" i="5"/>
  <c r="N132" i="5"/>
  <c r="N131" i="5"/>
  <c r="N130" i="5"/>
  <c r="N129" i="5"/>
  <c r="N128" i="5"/>
  <c r="N127" i="5"/>
  <c r="N126" i="5"/>
  <c r="N125" i="5"/>
  <c r="N124" i="5"/>
  <c r="N123" i="5"/>
  <c r="N122" i="5"/>
  <c r="N121" i="5"/>
  <c r="N120" i="5"/>
  <c r="N119" i="5"/>
  <c r="N118" i="5"/>
  <c r="N117" i="5"/>
  <c r="N116" i="5"/>
  <c r="N115" i="5"/>
  <c r="N114" i="5"/>
  <c r="N113" i="5"/>
  <c r="N112" i="5"/>
  <c r="N111" i="5"/>
  <c r="N110" i="5"/>
  <c r="N109" i="5"/>
  <c r="N108" i="5"/>
  <c r="N107" i="5"/>
  <c r="N106" i="5"/>
  <c r="N105" i="5"/>
  <c r="N104" i="5"/>
  <c r="N103" i="5"/>
  <c r="N102" i="5"/>
  <c r="N101" i="5"/>
  <c r="N100" i="5"/>
  <c r="N99" i="5"/>
  <c r="N98" i="5"/>
  <c r="N97" i="5"/>
  <c r="N96" i="5"/>
  <c r="N95" i="5"/>
  <c r="N94" i="5"/>
  <c r="N93" i="5"/>
  <c r="N92" i="5"/>
  <c r="N91" i="5"/>
  <c r="N90" i="5"/>
  <c r="N89" i="5"/>
  <c r="N88" i="5"/>
  <c r="N87" i="5"/>
  <c r="N86" i="5"/>
  <c r="N85" i="5"/>
  <c r="N84" i="5"/>
  <c r="N83" i="5"/>
  <c r="N82" i="5"/>
  <c r="N81" i="5"/>
  <c r="N80" i="5"/>
  <c r="N79" i="5"/>
  <c r="N78" i="5"/>
  <c r="N77" i="5"/>
  <c r="N76" i="5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F42" i="4"/>
  <c r="E42" i="4"/>
  <c r="D42" i="4"/>
  <c r="F35" i="4"/>
  <c r="F33" i="4"/>
  <c r="F32" i="4"/>
  <c r="F34" i="4"/>
  <c r="F31" i="4"/>
  <c r="F8" i="4"/>
  <c r="F6" i="4"/>
  <c r="F7" i="4"/>
  <c r="F5" i="4"/>
  <c r="F11" i="4"/>
  <c r="F10" i="4"/>
  <c r="F9" i="4"/>
  <c r="F4" i="4"/>
  <c r="F24" i="4"/>
  <c r="F23" i="4"/>
  <c r="F25" i="4"/>
  <c r="F26" i="4"/>
  <c r="F22" i="4"/>
  <c r="F20" i="4"/>
  <c r="F21" i="4"/>
  <c r="F17" i="4"/>
  <c r="F19" i="4"/>
  <c r="F14" i="4"/>
  <c r="F16" i="4"/>
  <c r="F15" i="4"/>
  <c r="F18" i="4"/>
  <c r="F12" i="4"/>
  <c r="F13" i="4"/>
  <c r="F41" i="4"/>
  <c r="F40" i="4"/>
  <c r="F36" i="4"/>
  <c r="F38" i="4"/>
  <c r="F39" i="4"/>
  <c r="F37" i="4"/>
  <c r="F30" i="4"/>
  <c r="F29" i="4"/>
  <c r="F27" i="4"/>
  <c r="F28" i="4"/>
  <c r="O528" i="3"/>
  <c r="N528" i="3"/>
  <c r="M528" i="3"/>
  <c r="L528" i="3"/>
  <c r="K528" i="3"/>
  <c r="J528" i="3"/>
  <c r="I528" i="3"/>
  <c r="N527" i="3"/>
  <c r="M527" i="3"/>
  <c r="L527" i="3"/>
  <c r="N526" i="3"/>
  <c r="M526" i="3"/>
  <c r="L526" i="3"/>
  <c r="N525" i="3"/>
  <c r="M525" i="3"/>
  <c r="L525" i="3"/>
  <c r="N524" i="3"/>
  <c r="M524" i="3"/>
  <c r="L524" i="3"/>
  <c r="N523" i="3"/>
  <c r="M523" i="3"/>
  <c r="L523" i="3"/>
  <c r="N522" i="3"/>
  <c r="M522" i="3"/>
  <c r="L522" i="3"/>
  <c r="N521" i="3"/>
  <c r="M521" i="3"/>
  <c r="L521" i="3"/>
  <c r="N520" i="3"/>
  <c r="M520" i="3"/>
  <c r="L520" i="3"/>
  <c r="N519" i="3"/>
  <c r="M519" i="3"/>
  <c r="L519" i="3"/>
  <c r="N518" i="3"/>
  <c r="M518" i="3"/>
  <c r="L518" i="3"/>
  <c r="N517" i="3"/>
  <c r="M517" i="3"/>
  <c r="L517" i="3"/>
  <c r="N516" i="3"/>
  <c r="M516" i="3"/>
  <c r="L516" i="3"/>
  <c r="N515" i="3"/>
  <c r="M515" i="3"/>
  <c r="L515" i="3"/>
  <c r="N514" i="3"/>
  <c r="M514" i="3"/>
  <c r="L514" i="3"/>
  <c r="N513" i="3"/>
  <c r="M513" i="3"/>
  <c r="L513" i="3"/>
  <c r="N512" i="3"/>
  <c r="M512" i="3"/>
  <c r="L512" i="3"/>
  <c r="N511" i="3"/>
  <c r="M511" i="3"/>
  <c r="L511" i="3"/>
  <c r="N510" i="3"/>
  <c r="M510" i="3"/>
  <c r="L510" i="3"/>
  <c r="N509" i="3"/>
  <c r="M509" i="3"/>
  <c r="L509" i="3"/>
  <c r="N508" i="3"/>
  <c r="M508" i="3"/>
  <c r="L508" i="3"/>
  <c r="N507" i="3"/>
  <c r="M507" i="3"/>
  <c r="L507" i="3"/>
  <c r="N506" i="3"/>
  <c r="M506" i="3"/>
  <c r="L506" i="3"/>
  <c r="N505" i="3"/>
  <c r="M505" i="3"/>
  <c r="L505" i="3"/>
  <c r="N504" i="3"/>
  <c r="M504" i="3"/>
  <c r="L504" i="3"/>
  <c r="N503" i="3"/>
  <c r="M503" i="3"/>
  <c r="L503" i="3"/>
  <c r="N502" i="3"/>
  <c r="M502" i="3"/>
  <c r="L502" i="3"/>
  <c r="N501" i="3"/>
  <c r="M501" i="3"/>
  <c r="L501" i="3"/>
  <c r="N500" i="3"/>
  <c r="M500" i="3"/>
  <c r="L500" i="3"/>
  <c r="N499" i="3"/>
  <c r="M499" i="3"/>
  <c r="L499" i="3"/>
  <c r="N498" i="3"/>
  <c r="M498" i="3"/>
  <c r="L498" i="3"/>
  <c r="N497" i="3"/>
  <c r="M497" i="3"/>
  <c r="L497" i="3"/>
  <c r="N496" i="3"/>
  <c r="M496" i="3"/>
  <c r="L496" i="3"/>
  <c r="N495" i="3"/>
  <c r="M495" i="3"/>
  <c r="L495" i="3"/>
  <c r="N494" i="3"/>
  <c r="M494" i="3"/>
  <c r="L494" i="3"/>
  <c r="N493" i="3"/>
  <c r="M493" i="3"/>
  <c r="L493" i="3"/>
  <c r="N492" i="3"/>
  <c r="M492" i="3"/>
  <c r="L492" i="3"/>
  <c r="N491" i="3"/>
  <c r="M491" i="3"/>
  <c r="L491" i="3"/>
  <c r="N490" i="3"/>
  <c r="M490" i="3"/>
  <c r="L490" i="3"/>
  <c r="N489" i="3"/>
  <c r="M489" i="3"/>
  <c r="L489" i="3"/>
  <c r="N488" i="3"/>
  <c r="M488" i="3"/>
  <c r="L488" i="3"/>
  <c r="N487" i="3"/>
  <c r="M487" i="3"/>
  <c r="L487" i="3"/>
  <c r="N486" i="3"/>
  <c r="M486" i="3"/>
  <c r="L486" i="3"/>
  <c r="N485" i="3"/>
  <c r="M485" i="3"/>
  <c r="L485" i="3"/>
  <c r="N484" i="3"/>
  <c r="M484" i="3"/>
  <c r="L484" i="3"/>
  <c r="N483" i="3"/>
  <c r="M483" i="3"/>
  <c r="L483" i="3"/>
  <c r="N482" i="3"/>
  <c r="M482" i="3"/>
  <c r="L482" i="3"/>
  <c r="N481" i="3"/>
  <c r="M481" i="3"/>
  <c r="L481" i="3"/>
  <c r="N480" i="3"/>
  <c r="M480" i="3"/>
  <c r="L480" i="3"/>
  <c r="N479" i="3"/>
  <c r="M479" i="3"/>
  <c r="L479" i="3"/>
  <c r="N478" i="3"/>
  <c r="M478" i="3"/>
  <c r="L478" i="3"/>
  <c r="N477" i="3"/>
  <c r="M477" i="3"/>
  <c r="L477" i="3"/>
  <c r="N476" i="3"/>
  <c r="M476" i="3"/>
  <c r="L476" i="3"/>
  <c r="N475" i="3"/>
  <c r="M475" i="3"/>
  <c r="L475" i="3"/>
  <c r="N474" i="3"/>
  <c r="M474" i="3"/>
  <c r="L474" i="3"/>
  <c r="N473" i="3"/>
  <c r="M473" i="3"/>
  <c r="L473" i="3"/>
  <c r="N472" i="3"/>
  <c r="M472" i="3"/>
  <c r="L472" i="3"/>
  <c r="N471" i="3"/>
  <c r="M471" i="3"/>
  <c r="L471" i="3"/>
  <c r="N470" i="3"/>
  <c r="M470" i="3"/>
  <c r="L470" i="3"/>
  <c r="N469" i="3"/>
  <c r="M469" i="3"/>
  <c r="L469" i="3"/>
  <c r="N468" i="3"/>
  <c r="M468" i="3"/>
  <c r="L468" i="3"/>
  <c r="N467" i="3"/>
  <c r="M467" i="3"/>
  <c r="L467" i="3"/>
  <c r="N466" i="3"/>
  <c r="M466" i="3"/>
  <c r="L466" i="3"/>
  <c r="N465" i="3"/>
  <c r="M465" i="3"/>
  <c r="L465" i="3"/>
  <c r="N464" i="3"/>
  <c r="M464" i="3"/>
  <c r="L464" i="3"/>
  <c r="N463" i="3"/>
  <c r="M463" i="3"/>
  <c r="L463" i="3"/>
  <c r="N462" i="3"/>
  <c r="M462" i="3"/>
  <c r="L462" i="3"/>
  <c r="N461" i="3"/>
  <c r="M461" i="3"/>
  <c r="L461" i="3"/>
  <c r="N460" i="3"/>
  <c r="M460" i="3"/>
  <c r="L460" i="3"/>
  <c r="N459" i="3"/>
  <c r="M459" i="3"/>
  <c r="L459" i="3"/>
  <c r="N458" i="3"/>
  <c r="M458" i="3"/>
  <c r="L458" i="3"/>
  <c r="N457" i="3"/>
  <c r="M457" i="3"/>
  <c r="L457" i="3"/>
  <c r="N456" i="3"/>
  <c r="M456" i="3"/>
  <c r="L456" i="3"/>
  <c r="N455" i="3"/>
  <c r="M455" i="3"/>
  <c r="L455" i="3"/>
  <c r="N454" i="3"/>
  <c r="M454" i="3"/>
  <c r="L454" i="3"/>
  <c r="N453" i="3"/>
  <c r="M453" i="3"/>
  <c r="L453" i="3"/>
  <c r="N452" i="3"/>
  <c r="M452" i="3"/>
  <c r="L452" i="3"/>
  <c r="N451" i="3"/>
  <c r="M451" i="3"/>
  <c r="L451" i="3"/>
  <c r="N450" i="3"/>
  <c r="M450" i="3"/>
  <c r="L450" i="3"/>
  <c r="N449" i="3"/>
  <c r="M449" i="3"/>
  <c r="L449" i="3"/>
  <c r="N448" i="3"/>
  <c r="M448" i="3"/>
  <c r="L448" i="3"/>
  <c r="N447" i="3"/>
  <c r="M447" i="3"/>
  <c r="L447" i="3"/>
  <c r="N446" i="3"/>
  <c r="M446" i="3"/>
  <c r="L446" i="3"/>
  <c r="N445" i="3"/>
  <c r="M445" i="3"/>
  <c r="L445" i="3"/>
  <c r="N444" i="3"/>
  <c r="M444" i="3"/>
  <c r="L444" i="3"/>
  <c r="N443" i="3"/>
  <c r="M443" i="3"/>
  <c r="L443" i="3"/>
  <c r="N442" i="3"/>
  <c r="M442" i="3"/>
  <c r="L442" i="3"/>
  <c r="N441" i="3"/>
  <c r="M441" i="3"/>
  <c r="L441" i="3"/>
  <c r="N440" i="3"/>
  <c r="M440" i="3"/>
  <c r="L440" i="3"/>
  <c r="N439" i="3"/>
  <c r="M439" i="3"/>
  <c r="L439" i="3"/>
  <c r="N438" i="3"/>
  <c r="M438" i="3"/>
  <c r="L438" i="3"/>
  <c r="N437" i="3"/>
  <c r="M437" i="3"/>
  <c r="L437" i="3"/>
  <c r="N436" i="3"/>
  <c r="M436" i="3"/>
  <c r="L436" i="3"/>
  <c r="N435" i="3"/>
  <c r="M435" i="3"/>
  <c r="L435" i="3"/>
  <c r="N434" i="3"/>
  <c r="M434" i="3"/>
  <c r="L434" i="3"/>
  <c r="N433" i="3"/>
  <c r="M433" i="3"/>
  <c r="L433" i="3"/>
  <c r="N432" i="3"/>
  <c r="M432" i="3"/>
  <c r="L432" i="3"/>
  <c r="N431" i="3"/>
  <c r="M431" i="3"/>
  <c r="L431" i="3"/>
  <c r="N430" i="3"/>
  <c r="M430" i="3"/>
  <c r="L430" i="3"/>
  <c r="N429" i="3"/>
  <c r="M429" i="3"/>
  <c r="L429" i="3"/>
  <c r="N428" i="3"/>
  <c r="M428" i="3"/>
  <c r="L428" i="3"/>
  <c r="N427" i="3"/>
  <c r="M427" i="3"/>
  <c r="L427" i="3"/>
  <c r="N426" i="3"/>
  <c r="M426" i="3"/>
  <c r="L426" i="3"/>
  <c r="N425" i="3"/>
  <c r="M425" i="3"/>
  <c r="L425" i="3"/>
  <c r="N424" i="3"/>
  <c r="M424" i="3"/>
  <c r="L424" i="3"/>
  <c r="N423" i="3"/>
  <c r="M423" i="3"/>
  <c r="L423" i="3"/>
  <c r="N422" i="3"/>
  <c r="M422" i="3"/>
  <c r="L422" i="3"/>
  <c r="N421" i="3"/>
  <c r="M421" i="3"/>
  <c r="L421" i="3"/>
  <c r="N420" i="3"/>
  <c r="M420" i="3"/>
  <c r="L420" i="3"/>
  <c r="N419" i="3"/>
  <c r="M419" i="3"/>
  <c r="L419" i="3"/>
  <c r="N418" i="3"/>
  <c r="M418" i="3"/>
  <c r="L418" i="3"/>
  <c r="N417" i="3"/>
  <c r="M417" i="3"/>
  <c r="L417" i="3"/>
  <c r="N416" i="3"/>
  <c r="M416" i="3"/>
  <c r="L416" i="3"/>
  <c r="N415" i="3"/>
  <c r="M415" i="3"/>
  <c r="L415" i="3"/>
  <c r="N414" i="3"/>
  <c r="M414" i="3"/>
  <c r="L414" i="3"/>
  <c r="N413" i="3"/>
  <c r="M413" i="3"/>
  <c r="L413" i="3"/>
  <c r="N412" i="3"/>
  <c r="M412" i="3"/>
  <c r="L412" i="3"/>
  <c r="N411" i="3"/>
  <c r="M411" i="3"/>
  <c r="L411" i="3"/>
  <c r="N410" i="3"/>
  <c r="M410" i="3"/>
  <c r="L410" i="3"/>
  <c r="N409" i="3"/>
  <c r="M409" i="3"/>
  <c r="L409" i="3"/>
  <c r="N408" i="3"/>
  <c r="M408" i="3"/>
  <c r="L408" i="3"/>
  <c r="N407" i="3"/>
  <c r="M407" i="3"/>
  <c r="L407" i="3"/>
  <c r="N406" i="3"/>
  <c r="M406" i="3"/>
  <c r="L406" i="3"/>
  <c r="N405" i="3"/>
  <c r="M405" i="3"/>
  <c r="L405" i="3"/>
  <c r="N404" i="3"/>
  <c r="M404" i="3"/>
  <c r="L404" i="3"/>
  <c r="N403" i="3"/>
  <c r="M403" i="3"/>
  <c r="L403" i="3"/>
  <c r="N402" i="3"/>
  <c r="M402" i="3"/>
  <c r="L402" i="3"/>
  <c r="N401" i="3"/>
  <c r="M401" i="3"/>
  <c r="L401" i="3"/>
  <c r="N400" i="3"/>
  <c r="M400" i="3"/>
  <c r="L400" i="3"/>
  <c r="N399" i="3"/>
  <c r="M399" i="3"/>
  <c r="L399" i="3"/>
  <c r="N398" i="3"/>
  <c r="M398" i="3"/>
  <c r="L398" i="3"/>
  <c r="N397" i="3"/>
  <c r="M397" i="3"/>
  <c r="L397" i="3"/>
  <c r="N396" i="3"/>
  <c r="M396" i="3"/>
  <c r="L396" i="3"/>
  <c r="N395" i="3"/>
  <c r="M395" i="3"/>
  <c r="L395" i="3"/>
  <c r="N394" i="3"/>
  <c r="M394" i="3"/>
  <c r="L394" i="3"/>
  <c r="N393" i="3"/>
  <c r="M393" i="3"/>
  <c r="L393" i="3"/>
  <c r="N392" i="3"/>
  <c r="M392" i="3"/>
  <c r="L392" i="3"/>
  <c r="N391" i="3"/>
  <c r="M391" i="3"/>
  <c r="L391" i="3"/>
  <c r="N390" i="3"/>
  <c r="M390" i="3"/>
  <c r="L390" i="3"/>
  <c r="N389" i="3"/>
  <c r="M389" i="3"/>
  <c r="L389" i="3"/>
  <c r="N388" i="3"/>
  <c r="M388" i="3"/>
  <c r="L388" i="3"/>
  <c r="N387" i="3"/>
  <c r="M387" i="3"/>
  <c r="L387" i="3"/>
  <c r="N386" i="3"/>
  <c r="M386" i="3"/>
  <c r="L386" i="3"/>
  <c r="N385" i="3"/>
  <c r="M385" i="3"/>
  <c r="L385" i="3"/>
  <c r="N384" i="3"/>
  <c r="M384" i="3"/>
  <c r="L384" i="3"/>
  <c r="N383" i="3"/>
  <c r="M383" i="3"/>
  <c r="L383" i="3"/>
  <c r="N382" i="3"/>
  <c r="M382" i="3"/>
  <c r="L382" i="3"/>
  <c r="N381" i="3"/>
  <c r="M381" i="3"/>
  <c r="L381" i="3"/>
  <c r="N380" i="3"/>
  <c r="M380" i="3"/>
  <c r="L380" i="3"/>
  <c r="N379" i="3"/>
  <c r="M379" i="3"/>
  <c r="L379" i="3"/>
  <c r="N378" i="3"/>
  <c r="M378" i="3"/>
  <c r="L378" i="3"/>
  <c r="N377" i="3"/>
  <c r="M377" i="3"/>
  <c r="L377" i="3"/>
  <c r="N376" i="3"/>
  <c r="M376" i="3"/>
  <c r="L376" i="3"/>
  <c r="N375" i="3"/>
  <c r="M375" i="3"/>
  <c r="L375" i="3"/>
  <c r="N374" i="3"/>
  <c r="M374" i="3"/>
  <c r="L374" i="3"/>
  <c r="N373" i="3"/>
  <c r="M373" i="3"/>
  <c r="L373" i="3"/>
  <c r="N372" i="3"/>
  <c r="M372" i="3"/>
  <c r="L372" i="3"/>
  <c r="N371" i="3"/>
  <c r="M371" i="3"/>
  <c r="L371" i="3"/>
  <c r="N370" i="3"/>
  <c r="M370" i="3"/>
  <c r="L370" i="3"/>
  <c r="N369" i="3"/>
  <c r="M369" i="3"/>
  <c r="L369" i="3"/>
  <c r="N368" i="3"/>
  <c r="M368" i="3"/>
  <c r="L368" i="3"/>
  <c r="N367" i="3"/>
  <c r="M367" i="3"/>
  <c r="L367" i="3"/>
  <c r="N366" i="3"/>
  <c r="M366" i="3"/>
  <c r="L366" i="3"/>
  <c r="N365" i="3"/>
  <c r="M365" i="3"/>
  <c r="L365" i="3"/>
  <c r="N364" i="3"/>
  <c r="M364" i="3"/>
  <c r="L364" i="3"/>
  <c r="N363" i="3"/>
  <c r="M363" i="3"/>
  <c r="L363" i="3"/>
  <c r="N362" i="3"/>
  <c r="M362" i="3"/>
  <c r="L362" i="3"/>
  <c r="N361" i="3"/>
  <c r="M361" i="3"/>
  <c r="L361" i="3"/>
  <c r="N360" i="3"/>
  <c r="M360" i="3"/>
  <c r="L360" i="3"/>
  <c r="N359" i="3"/>
  <c r="M359" i="3"/>
  <c r="L359" i="3"/>
  <c r="N358" i="3"/>
  <c r="M358" i="3"/>
  <c r="L358" i="3"/>
  <c r="N357" i="3"/>
  <c r="M357" i="3"/>
  <c r="L357" i="3"/>
  <c r="N356" i="3"/>
  <c r="M356" i="3"/>
  <c r="L356" i="3"/>
  <c r="N355" i="3"/>
  <c r="M355" i="3"/>
  <c r="L355" i="3"/>
  <c r="N354" i="3"/>
  <c r="M354" i="3"/>
  <c r="L354" i="3"/>
  <c r="N353" i="3"/>
  <c r="M353" i="3"/>
  <c r="L353" i="3"/>
  <c r="N352" i="3"/>
  <c r="M352" i="3"/>
  <c r="L352" i="3"/>
  <c r="N351" i="3"/>
  <c r="M351" i="3"/>
  <c r="L351" i="3"/>
  <c r="N350" i="3"/>
  <c r="M350" i="3"/>
  <c r="L350" i="3"/>
  <c r="N349" i="3"/>
  <c r="M349" i="3"/>
  <c r="L349" i="3"/>
  <c r="N348" i="3"/>
  <c r="M348" i="3"/>
  <c r="L348" i="3"/>
  <c r="N347" i="3"/>
  <c r="M347" i="3"/>
  <c r="L347" i="3"/>
  <c r="N346" i="3"/>
  <c r="M346" i="3"/>
  <c r="L346" i="3"/>
  <c r="N345" i="3"/>
  <c r="M345" i="3"/>
  <c r="L345" i="3"/>
  <c r="N344" i="3"/>
  <c r="M344" i="3"/>
  <c r="L344" i="3"/>
  <c r="N343" i="3"/>
  <c r="M343" i="3"/>
  <c r="L343" i="3"/>
  <c r="N342" i="3"/>
  <c r="M342" i="3"/>
  <c r="L342" i="3"/>
  <c r="N341" i="3"/>
  <c r="M341" i="3"/>
  <c r="L341" i="3"/>
  <c r="N340" i="3"/>
  <c r="M340" i="3"/>
  <c r="L340" i="3"/>
  <c r="N339" i="3"/>
  <c r="M339" i="3"/>
  <c r="L339" i="3"/>
  <c r="N338" i="3"/>
  <c r="M338" i="3"/>
  <c r="L338" i="3"/>
  <c r="N337" i="3"/>
  <c r="M337" i="3"/>
  <c r="L337" i="3"/>
  <c r="N336" i="3"/>
  <c r="M336" i="3"/>
  <c r="L336" i="3"/>
  <c r="N335" i="3"/>
  <c r="M335" i="3"/>
  <c r="L335" i="3"/>
  <c r="N334" i="3"/>
  <c r="M334" i="3"/>
  <c r="L334" i="3"/>
  <c r="N333" i="3"/>
  <c r="M333" i="3"/>
  <c r="L333" i="3"/>
  <c r="N332" i="3"/>
  <c r="M332" i="3"/>
  <c r="L332" i="3"/>
  <c r="N331" i="3"/>
  <c r="M331" i="3"/>
  <c r="L331" i="3"/>
  <c r="N330" i="3"/>
  <c r="M330" i="3"/>
  <c r="L330" i="3"/>
  <c r="N329" i="3"/>
  <c r="M329" i="3"/>
  <c r="L329" i="3"/>
  <c r="N328" i="3"/>
  <c r="M328" i="3"/>
  <c r="L328" i="3"/>
  <c r="N327" i="3"/>
  <c r="M327" i="3"/>
  <c r="L327" i="3"/>
  <c r="N326" i="3"/>
  <c r="M326" i="3"/>
  <c r="L326" i="3"/>
  <c r="N325" i="3"/>
  <c r="M325" i="3"/>
  <c r="L325" i="3"/>
  <c r="N324" i="3"/>
  <c r="M324" i="3"/>
  <c r="L324" i="3"/>
  <c r="N323" i="3"/>
  <c r="M323" i="3"/>
  <c r="L323" i="3"/>
  <c r="N322" i="3"/>
  <c r="M322" i="3"/>
  <c r="L322" i="3"/>
  <c r="N321" i="3"/>
  <c r="M321" i="3"/>
  <c r="L321" i="3"/>
  <c r="N320" i="3"/>
  <c r="M320" i="3"/>
  <c r="L320" i="3"/>
  <c r="N319" i="3"/>
  <c r="M319" i="3"/>
  <c r="L319" i="3"/>
  <c r="N318" i="3"/>
  <c r="M318" i="3"/>
  <c r="L318" i="3"/>
  <c r="N317" i="3"/>
  <c r="M317" i="3"/>
  <c r="L317" i="3"/>
  <c r="N316" i="3"/>
  <c r="M316" i="3"/>
  <c r="L316" i="3"/>
  <c r="N315" i="3"/>
  <c r="M315" i="3"/>
  <c r="L315" i="3"/>
  <c r="N314" i="3"/>
  <c r="M314" i="3"/>
  <c r="L314" i="3"/>
  <c r="N313" i="3"/>
  <c r="M313" i="3"/>
  <c r="L313" i="3"/>
  <c r="N312" i="3"/>
  <c r="M312" i="3"/>
  <c r="L312" i="3"/>
  <c r="N311" i="3"/>
  <c r="M311" i="3"/>
  <c r="L311" i="3"/>
  <c r="N310" i="3"/>
  <c r="M310" i="3"/>
  <c r="L310" i="3"/>
  <c r="N309" i="3"/>
  <c r="M309" i="3"/>
  <c r="L309" i="3"/>
  <c r="N308" i="3"/>
  <c r="M308" i="3"/>
  <c r="L308" i="3"/>
  <c r="N307" i="3"/>
  <c r="M307" i="3"/>
  <c r="L307" i="3"/>
  <c r="N306" i="3"/>
  <c r="M306" i="3"/>
  <c r="L306" i="3"/>
  <c r="N305" i="3"/>
  <c r="M305" i="3"/>
  <c r="L305" i="3"/>
  <c r="N304" i="3"/>
  <c r="M304" i="3"/>
  <c r="L304" i="3"/>
  <c r="N303" i="3"/>
  <c r="M303" i="3"/>
  <c r="L303" i="3"/>
  <c r="N302" i="3"/>
  <c r="M302" i="3"/>
  <c r="L302" i="3"/>
  <c r="N301" i="3"/>
  <c r="M301" i="3"/>
  <c r="L301" i="3"/>
  <c r="N300" i="3"/>
  <c r="M300" i="3"/>
  <c r="L300" i="3"/>
  <c r="N299" i="3"/>
  <c r="M299" i="3"/>
  <c r="L299" i="3"/>
  <c r="N298" i="3"/>
  <c r="M298" i="3"/>
  <c r="L298" i="3"/>
  <c r="N297" i="3"/>
  <c r="M297" i="3"/>
  <c r="L297" i="3"/>
  <c r="N296" i="3"/>
  <c r="M296" i="3"/>
  <c r="L296" i="3"/>
  <c r="N295" i="3"/>
  <c r="M295" i="3"/>
  <c r="L295" i="3"/>
  <c r="N294" i="3"/>
  <c r="M294" i="3"/>
  <c r="L294" i="3"/>
  <c r="N293" i="3"/>
  <c r="M293" i="3"/>
  <c r="L293" i="3"/>
  <c r="N292" i="3"/>
  <c r="M292" i="3"/>
  <c r="L292" i="3"/>
  <c r="N291" i="3"/>
  <c r="M291" i="3"/>
  <c r="L291" i="3"/>
  <c r="N290" i="3"/>
  <c r="M290" i="3"/>
  <c r="L290" i="3"/>
  <c r="N289" i="3"/>
  <c r="M289" i="3"/>
  <c r="L289" i="3"/>
  <c r="N288" i="3"/>
  <c r="M288" i="3"/>
  <c r="L288" i="3"/>
  <c r="N287" i="3"/>
  <c r="M287" i="3"/>
  <c r="L287" i="3"/>
  <c r="N286" i="3"/>
  <c r="M286" i="3"/>
  <c r="L286" i="3"/>
  <c r="N285" i="3"/>
  <c r="M285" i="3"/>
  <c r="L285" i="3"/>
  <c r="N284" i="3"/>
  <c r="M284" i="3"/>
  <c r="L284" i="3"/>
  <c r="N283" i="3"/>
  <c r="M283" i="3"/>
  <c r="L283" i="3"/>
  <c r="N282" i="3"/>
  <c r="M282" i="3"/>
  <c r="L282" i="3"/>
  <c r="N281" i="3"/>
  <c r="M281" i="3"/>
  <c r="L281" i="3"/>
  <c r="N280" i="3"/>
  <c r="M280" i="3"/>
  <c r="L280" i="3"/>
  <c r="N279" i="3"/>
  <c r="M279" i="3"/>
  <c r="L279" i="3"/>
  <c r="N278" i="3"/>
  <c r="M278" i="3"/>
  <c r="L278" i="3"/>
  <c r="N277" i="3"/>
  <c r="M277" i="3"/>
  <c r="L277" i="3"/>
  <c r="N276" i="3"/>
  <c r="M276" i="3"/>
  <c r="L276" i="3"/>
  <c r="N275" i="3"/>
  <c r="M275" i="3"/>
  <c r="L275" i="3"/>
  <c r="N274" i="3"/>
  <c r="M274" i="3"/>
  <c r="L274" i="3"/>
  <c r="N273" i="3"/>
  <c r="M273" i="3"/>
  <c r="L273" i="3"/>
  <c r="N272" i="3"/>
  <c r="M272" i="3"/>
  <c r="L272" i="3"/>
  <c r="N271" i="3"/>
  <c r="M271" i="3"/>
  <c r="L271" i="3"/>
  <c r="N270" i="3"/>
  <c r="M270" i="3"/>
  <c r="L270" i="3"/>
  <c r="N269" i="3"/>
  <c r="M269" i="3"/>
  <c r="L269" i="3"/>
  <c r="N268" i="3"/>
  <c r="M268" i="3"/>
  <c r="L268" i="3"/>
  <c r="N267" i="3"/>
  <c r="M267" i="3"/>
  <c r="L267" i="3"/>
  <c r="N266" i="3"/>
  <c r="M266" i="3"/>
  <c r="L266" i="3"/>
  <c r="N265" i="3"/>
  <c r="M265" i="3"/>
  <c r="L265" i="3"/>
  <c r="N264" i="3"/>
  <c r="M264" i="3"/>
  <c r="L264" i="3"/>
  <c r="N263" i="3"/>
  <c r="M263" i="3"/>
  <c r="L263" i="3"/>
  <c r="N262" i="3"/>
  <c r="M262" i="3"/>
  <c r="L262" i="3"/>
  <c r="N261" i="3"/>
  <c r="M261" i="3"/>
  <c r="L261" i="3"/>
  <c r="N260" i="3"/>
  <c r="M260" i="3"/>
  <c r="L260" i="3"/>
  <c r="N259" i="3"/>
  <c r="M259" i="3"/>
  <c r="L259" i="3"/>
  <c r="N258" i="3"/>
  <c r="M258" i="3"/>
  <c r="L258" i="3"/>
  <c r="N257" i="3"/>
  <c r="M257" i="3"/>
  <c r="L257" i="3"/>
  <c r="N256" i="3"/>
  <c r="M256" i="3"/>
  <c r="L256" i="3"/>
  <c r="N255" i="3"/>
  <c r="M255" i="3"/>
  <c r="L255" i="3"/>
  <c r="N254" i="3"/>
  <c r="M254" i="3"/>
  <c r="L254" i="3"/>
  <c r="N253" i="3"/>
  <c r="M253" i="3"/>
  <c r="L253" i="3"/>
  <c r="N252" i="3"/>
  <c r="M252" i="3"/>
  <c r="L252" i="3"/>
  <c r="N251" i="3"/>
  <c r="M251" i="3"/>
  <c r="L251" i="3"/>
  <c r="N250" i="3"/>
  <c r="M250" i="3"/>
  <c r="L250" i="3"/>
  <c r="N249" i="3"/>
  <c r="M249" i="3"/>
  <c r="L249" i="3"/>
  <c r="N248" i="3"/>
  <c r="M248" i="3"/>
  <c r="L248" i="3"/>
  <c r="N247" i="3"/>
  <c r="M247" i="3"/>
  <c r="L247" i="3"/>
  <c r="N246" i="3"/>
  <c r="M246" i="3"/>
  <c r="L246" i="3"/>
  <c r="N245" i="3"/>
  <c r="M245" i="3"/>
  <c r="L245" i="3"/>
  <c r="N244" i="3"/>
  <c r="M244" i="3"/>
  <c r="L244" i="3"/>
  <c r="N243" i="3"/>
  <c r="M243" i="3"/>
  <c r="L243" i="3"/>
  <c r="N242" i="3"/>
  <c r="M242" i="3"/>
  <c r="L242" i="3"/>
  <c r="N241" i="3"/>
  <c r="M241" i="3"/>
  <c r="L241" i="3"/>
  <c r="N240" i="3"/>
  <c r="M240" i="3"/>
  <c r="L240" i="3"/>
  <c r="N239" i="3"/>
  <c r="M239" i="3"/>
  <c r="L239" i="3"/>
  <c r="N238" i="3"/>
  <c r="M238" i="3"/>
  <c r="L238" i="3"/>
  <c r="N237" i="3"/>
  <c r="M237" i="3"/>
  <c r="L237" i="3"/>
  <c r="N236" i="3"/>
  <c r="M236" i="3"/>
  <c r="L236" i="3"/>
  <c r="N235" i="3"/>
  <c r="M235" i="3"/>
  <c r="L235" i="3"/>
  <c r="N234" i="3"/>
  <c r="M234" i="3"/>
  <c r="L234" i="3"/>
  <c r="N233" i="3"/>
  <c r="M233" i="3"/>
  <c r="L233" i="3"/>
  <c r="N232" i="3"/>
  <c r="M232" i="3"/>
  <c r="L232" i="3"/>
  <c r="N231" i="3"/>
  <c r="M231" i="3"/>
  <c r="L231" i="3"/>
  <c r="N230" i="3"/>
  <c r="M230" i="3"/>
  <c r="L230" i="3"/>
  <c r="N229" i="3"/>
  <c r="M229" i="3"/>
  <c r="L229" i="3"/>
  <c r="N228" i="3"/>
  <c r="M228" i="3"/>
  <c r="L228" i="3"/>
  <c r="N227" i="3"/>
  <c r="M227" i="3"/>
  <c r="L227" i="3"/>
  <c r="N226" i="3"/>
  <c r="M226" i="3"/>
  <c r="L226" i="3"/>
  <c r="N225" i="3"/>
  <c r="M225" i="3"/>
  <c r="L225" i="3"/>
  <c r="N224" i="3"/>
  <c r="M224" i="3"/>
  <c r="L224" i="3"/>
  <c r="N223" i="3"/>
  <c r="M223" i="3"/>
  <c r="L223" i="3"/>
  <c r="N222" i="3"/>
  <c r="M222" i="3"/>
  <c r="L222" i="3"/>
  <c r="N221" i="3"/>
  <c r="M221" i="3"/>
  <c r="L221" i="3"/>
  <c r="N220" i="3"/>
  <c r="M220" i="3"/>
  <c r="L220" i="3"/>
  <c r="N219" i="3"/>
  <c r="M219" i="3"/>
  <c r="L219" i="3"/>
  <c r="N218" i="3"/>
  <c r="M218" i="3"/>
  <c r="L218" i="3"/>
  <c r="N217" i="3"/>
  <c r="M217" i="3"/>
  <c r="L217" i="3"/>
  <c r="N216" i="3"/>
  <c r="M216" i="3"/>
  <c r="L216" i="3"/>
  <c r="N215" i="3"/>
  <c r="M215" i="3"/>
  <c r="L215" i="3"/>
  <c r="N214" i="3"/>
  <c r="M214" i="3"/>
  <c r="L214" i="3"/>
  <c r="N213" i="3"/>
  <c r="M213" i="3"/>
  <c r="L213" i="3"/>
  <c r="N212" i="3"/>
  <c r="M212" i="3"/>
  <c r="L212" i="3"/>
  <c r="N211" i="3"/>
  <c r="M211" i="3"/>
  <c r="L211" i="3"/>
  <c r="N210" i="3"/>
  <c r="M210" i="3"/>
  <c r="L210" i="3"/>
  <c r="N209" i="3"/>
  <c r="M209" i="3"/>
  <c r="L209" i="3"/>
  <c r="N208" i="3"/>
  <c r="M208" i="3"/>
  <c r="L208" i="3"/>
  <c r="N207" i="3"/>
  <c r="M207" i="3"/>
  <c r="L207" i="3"/>
  <c r="N206" i="3"/>
  <c r="M206" i="3"/>
  <c r="L206" i="3"/>
  <c r="N205" i="3"/>
  <c r="M205" i="3"/>
  <c r="L205" i="3"/>
  <c r="N204" i="3"/>
  <c r="M204" i="3"/>
  <c r="L204" i="3"/>
  <c r="N203" i="3"/>
  <c r="M203" i="3"/>
  <c r="L203" i="3"/>
  <c r="N202" i="3"/>
  <c r="M202" i="3"/>
  <c r="L202" i="3"/>
  <c r="N201" i="3"/>
  <c r="M201" i="3"/>
  <c r="L201" i="3"/>
  <c r="N200" i="3"/>
  <c r="M200" i="3"/>
  <c r="L200" i="3"/>
  <c r="N199" i="3"/>
  <c r="M199" i="3"/>
  <c r="L199" i="3"/>
  <c r="N198" i="3"/>
  <c r="M198" i="3"/>
  <c r="L198" i="3"/>
  <c r="N197" i="3"/>
  <c r="M197" i="3"/>
  <c r="L197" i="3"/>
  <c r="N196" i="3"/>
  <c r="M196" i="3"/>
  <c r="L196" i="3"/>
  <c r="N195" i="3"/>
  <c r="M195" i="3"/>
  <c r="L195" i="3"/>
  <c r="N194" i="3"/>
  <c r="M194" i="3"/>
  <c r="L194" i="3"/>
  <c r="N193" i="3"/>
  <c r="M193" i="3"/>
  <c r="L193" i="3"/>
  <c r="N192" i="3"/>
  <c r="M192" i="3"/>
  <c r="L192" i="3"/>
  <c r="N191" i="3"/>
  <c r="M191" i="3"/>
  <c r="L191" i="3"/>
  <c r="N190" i="3"/>
  <c r="M190" i="3"/>
  <c r="L190" i="3"/>
  <c r="N189" i="3"/>
  <c r="M189" i="3"/>
  <c r="L189" i="3"/>
  <c r="N188" i="3"/>
  <c r="M188" i="3"/>
  <c r="L188" i="3"/>
  <c r="N187" i="3"/>
  <c r="M187" i="3"/>
  <c r="L187" i="3"/>
  <c r="N186" i="3"/>
  <c r="M186" i="3"/>
  <c r="L186" i="3"/>
  <c r="N185" i="3"/>
  <c r="M185" i="3"/>
  <c r="L185" i="3"/>
  <c r="N184" i="3"/>
  <c r="M184" i="3"/>
  <c r="L184" i="3"/>
  <c r="N183" i="3"/>
  <c r="M183" i="3"/>
  <c r="L183" i="3"/>
  <c r="N182" i="3"/>
  <c r="M182" i="3"/>
  <c r="L182" i="3"/>
  <c r="N181" i="3"/>
  <c r="M181" i="3"/>
  <c r="L181" i="3"/>
  <c r="N180" i="3"/>
  <c r="M180" i="3"/>
  <c r="L180" i="3"/>
  <c r="N179" i="3"/>
  <c r="M179" i="3"/>
  <c r="L179" i="3"/>
  <c r="N178" i="3"/>
  <c r="M178" i="3"/>
  <c r="L178" i="3"/>
  <c r="N177" i="3"/>
  <c r="M177" i="3"/>
  <c r="L177" i="3"/>
  <c r="N176" i="3"/>
  <c r="M176" i="3"/>
  <c r="L176" i="3"/>
  <c r="N175" i="3"/>
  <c r="M175" i="3"/>
  <c r="L175" i="3"/>
  <c r="N174" i="3"/>
  <c r="M174" i="3"/>
  <c r="L174" i="3"/>
  <c r="N173" i="3"/>
  <c r="M173" i="3"/>
  <c r="L173" i="3"/>
  <c r="N172" i="3"/>
  <c r="M172" i="3"/>
  <c r="L172" i="3"/>
  <c r="N171" i="3"/>
  <c r="M171" i="3"/>
  <c r="L171" i="3"/>
  <c r="N170" i="3"/>
  <c r="M170" i="3"/>
  <c r="L170" i="3"/>
  <c r="N169" i="3"/>
  <c r="M169" i="3"/>
  <c r="L169" i="3"/>
  <c r="N168" i="3"/>
  <c r="M168" i="3"/>
  <c r="L168" i="3"/>
  <c r="N167" i="3"/>
  <c r="M167" i="3"/>
  <c r="L167" i="3"/>
  <c r="N166" i="3"/>
  <c r="M166" i="3"/>
  <c r="L166" i="3"/>
  <c r="N165" i="3"/>
  <c r="M165" i="3"/>
  <c r="L165" i="3"/>
  <c r="N164" i="3"/>
  <c r="M164" i="3"/>
  <c r="L164" i="3"/>
  <c r="N163" i="3"/>
  <c r="M163" i="3"/>
  <c r="L163" i="3"/>
  <c r="N162" i="3"/>
  <c r="M162" i="3"/>
  <c r="L162" i="3"/>
  <c r="N161" i="3"/>
  <c r="M161" i="3"/>
  <c r="L161" i="3"/>
  <c r="N160" i="3"/>
  <c r="M160" i="3"/>
  <c r="L160" i="3"/>
  <c r="N159" i="3"/>
  <c r="M159" i="3"/>
  <c r="L159" i="3"/>
  <c r="N158" i="3"/>
  <c r="M158" i="3"/>
  <c r="L158" i="3"/>
  <c r="N157" i="3"/>
  <c r="M157" i="3"/>
  <c r="L157" i="3"/>
  <c r="N156" i="3"/>
  <c r="M156" i="3"/>
  <c r="L156" i="3"/>
  <c r="N155" i="3"/>
  <c r="M155" i="3"/>
  <c r="L155" i="3"/>
  <c r="N154" i="3"/>
  <c r="M154" i="3"/>
  <c r="L154" i="3"/>
  <c r="N153" i="3"/>
  <c r="M153" i="3"/>
  <c r="L153" i="3"/>
  <c r="N152" i="3"/>
  <c r="M152" i="3"/>
  <c r="L152" i="3"/>
  <c r="N151" i="3"/>
  <c r="M151" i="3"/>
  <c r="L151" i="3"/>
  <c r="N150" i="3"/>
  <c r="M150" i="3"/>
  <c r="L150" i="3"/>
  <c r="N149" i="3"/>
  <c r="M149" i="3"/>
  <c r="L149" i="3"/>
  <c r="N148" i="3"/>
  <c r="M148" i="3"/>
  <c r="L148" i="3"/>
  <c r="N147" i="3"/>
  <c r="M147" i="3"/>
  <c r="L147" i="3"/>
  <c r="N146" i="3"/>
  <c r="M146" i="3"/>
  <c r="L146" i="3"/>
  <c r="N145" i="3"/>
  <c r="M145" i="3"/>
  <c r="L145" i="3"/>
  <c r="N144" i="3"/>
  <c r="M144" i="3"/>
  <c r="L144" i="3"/>
  <c r="N143" i="3"/>
  <c r="M143" i="3"/>
  <c r="L143" i="3"/>
  <c r="N142" i="3"/>
  <c r="M142" i="3"/>
  <c r="L142" i="3"/>
  <c r="N141" i="3"/>
  <c r="M141" i="3"/>
  <c r="L141" i="3"/>
  <c r="N140" i="3"/>
  <c r="M140" i="3"/>
  <c r="L140" i="3"/>
  <c r="N139" i="3"/>
  <c r="M139" i="3"/>
  <c r="L139" i="3"/>
  <c r="N138" i="3"/>
  <c r="M138" i="3"/>
  <c r="L138" i="3"/>
  <c r="N137" i="3"/>
  <c r="M137" i="3"/>
  <c r="L137" i="3"/>
  <c r="N136" i="3"/>
  <c r="M136" i="3"/>
  <c r="L136" i="3"/>
  <c r="N135" i="3"/>
  <c r="M135" i="3"/>
  <c r="L135" i="3"/>
  <c r="N134" i="3"/>
  <c r="M134" i="3"/>
  <c r="L134" i="3"/>
  <c r="N133" i="3"/>
  <c r="M133" i="3"/>
  <c r="L133" i="3"/>
  <c r="N132" i="3"/>
  <c r="M132" i="3"/>
  <c r="L132" i="3"/>
  <c r="N131" i="3"/>
  <c r="M131" i="3"/>
  <c r="L131" i="3"/>
  <c r="N130" i="3"/>
  <c r="M130" i="3"/>
  <c r="L130" i="3"/>
  <c r="N129" i="3"/>
  <c r="M129" i="3"/>
  <c r="L129" i="3"/>
  <c r="N128" i="3"/>
  <c r="M128" i="3"/>
  <c r="L128" i="3"/>
  <c r="N127" i="3"/>
  <c r="M127" i="3"/>
  <c r="L127" i="3"/>
  <c r="N126" i="3"/>
  <c r="M126" i="3"/>
  <c r="L126" i="3"/>
  <c r="N125" i="3"/>
  <c r="M125" i="3"/>
  <c r="L125" i="3"/>
  <c r="N124" i="3"/>
  <c r="M124" i="3"/>
  <c r="L124" i="3"/>
  <c r="N123" i="3"/>
  <c r="M123" i="3"/>
  <c r="L123" i="3"/>
  <c r="N122" i="3"/>
  <c r="M122" i="3"/>
  <c r="L122" i="3"/>
  <c r="N121" i="3"/>
  <c r="M121" i="3"/>
  <c r="L121" i="3"/>
  <c r="N120" i="3"/>
  <c r="M120" i="3"/>
  <c r="L120" i="3"/>
  <c r="N119" i="3"/>
  <c r="M119" i="3"/>
  <c r="L119" i="3"/>
  <c r="N118" i="3"/>
  <c r="M118" i="3"/>
  <c r="L118" i="3"/>
  <c r="N117" i="3"/>
  <c r="M117" i="3"/>
  <c r="L117" i="3"/>
  <c r="N116" i="3"/>
  <c r="M116" i="3"/>
  <c r="L116" i="3"/>
  <c r="N115" i="3"/>
  <c r="M115" i="3"/>
  <c r="L115" i="3"/>
  <c r="N114" i="3"/>
  <c r="M114" i="3"/>
  <c r="L114" i="3"/>
  <c r="N113" i="3"/>
  <c r="M113" i="3"/>
  <c r="L113" i="3"/>
  <c r="N112" i="3"/>
  <c r="M112" i="3"/>
  <c r="L112" i="3"/>
  <c r="N111" i="3"/>
  <c r="M111" i="3"/>
  <c r="L111" i="3"/>
  <c r="N110" i="3"/>
  <c r="M110" i="3"/>
  <c r="L110" i="3"/>
  <c r="N109" i="3"/>
  <c r="M109" i="3"/>
  <c r="L109" i="3"/>
  <c r="N108" i="3"/>
  <c r="M108" i="3"/>
  <c r="L108" i="3"/>
  <c r="N107" i="3"/>
  <c r="M107" i="3"/>
  <c r="L107" i="3"/>
  <c r="N106" i="3"/>
  <c r="M106" i="3"/>
  <c r="L106" i="3"/>
  <c r="N105" i="3"/>
  <c r="M105" i="3"/>
  <c r="L105" i="3"/>
  <c r="N104" i="3"/>
  <c r="M104" i="3"/>
  <c r="L104" i="3"/>
  <c r="N103" i="3"/>
  <c r="M103" i="3"/>
  <c r="L103" i="3"/>
  <c r="N102" i="3"/>
  <c r="M102" i="3"/>
  <c r="L102" i="3"/>
  <c r="N101" i="3"/>
  <c r="M101" i="3"/>
  <c r="L101" i="3"/>
  <c r="N100" i="3"/>
  <c r="M100" i="3"/>
  <c r="L100" i="3"/>
  <c r="N99" i="3"/>
  <c r="M99" i="3"/>
  <c r="L99" i="3"/>
  <c r="N98" i="3"/>
  <c r="M98" i="3"/>
  <c r="L98" i="3"/>
  <c r="N97" i="3"/>
  <c r="M97" i="3"/>
  <c r="L97" i="3"/>
  <c r="N96" i="3"/>
  <c r="M96" i="3"/>
  <c r="L96" i="3"/>
  <c r="N95" i="3"/>
  <c r="M95" i="3"/>
  <c r="L95" i="3"/>
  <c r="N94" i="3"/>
  <c r="M94" i="3"/>
  <c r="L94" i="3"/>
  <c r="N93" i="3"/>
  <c r="M93" i="3"/>
  <c r="L93" i="3"/>
  <c r="N92" i="3"/>
  <c r="M92" i="3"/>
  <c r="L92" i="3"/>
  <c r="N91" i="3"/>
  <c r="M91" i="3"/>
  <c r="L91" i="3"/>
  <c r="N90" i="3"/>
  <c r="M90" i="3"/>
  <c r="L90" i="3"/>
  <c r="N89" i="3"/>
  <c r="M89" i="3"/>
  <c r="L89" i="3"/>
  <c r="N88" i="3"/>
  <c r="M88" i="3"/>
  <c r="L88" i="3"/>
  <c r="N87" i="3"/>
  <c r="M87" i="3"/>
  <c r="L87" i="3"/>
  <c r="N86" i="3"/>
  <c r="M86" i="3"/>
  <c r="L86" i="3"/>
  <c r="N85" i="3"/>
  <c r="M85" i="3"/>
  <c r="L85" i="3"/>
  <c r="N84" i="3"/>
  <c r="M84" i="3"/>
  <c r="L84" i="3"/>
  <c r="N83" i="3"/>
  <c r="M83" i="3"/>
  <c r="L83" i="3"/>
  <c r="N82" i="3"/>
  <c r="M82" i="3"/>
  <c r="L82" i="3"/>
  <c r="N81" i="3"/>
  <c r="M81" i="3"/>
  <c r="L81" i="3"/>
  <c r="N80" i="3"/>
  <c r="M80" i="3"/>
  <c r="L80" i="3"/>
  <c r="N79" i="3"/>
  <c r="M79" i="3"/>
  <c r="L79" i="3"/>
  <c r="N78" i="3"/>
  <c r="M78" i="3"/>
  <c r="L78" i="3"/>
  <c r="N77" i="3"/>
  <c r="M77" i="3"/>
  <c r="L77" i="3"/>
  <c r="N76" i="3"/>
  <c r="M76" i="3"/>
  <c r="L76" i="3"/>
  <c r="N75" i="3"/>
  <c r="M75" i="3"/>
  <c r="L75" i="3"/>
  <c r="N74" i="3"/>
  <c r="M74" i="3"/>
  <c r="L74" i="3"/>
  <c r="N73" i="3"/>
  <c r="M73" i="3"/>
  <c r="L73" i="3"/>
  <c r="N72" i="3"/>
  <c r="M72" i="3"/>
  <c r="L72" i="3"/>
  <c r="N71" i="3"/>
  <c r="M71" i="3"/>
  <c r="L71" i="3"/>
  <c r="N70" i="3"/>
  <c r="M70" i="3"/>
  <c r="L70" i="3"/>
  <c r="N69" i="3"/>
  <c r="M69" i="3"/>
  <c r="L69" i="3"/>
  <c r="N68" i="3"/>
  <c r="M68" i="3"/>
  <c r="L68" i="3"/>
  <c r="N67" i="3"/>
  <c r="M67" i="3"/>
  <c r="L67" i="3"/>
  <c r="N66" i="3"/>
  <c r="M66" i="3"/>
  <c r="L66" i="3"/>
  <c r="N65" i="3"/>
  <c r="M65" i="3"/>
  <c r="L65" i="3"/>
  <c r="N64" i="3"/>
  <c r="M64" i="3"/>
  <c r="L64" i="3"/>
  <c r="N63" i="3"/>
  <c r="M63" i="3"/>
  <c r="L63" i="3"/>
  <c r="N62" i="3"/>
  <c r="M62" i="3"/>
  <c r="L62" i="3"/>
  <c r="N61" i="3"/>
  <c r="M61" i="3"/>
  <c r="L61" i="3"/>
  <c r="N60" i="3"/>
  <c r="M60" i="3"/>
  <c r="L60" i="3"/>
  <c r="N59" i="3"/>
  <c r="M59" i="3"/>
  <c r="L59" i="3"/>
  <c r="N58" i="3"/>
  <c r="M58" i="3"/>
  <c r="L58" i="3"/>
  <c r="N57" i="3"/>
  <c r="M57" i="3"/>
  <c r="L57" i="3"/>
  <c r="N56" i="3"/>
  <c r="M56" i="3"/>
  <c r="L56" i="3"/>
  <c r="N55" i="3"/>
  <c r="M55" i="3"/>
  <c r="L55" i="3"/>
  <c r="N54" i="3"/>
  <c r="M54" i="3"/>
  <c r="L54" i="3"/>
  <c r="N53" i="3"/>
  <c r="M53" i="3"/>
  <c r="L53" i="3"/>
  <c r="N52" i="3"/>
  <c r="M52" i="3"/>
  <c r="L52" i="3"/>
  <c r="N51" i="3"/>
  <c r="M51" i="3"/>
  <c r="L51" i="3"/>
  <c r="N50" i="3"/>
  <c r="M50" i="3"/>
  <c r="L50" i="3"/>
  <c r="N49" i="3"/>
  <c r="M49" i="3"/>
  <c r="L49" i="3"/>
  <c r="N48" i="3"/>
  <c r="M48" i="3"/>
  <c r="L48" i="3"/>
  <c r="N47" i="3"/>
  <c r="M47" i="3"/>
  <c r="L47" i="3"/>
  <c r="N46" i="3"/>
  <c r="M46" i="3"/>
  <c r="L46" i="3"/>
  <c r="N45" i="3"/>
  <c r="M45" i="3"/>
  <c r="L45" i="3"/>
  <c r="N44" i="3"/>
  <c r="M44" i="3"/>
  <c r="L44" i="3"/>
  <c r="N43" i="3"/>
  <c r="M43" i="3"/>
  <c r="L43" i="3"/>
  <c r="N42" i="3"/>
  <c r="M42" i="3"/>
  <c r="L42" i="3"/>
  <c r="N41" i="3"/>
  <c r="M41" i="3"/>
  <c r="L41" i="3"/>
  <c r="N40" i="3"/>
  <c r="M40" i="3"/>
  <c r="L40" i="3"/>
  <c r="N39" i="3"/>
  <c r="M39" i="3"/>
  <c r="L39" i="3"/>
  <c r="N38" i="3"/>
  <c r="M38" i="3"/>
  <c r="L38" i="3"/>
  <c r="N37" i="3"/>
  <c r="M37" i="3"/>
  <c r="L37" i="3"/>
  <c r="N36" i="3"/>
  <c r="M36" i="3"/>
  <c r="L36" i="3"/>
  <c r="N35" i="3"/>
  <c r="M35" i="3"/>
  <c r="L35" i="3"/>
  <c r="N34" i="3"/>
  <c r="M34" i="3"/>
  <c r="L34" i="3"/>
  <c r="N33" i="3"/>
  <c r="M33" i="3"/>
  <c r="L33" i="3"/>
  <c r="N32" i="3"/>
  <c r="M32" i="3"/>
  <c r="L32" i="3"/>
  <c r="N31" i="3"/>
  <c r="M31" i="3"/>
  <c r="L31" i="3"/>
  <c r="N30" i="3"/>
  <c r="M30" i="3"/>
  <c r="L30" i="3"/>
  <c r="N29" i="3"/>
  <c r="M29" i="3"/>
  <c r="L29" i="3"/>
  <c r="N28" i="3"/>
  <c r="M28" i="3"/>
  <c r="L28" i="3"/>
  <c r="N27" i="3"/>
  <c r="M27" i="3"/>
  <c r="L27" i="3"/>
  <c r="N26" i="3"/>
  <c r="M26" i="3"/>
  <c r="L26" i="3"/>
  <c r="N25" i="3"/>
  <c r="M25" i="3"/>
  <c r="L25" i="3"/>
  <c r="N24" i="3"/>
  <c r="M24" i="3"/>
  <c r="L24" i="3"/>
  <c r="N23" i="3"/>
  <c r="M23" i="3"/>
  <c r="L23" i="3"/>
  <c r="N22" i="3"/>
  <c r="M22" i="3"/>
  <c r="L22" i="3"/>
  <c r="N21" i="3"/>
  <c r="M21" i="3"/>
  <c r="L21" i="3"/>
  <c r="N20" i="3"/>
  <c r="M20" i="3"/>
  <c r="L20" i="3"/>
  <c r="N19" i="3"/>
  <c r="M19" i="3"/>
  <c r="L19" i="3"/>
  <c r="N18" i="3"/>
  <c r="M18" i="3"/>
  <c r="L18" i="3"/>
  <c r="N17" i="3"/>
  <c r="M17" i="3"/>
  <c r="L17" i="3"/>
  <c r="N16" i="3"/>
  <c r="M16" i="3"/>
  <c r="L16" i="3"/>
  <c r="N15" i="3"/>
  <c r="M15" i="3"/>
  <c r="L15" i="3"/>
  <c r="N14" i="3"/>
  <c r="M14" i="3"/>
  <c r="L14" i="3"/>
  <c r="N13" i="3"/>
  <c r="M13" i="3"/>
  <c r="L13" i="3"/>
  <c r="N12" i="3"/>
  <c r="M12" i="3"/>
  <c r="L12" i="3"/>
  <c r="N11" i="3"/>
  <c r="M11" i="3"/>
  <c r="L11" i="3"/>
  <c r="N10" i="3"/>
  <c r="M10" i="3"/>
  <c r="L10" i="3"/>
  <c r="N9" i="3"/>
  <c r="M9" i="3"/>
  <c r="L9" i="3"/>
  <c r="N8" i="3"/>
  <c r="M8" i="3"/>
  <c r="L8" i="3"/>
  <c r="N7" i="3"/>
  <c r="M7" i="3"/>
  <c r="L7" i="3"/>
  <c r="N6" i="3"/>
  <c r="M6" i="3"/>
  <c r="L6" i="3"/>
  <c r="N5" i="3"/>
  <c r="M5" i="3"/>
  <c r="L5" i="3"/>
  <c r="N4" i="3"/>
  <c r="M4" i="3"/>
  <c r="L4" i="3"/>
</calcChain>
</file>

<file path=xl/sharedStrings.xml><?xml version="1.0" encoding="utf-8"?>
<sst xmlns="http://schemas.openxmlformats.org/spreadsheetml/2006/main" count="23015" uniqueCount="945">
  <si>
    <t>2026집행실적_102-2_20260801180031440</t>
  </si>
  <si>
    <t>회계연도</t>
  </si>
  <si>
    <t>집행일자</t>
  </si>
  <si>
    <t>시도코드</t>
  </si>
  <si>
    <t>시도명</t>
  </si>
  <si>
    <t>상위청코드</t>
  </si>
  <si>
    <t>상위청명</t>
  </si>
  <si>
    <t>학교급</t>
  </si>
  <si>
    <t>학교급명</t>
  </si>
  <si>
    <t>설립구분</t>
  </si>
  <si>
    <t>설립구분명</t>
  </si>
  <si>
    <t>학교코드</t>
  </si>
  <si>
    <t>학교명</t>
  </si>
  <si>
    <t>정책사업코드</t>
  </si>
  <si>
    <t>정책사업</t>
  </si>
  <si>
    <t>단위사업코드</t>
  </si>
  <si>
    <t>단위사업</t>
  </si>
  <si>
    <t>세부사업코드</t>
  </si>
  <si>
    <t>세부사업</t>
  </si>
  <si>
    <t>세부항목코드</t>
  </si>
  <si>
    <t>세부항목</t>
  </si>
  <si>
    <t>목코드</t>
  </si>
  <si>
    <t>목명</t>
  </si>
  <si>
    <t>세목코드</t>
  </si>
  <si>
    <t>세목명</t>
  </si>
  <si>
    <t>원가통계비목코드</t>
  </si>
  <si>
    <t>원가통계비목명</t>
  </si>
  <si>
    <t>산출내역</t>
  </si>
  <si>
    <t>본예산(1)</t>
  </si>
  <si>
    <t>추경예산액(2)</t>
  </si>
  <si>
    <t>성립전예산액(3)</t>
  </si>
  <si>
    <t>예산액(4)(1+2+3)</t>
  </si>
  <si>
    <t>전년도명시이월액(5)</t>
  </si>
  <si>
    <t>전년도사고이월액(6)</t>
  </si>
  <si>
    <t>전년도계속비이월액(7)</t>
  </si>
  <si>
    <t>예비비증가금액(8)</t>
  </si>
  <si>
    <t>예비비감소금액(9)</t>
  </si>
  <si>
    <t>전용증가금액(10)</t>
  </si>
  <si>
    <t>전용감소금액(11)</t>
  </si>
  <si>
    <t>이용증가금액(12)</t>
  </si>
  <si>
    <t>이용감소금액(13)</t>
  </si>
  <si>
    <t>반환증가금액(14)</t>
  </si>
  <si>
    <t>반환감소금액(15)</t>
  </si>
  <si>
    <t>예산현액(16)(4+5+6+7+8+9+10+11+12+13+14+15)</t>
  </si>
  <si>
    <t>원인행위금액(17)</t>
  </si>
  <si>
    <t>지출금액(18)</t>
  </si>
  <si>
    <t>다음연도명시이월액(19)</t>
  </si>
  <si>
    <t>다음연도사고이월액(20)</t>
  </si>
  <si>
    <t>다음연도계속비이월액(21)</t>
  </si>
  <si>
    <t>다음연도총이월액(22)(19+20+21)</t>
  </si>
  <si>
    <t>원인행위 불용예상액(16-17-22)</t>
  </si>
  <si>
    <t>지출결의 불용예상액(16-18-22)</t>
  </si>
  <si>
    <t>2026</t>
  </si>
  <si>
    <t>20260801</t>
  </si>
  <si>
    <t>B10</t>
  </si>
  <si>
    <t>서울특별시교육청</t>
  </si>
  <si>
    <t>B100000337</t>
  </si>
  <si>
    <t>서울특별시성동광진교육지원청</t>
  </si>
  <si>
    <t>02</t>
  </si>
  <si>
    <t>초등학교</t>
  </si>
  <si>
    <t>2</t>
  </si>
  <si>
    <t>공립</t>
  </si>
  <si>
    <t>B100002185</t>
  </si>
  <si>
    <t>서울옥정초등학교</t>
  </si>
  <si>
    <t>101</t>
  </si>
  <si>
    <t>인적자원 운용</t>
  </si>
  <si>
    <t>1000000002</t>
  </si>
  <si>
    <t>교직원 복지 및 역량강화</t>
  </si>
  <si>
    <t>A010020001</t>
  </si>
  <si>
    <t>교직원역량강화</t>
  </si>
  <si>
    <t>E0004</t>
  </si>
  <si>
    <t>자율연수</t>
  </si>
  <si>
    <t>학교운영비</t>
  </si>
  <si>
    <t>B1001</t>
  </si>
  <si>
    <t>일반운영비</t>
  </si>
  <si>
    <t>B100101</t>
  </si>
  <si>
    <t>일반수용비</t>
  </si>
  <si>
    <t>워크숍운영비</t>
  </si>
  <si>
    <t>B100102</t>
  </si>
  <si>
    <t>운영수당</t>
  </si>
  <si>
    <t>교원연수지원</t>
  </si>
  <si>
    <t>B100112</t>
  </si>
  <si>
    <t>교직원복지비</t>
  </si>
  <si>
    <t>교원 자비부담연수지원</t>
  </si>
  <si>
    <t>일반직공무원 자기개발비 지원</t>
  </si>
  <si>
    <t xml:space="preserve">교육공무직 연수비 </t>
  </si>
  <si>
    <t>B20</t>
  </si>
  <si>
    <t>업무추진비</t>
  </si>
  <si>
    <t>B2001</t>
  </si>
  <si>
    <t>일반업무추진비</t>
  </si>
  <si>
    <t>B200101</t>
  </si>
  <si>
    <t>부장워크숍 협의회비</t>
  </si>
  <si>
    <t>E0007</t>
  </si>
  <si>
    <t>교원학습공동체</t>
  </si>
  <si>
    <t>B1002</t>
  </si>
  <si>
    <t>교육운영비</t>
  </si>
  <si>
    <t>B100201</t>
  </si>
  <si>
    <t>(통합)교원학습공동체지원도서및자료구입</t>
  </si>
  <si>
    <t>(통합)교원학습공동체지원협의회비</t>
  </si>
  <si>
    <t>E0008</t>
  </si>
  <si>
    <t>학교자치활성화</t>
  </si>
  <si>
    <t>(통합)학교자치활성화지원</t>
  </si>
  <si>
    <t>S0001</t>
  </si>
  <si>
    <t>(목)수석-신규교사이음멘토링운영비</t>
  </si>
  <si>
    <t>(목)자료,도서 구입 및 운영비</t>
  </si>
  <si>
    <t>B200103</t>
  </si>
  <si>
    <t>목적사업업무추진비</t>
  </si>
  <si>
    <t>(목)협의회비</t>
  </si>
  <si>
    <t>A010020002</t>
  </si>
  <si>
    <t>교직원복지</t>
  </si>
  <si>
    <t>교직원맞춤형복지비</t>
  </si>
  <si>
    <t>B100111</t>
  </si>
  <si>
    <t>맞춤형복지비</t>
  </si>
  <si>
    <t>(목)시간제돌봄전담사 맞춤형복지비</t>
  </si>
  <si>
    <t>(목)2026년 교육공무직원 맞춤형복지 전통시장(온누리)상품권</t>
  </si>
  <si>
    <t>(목)2026년도 교원 맞춤형복지 전통시장(온누리) 상품권 구입비</t>
  </si>
  <si>
    <t>(목)2026년도 지방일반직 맞춤형복지 전통시장(온누리) 상품권 구입비</t>
  </si>
  <si>
    <t>(목)2026년도 기간제교원 맞춤형복지 전통시장(온누리) 상품권 구입비</t>
  </si>
  <si>
    <t>1000000039</t>
  </si>
  <si>
    <t>기타 교직원보수</t>
  </si>
  <si>
    <t>A010390001</t>
  </si>
  <si>
    <t>교직원대체인건비</t>
  </si>
  <si>
    <t>(목)계약제교원사업주부담금</t>
  </si>
  <si>
    <t>B1003</t>
  </si>
  <si>
    <t>법정부담금</t>
  </si>
  <si>
    <t>B100303</t>
  </si>
  <si>
    <t>기간제교원법정부담금</t>
  </si>
  <si>
    <t>(목)계약제교원 사업주부담금</t>
  </si>
  <si>
    <t>S0002</t>
  </si>
  <si>
    <t>(목)교육공무직원대체인건비</t>
  </si>
  <si>
    <t>A10</t>
  </si>
  <si>
    <t>인건비</t>
  </si>
  <si>
    <t>A1003</t>
  </si>
  <si>
    <t>기간제근로자보수</t>
  </si>
  <si>
    <t>A100303</t>
  </si>
  <si>
    <t>기간제근로자인건비</t>
  </si>
  <si>
    <t>(목)교육공무직원 대체인건비</t>
  </si>
  <si>
    <t>B100304</t>
  </si>
  <si>
    <t>기간제근로자법정부담금</t>
  </si>
  <si>
    <t>(목)교육공무직원 법정부담금</t>
  </si>
  <si>
    <t>S0003</t>
  </si>
  <si>
    <t>(목)공립교원시간강사수당</t>
  </si>
  <si>
    <t>A100302</t>
  </si>
  <si>
    <t>기간제교원인건비</t>
  </si>
  <si>
    <t>(목)공립교원 시간강사수당</t>
  </si>
  <si>
    <t>(목)공립교원 시간강사 법정부담금</t>
  </si>
  <si>
    <t>S0004</t>
  </si>
  <si>
    <t>(목)계약제교원 퇴직금</t>
  </si>
  <si>
    <t>A010390002</t>
  </si>
  <si>
    <t>기타수당</t>
  </si>
  <si>
    <t>E0002</t>
  </si>
  <si>
    <t>교원연구비</t>
  </si>
  <si>
    <t>(목)2026 수석교사 연구활동비</t>
  </si>
  <si>
    <t>102</t>
  </si>
  <si>
    <t>학생복지/교육격차 해소</t>
  </si>
  <si>
    <t>1000000003</t>
  </si>
  <si>
    <t>급식 관리</t>
  </si>
  <si>
    <t>A020030001</t>
  </si>
  <si>
    <t>학교급식운영</t>
  </si>
  <si>
    <t>E0005</t>
  </si>
  <si>
    <t>급식운영비</t>
  </si>
  <si>
    <t>음식물쓰레기처리용역료</t>
  </si>
  <si>
    <t>급식실청소용역</t>
  </si>
  <si>
    <t>(통합)산업안전보건교육비</t>
  </si>
  <si>
    <t>급식기구수리수선비</t>
  </si>
  <si>
    <t>조리도구구매</t>
  </si>
  <si>
    <t>(통합)급식실환기시설청소용역</t>
  </si>
  <si>
    <t>(목)조리사(배식도우미)인건비</t>
  </si>
  <si>
    <t>연수비및영양교육자료 구매</t>
  </si>
  <si>
    <t>업무협의회비</t>
  </si>
  <si>
    <t>(보조)친환경쌀보조금</t>
  </si>
  <si>
    <t>B100107</t>
  </si>
  <si>
    <t>급식용식재료비</t>
  </si>
  <si>
    <t>(수)급식비</t>
  </si>
  <si>
    <t>(수)교직원 급식 관리비</t>
  </si>
  <si>
    <t>(수)교직원 급식 인건비</t>
  </si>
  <si>
    <t>(수)교직원 급식 식재료비</t>
  </si>
  <si>
    <t>(유치원)급식비</t>
  </si>
  <si>
    <t>(유치원)관리비</t>
  </si>
  <si>
    <t>(유치원)식재료비</t>
  </si>
  <si>
    <t>(유치원)쌀지원금</t>
  </si>
  <si>
    <t>(목)친환경학교급식(식품비+관리비)</t>
  </si>
  <si>
    <t>(목)관리비</t>
  </si>
  <si>
    <t>(목)식품비+우유비</t>
  </si>
  <si>
    <t>(목)NON-GMO지원비</t>
  </si>
  <si>
    <t>S0008</t>
  </si>
  <si>
    <t>(목)저소득층학생 비급식일 중식비</t>
  </si>
  <si>
    <t>B100203</t>
  </si>
  <si>
    <t>학생복지비</t>
  </si>
  <si>
    <t>S0009</t>
  </si>
  <si>
    <t>(목)학교급식환경개선사업(조리기구)</t>
  </si>
  <si>
    <t>C20</t>
  </si>
  <si>
    <t>비품구입비</t>
  </si>
  <si>
    <t>C2001</t>
  </si>
  <si>
    <t>C200101</t>
  </si>
  <si>
    <t>1000000005</t>
  </si>
  <si>
    <t>보건관리</t>
  </si>
  <si>
    <t>A020050001</t>
  </si>
  <si>
    <t>학생및교직원보건안전관리</t>
  </si>
  <si>
    <t>E0001</t>
  </si>
  <si>
    <t>응급학생후송비</t>
  </si>
  <si>
    <t>부상학생응급치료비</t>
  </si>
  <si>
    <t>학생건강검사</t>
  </si>
  <si>
    <t>소변검사(2,3,5,6학년)</t>
  </si>
  <si>
    <t>건강검진(1,4학년)</t>
  </si>
  <si>
    <t>구강검사(1~6학년)</t>
  </si>
  <si>
    <t>E0003</t>
  </si>
  <si>
    <t>보건실운영</t>
  </si>
  <si>
    <t>보건실운영비</t>
  </si>
  <si>
    <t>(코로나)감염병관리물품구입</t>
  </si>
  <si>
    <t xml:space="preserve">자동심장충격기 구입 </t>
  </si>
  <si>
    <t>의무연수강사비</t>
  </si>
  <si>
    <t>교직원결핵검사</t>
  </si>
  <si>
    <t>의료인보수교육비</t>
  </si>
  <si>
    <t>약품및기구구입</t>
  </si>
  <si>
    <t>E0011</t>
  </si>
  <si>
    <t>생활습관질환진단</t>
  </si>
  <si>
    <t>생활습관질환 및 건강체력교실 운영비</t>
  </si>
  <si>
    <t>(보조)치아건강사업</t>
  </si>
  <si>
    <t>(구)1학년칫솔세트</t>
  </si>
  <si>
    <t>[국고](국고)학교흡연예방사업</t>
  </si>
  <si>
    <t>(국고)학교흡연예방교육운영</t>
  </si>
  <si>
    <t>A020050002</t>
  </si>
  <si>
    <t>학교환경위생관리</t>
  </si>
  <si>
    <t>먹는물관리</t>
  </si>
  <si>
    <t>정수기 수질검사비</t>
  </si>
  <si>
    <t xml:space="preserve">정수기 렌탈비 </t>
  </si>
  <si>
    <t>공기질관리</t>
  </si>
  <si>
    <t>공기질 측정</t>
  </si>
  <si>
    <t>1000000006</t>
  </si>
  <si>
    <t>교육격차 해소</t>
  </si>
  <si>
    <t>A020060011</t>
  </si>
  <si>
    <t>기타 교육격차해소 지원</t>
  </si>
  <si>
    <t>(목)초등단위학교기초학력책임지도</t>
  </si>
  <si>
    <t>A1004</t>
  </si>
  <si>
    <t>A100401</t>
  </si>
  <si>
    <t>(목)학습지원담당교원수업시수경감</t>
  </si>
  <si>
    <t>(목)기초학력협력강사수당</t>
  </si>
  <si>
    <t>(목)학습지원대상물품구입비(문제집등)</t>
  </si>
  <si>
    <t>(목)기초학력협력강사보험료</t>
  </si>
  <si>
    <t>(목)지원협의회 운영 협의회비</t>
  </si>
  <si>
    <t>(보조금)학생맞춤서포터즈</t>
  </si>
  <si>
    <t>(보조금)학생맞춤서포터즈 봉사료</t>
  </si>
  <si>
    <t xml:space="preserve">(목)2026 학습튜터 지원금 </t>
  </si>
  <si>
    <t>(목) 2026 학습지원 튜터 강사료</t>
  </si>
  <si>
    <t>1000000040</t>
  </si>
  <si>
    <t>학생복지</t>
  </si>
  <si>
    <t>A020400002</t>
  </si>
  <si>
    <t>교육복지우선</t>
  </si>
  <si>
    <t>교육복지사업 운영비</t>
  </si>
  <si>
    <t>(개별)교육복지학생맞춤형지원</t>
  </si>
  <si>
    <t>(개별)교육복지협의회</t>
  </si>
  <si>
    <t>학생맞춤통합지원 운영</t>
  </si>
  <si>
    <t>(통합)학생지원관련 전문가 자문수당 및 외부강사비</t>
  </si>
  <si>
    <t>(통합)학생맞춤교육 프로그램운영</t>
  </si>
  <si>
    <t>(통합)학생맞춤통합지원경비</t>
  </si>
  <si>
    <t>(통합)학생맞춤통합지원팀협의회</t>
  </si>
  <si>
    <t>(보조금)초등첫걸음,새내기학습준비지원</t>
  </si>
  <si>
    <t>(보조)입학생보조가방지원</t>
  </si>
  <si>
    <t>A020400003</t>
  </si>
  <si>
    <t>학생복지운영</t>
  </si>
  <si>
    <t>졸업앨범제작</t>
  </si>
  <si>
    <t>(자체)졸업앨범추가구매</t>
  </si>
  <si>
    <t>(수)졸업앨범구입</t>
  </si>
  <si>
    <t>103</t>
  </si>
  <si>
    <t>기본적 교육활동</t>
  </si>
  <si>
    <t>1000000009</t>
  </si>
  <si>
    <t>교과 활동</t>
  </si>
  <si>
    <t>A030090001</t>
  </si>
  <si>
    <t>교과활동지원</t>
  </si>
  <si>
    <t>학습준비물지원</t>
  </si>
  <si>
    <t>학습준비물자원봉사자수당</t>
  </si>
  <si>
    <t>B100202</t>
  </si>
  <si>
    <t>학습준비물</t>
  </si>
  <si>
    <t>교수학습자료구매</t>
  </si>
  <si>
    <t>(통합)학습준비물구입</t>
  </si>
  <si>
    <t>(통합)신입생학습준비물구입</t>
  </si>
  <si>
    <t>기초학력지도</t>
  </si>
  <si>
    <t xml:space="preserve">(통합)교육과정 자율운영 영역지원 강사비(5학년) </t>
  </si>
  <si>
    <t>(통합)교육과정 자율운영 영역지원 강사비(6학년)</t>
  </si>
  <si>
    <t>꿈잼 운영 지원(1학년)</t>
  </si>
  <si>
    <t>꿈잼 운영 지원(2학년)</t>
  </si>
  <si>
    <t>(통합)학생참여형수업지원(꿈실)(3학년)</t>
  </si>
  <si>
    <t>(통합)학생참여형수업지원(꿈실)(4학년)</t>
  </si>
  <si>
    <t>(통합)학생참여형수업지원(꿈실)(5학년)</t>
  </si>
  <si>
    <t>(통합)학생참여형수업지원(꿈실)(6학년)</t>
  </si>
  <si>
    <t>(통합)학생참여형수업지원(꿈실)(교과)</t>
  </si>
  <si>
    <t>(통합)교육과정 자율운영 영역 지원(1학년)</t>
  </si>
  <si>
    <t>(통합)교육과정 자율운영 영역 지원(2학년)</t>
  </si>
  <si>
    <t>(통합)교육과정 자율운영 영역 지원(3학년)</t>
  </si>
  <si>
    <t>(통합)교육과정 자율운영 영역 지원(4학년)</t>
  </si>
  <si>
    <t>(통합)교육과정 자율운영 영역 지원(5학년)</t>
  </si>
  <si>
    <t>(통합)교육과정 자율운영 영역 지원(6학년)</t>
  </si>
  <si>
    <t>교과협의회운영</t>
  </si>
  <si>
    <t>교육과정운영협의회(신학기집중기간)</t>
  </si>
  <si>
    <t>동료장학협의회</t>
  </si>
  <si>
    <t>자율장학협의회</t>
  </si>
  <si>
    <t>학년별,부서별협의회</t>
  </si>
  <si>
    <t>교육실습협력학교운영</t>
  </si>
  <si>
    <t>실습운영물품지원(기념품 및 각종재료)</t>
  </si>
  <si>
    <t>지도강화 외부강사 수당</t>
  </si>
  <si>
    <t>교육실습평가협의회비(학기별회식)</t>
  </si>
  <si>
    <t>(보조)세계문화체험프로그램지원</t>
  </si>
  <si>
    <t>(보조)교구, 활동 재료, 운영 물품, 도서 구입과 체험 물품 대여 등</t>
  </si>
  <si>
    <t>A030090005</t>
  </si>
  <si>
    <t>과학 교과활동</t>
  </si>
  <si>
    <t>교과운영</t>
  </si>
  <si>
    <t>기자재유지비</t>
  </si>
  <si>
    <t>(통합)과학실안전장비및설비구축지원</t>
  </si>
  <si>
    <t>과학교구구입</t>
  </si>
  <si>
    <t>과학실험실습비</t>
  </si>
  <si>
    <t>과학의달 행사 운영비</t>
  </si>
  <si>
    <t>A030090006</t>
  </si>
  <si>
    <t>체육 교과활동</t>
  </si>
  <si>
    <t>체육및놀이교구구매</t>
  </si>
  <si>
    <t>초등수영교육</t>
  </si>
  <si>
    <t>(통합)3학년 수영교육비</t>
  </si>
  <si>
    <t>(통합)4학년 수영교육비</t>
  </si>
  <si>
    <t>(목)초등스포츠강사인건비</t>
  </si>
  <si>
    <t>(목)2026 초등스포츠강사인건비</t>
  </si>
  <si>
    <t>(목)2026 초등스포츠강사피복비</t>
  </si>
  <si>
    <t>(목)2026 초등스포츠강사맞춤형복지비</t>
  </si>
  <si>
    <t>(목)서울특별시교육감배학교스포츠클럽대회운영비</t>
  </si>
  <si>
    <t>(목)학교스포츠클럽-농구(강사수당)</t>
  </si>
  <si>
    <t>(목)학교스포츠클럽-티볼(강사수당)</t>
  </si>
  <si>
    <t>(목)학교스포츠클럽-배드민턴(강사수당)</t>
  </si>
  <si>
    <t>(목)학교스포츠클럽-농구(유니폼 및 운영물품,학생간식,식비)</t>
  </si>
  <si>
    <t>(목)학교스포츠클럽-티볼(유니폼 및 운영물품,학생간식,식비)</t>
  </si>
  <si>
    <t>(목)학교스포츠클럽-배드민턴(유니폼 및 운영물품,학생간식,식비)</t>
  </si>
  <si>
    <t>(목)건강체력증진프로젝트사업(굳모닝)</t>
  </si>
  <si>
    <t>(목)강사수당</t>
  </si>
  <si>
    <t>(목)유니폼및운영물품,학생간식,식비</t>
  </si>
  <si>
    <t>A030090007</t>
  </si>
  <si>
    <t>예술 교과활동</t>
  </si>
  <si>
    <t>E0006</t>
  </si>
  <si>
    <t>초등예술하나</t>
  </si>
  <si>
    <t>(통합)초등예술하나강사비</t>
  </si>
  <si>
    <t>(통합)초등예술하나 악기및 교재구입비</t>
  </si>
  <si>
    <t>(통합)초등예술하나 업무협의회비</t>
  </si>
  <si>
    <t>(보조금)예체능교육지원</t>
  </si>
  <si>
    <t>(보조)악기수업 강사비</t>
  </si>
  <si>
    <t>(보조)악기구입 및 수리</t>
  </si>
  <si>
    <t>학예회</t>
  </si>
  <si>
    <t>학예회지원</t>
  </si>
  <si>
    <t>A030090008</t>
  </si>
  <si>
    <t>외국어 교과활동</t>
  </si>
  <si>
    <t>원어민보조교사인건비</t>
  </si>
  <si>
    <t>(목)원어민보조교사 인건비</t>
  </si>
  <si>
    <t>(목)원어민보조교사 주거보조비</t>
  </si>
  <si>
    <t>(목)원어민보조교사 기관부담금</t>
  </si>
  <si>
    <t>(수)방학영어집중프로그램</t>
  </si>
  <si>
    <t>강사비</t>
  </si>
  <si>
    <t>재료비</t>
  </si>
  <si>
    <t>(보조)금호글로벌체험센터 초등영어체험학습</t>
  </si>
  <si>
    <t>(보조)금호글로벌체험센터 초등영어체험센터 교육비</t>
  </si>
  <si>
    <t>(보조)금호글로벌체험센터 초등영어체험학습 버스임차료</t>
  </si>
  <si>
    <t>(보조)용답글로벌체험센터 초등영어체험학습</t>
  </si>
  <si>
    <t xml:space="preserve">(보조)용답글로벌체험센터 초등영어체험학습 버스임차료 </t>
  </si>
  <si>
    <t>(보조)용답글로벌체험센터 초등영어체험학습 교육비</t>
  </si>
  <si>
    <t>A030090009</t>
  </si>
  <si>
    <t>선택 교과활동</t>
  </si>
  <si>
    <t>실과교과용품구입</t>
  </si>
  <si>
    <t>(통합)정보교육실습비지원</t>
  </si>
  <si>
    <t>A030090010</t>
  </si>
  <si>
    <t>특수교육교과활동</t>
  </si>
  <si>
    <t>(개별)창의적체험활동비</t>
  </si>
  <si>
    <t>(개별)통합교육지원활동비</t>
  </si>
  <si>
    <t>(개별)통합교육지원협의회비</t>
  </si>
  <si>
    <t>(개별)특수학급비품구입비</t>
  </si>
  <si>
    <t>(개별)학습교재교구구입</t>
  </si>
  <si>
    <t>(개별)교육용소모품구입</t>
  </si>
  <si>
    <t>방과후학교</t>
  </si>
  <si>
    <t>(개별)특수방과후학교강사비</t>
  </si>
  <si>
    <t>(개별)특수방과후학교재료비</t>
  </si>
  <si>
    <t>(개별)특수방과후학교 개인강사 기관부담금</t>
  </si>
  <si>
    <t>A030090011</t>
  </si>
  <si>
    <t>전문 교과활동</t>
  </si>
  <si>
    <t>(목)2026 수업전성기 운영</t>
  </si>
  <si>
    <t>(목)수업전성기 운영 관련 학습재료비 구입</t>
  </si>
  <si>
    <t>(목)수업전성기 운영 관련 도서구입비</t>
  </si>
  <si>
    <t>(목)수업전성기 운영 학생간식비</t>
  </si>
  <si>
    <t>(목)수업전성기 운영 교원연구비</t>
  </si>
  <si>
    <t>(목)수업전성기 운영 협의회비</t>
  </si>
  <si>
    <t>1000000032</t>
  </si>
  <si>
    <t>창의적 체험활동</t>
  </si>
  <si>
    <t>A030320001</t>
  </si>
  <si>
    <t>자율·자치활동</t>
  </si>
  <si>
    <t>학급운영비</t>
  </si>
  <si>
    <t>A030320003</t>
  </si>
  <si>
    <t>동아리활동</t>
  </si>
  <si>
    <t>학교스포츠클럽활동</t>
  </si>
  <si>
    <t>지도수당</t>
  </si>
  <si>
    <t>간식 및 물품</t>
  </si>
  <si>
    <t>A030320005</t>
  </si>
  <si>
    <t>진로활동</t>
  </si>
  <si>
    <t>(보조금)진로교육활성화사업지원</t>
  </si>
  <si>
    <t>(보조)1,2학년 강사수당</t>
  </si>
  <si>
    <t>(보조)3,4학년 강사수당</t>
  </si>
  <si>
    <t>(보조)5,6학년 강사수당</t>
  </si>
  <si>
    <t>(보조)교재교구비 및 예비비</t>
  </si>
  <si>
    <t>104</t>
  </si>
  <si>
    <t>선택적 교육활동</t>
  </si>
  <si>
    <t>1000000013</t>
  </si>
  <si>
    <t>방과후학교 운영</t>
  </si>
  <si>
    <t>A040130001</t>
  </si>
  <si>
    <t>방과후학교운영</t>
  </si>
  <si>
    <t>방과후학교운영 업체 선정</t>
  </si>
  <si>
    <t>방과후업체 평가회 심사수당</t>
  </si>
  <si>
    <t>협의회비</t>
  </si>
  <si>
    <t>(수)방과후학교  교재비</t>
  </si>
  <si>
    <t>(1분기)3D펜&amp;메이커스교재재료비</t>
  </si>
  <si>
    <t>(1분기)뉴스포츠&amp;피구교재재료비</t>
  </si>
  <si>
    <t>(1분기)도전한국사교재재료비</t>
  </si>
  <si>
    <t>(1분기)독서논술교재재료비</t>
  </si>
  <si>
    <t>(1분기)한자속독교재재료비</t>
  </si>
  <si>
    <t>(1분기)레이저사격교재재료비</t>
  </si>
  <si>
    <t>(1분기)로봇프로보교재재료비</t>
  </si>
  <si>
    <t>(1분기)미니어처교재재료비</t>
  </si>
  <si>
    <t>(1분기)배드민턴1교재재료비</t>
  </si>
  <si>
    <t>(1분기)배드민턴2교재재료비</t>
  </si>
  <si>
    <t>(1분기)생명과학교재재료비</t>
  </si>
  <si>
    <t>(1분기)스마트레고블럭교재재료비</t>
  </si>
  <si>
    <t>(1분기)실험과학1교재재료비</t>
  </si>
  <si>
    <t>(1분기)실험과학2교재재료비</t>
  </si>
  <si>
    <t>(1분기)영재바둑교재재료비</t>
  </si>
  <si>
    <t>(1분기)영재큐브교재재료비</t>
  </si>
  <si>
    <t>(1분기)유튜브크리에이터교재재료비</t>
  </si>
  <si>
    <t>(1분기)창의도예교재재료비</t>
  </si>
  <si>
    <t>(1분기)키즈보컬교재재료비</t>
  </si>
  <si>
    <t>(1분기)키즈쿠킹교재재료비</t>
  </si>
  <si>
    <t>(1분기)바이올린교재재료비</t>
  </si>
  <si>
    <t>(1분기)어린이뮤지컬교재재료비</t>
  </si>
  <si>
    <t>(1분기)주산암산교재재료비</t>
  </si>
  <si>
    <t>(1분기)컴퓨터교실교재재료비</t>
  </si>
  <si>
    <t>(1분기)마술교재재료비</t>
  </si>
  <si>
    <t>(1분기)애니랑웹툰이랑교재재료비</t>
  </si>
  <si>
    <t>(1분기)요리교실교재재료비</t>
  </si>
  <si>
    <t>(2분기)3D펜&amp;메이커스교재재료비</t>
  </si>
  <si>
    <t>(2분기)뉴스포츠&amp;피구교재재료비</t>
  </si>
  <si>
    <t>(2분기)도전한국사교재재료비</t>
  </si>
  <si>
    <t>(2분기)독서논술교재재료비</t>
  </si>
  <si>
    <t>(2분기)레이저사격교재재료비</t>
  </si>
  <si>
    <t>(2분기)로봇프로보교재재료비</t>
  </si>
  <si>
    <t>(2분기)마술교재재료비</t>
  </si>
  <si>
    <t>(2분기)미니어처교재재료비</t>
  </si>
  <si>
    <t>(2분기)바이올린교재재료비</t>
  </si>
  <si>
    <t>(2분기)배드민턴1교재재료비</t>
  </si>
  <si>
    <t>(2분기)배드민턴2교재재료비</t>
  </si>
  <si>
    <t>(2분기)생명과학교재재료비</t>
  </si>
  <si>
    <t>(2분기)스마트레고블럭교재재료비</t>
  </si>
  <si>
    <t>(2분기)실험과학1교재재료비</t>
  </si>
  <si>
    <t>(2분기)애니랑웹툰이랑교재재료비</t>
  </si>
  <si>
    <t>(2분기)영재바둑교재재료비</t>
  </si>
  <si>
    <t>(2분기)영재큐브교재재료비</t>
  </si>
  <si>
    <t>(2분기)요리교실교재재료비</t>
  </si>
  <si>
    <t>(2분기)유튜브크리에이터교재재료비</t>
  </si>
  <si>
    <t>(2분기)주산암산교재재료비</t>
  </si>
  <si>
    <t>(2분기)창의도예교재재료비</t>
  </si>
  <si>
    <t>(2분기)컴퓨터교실교재재료비</t>
  </si>
  <si>
    <t>(2분기)키즈쿠킹교재재료비</t>
  </si>
  <si>
    <t>(수)방과후학교 수강료</t>
  </si>
  <si>
    <t>(1분기)3D펜&amp;메이커스강사료</t>
  </si>
  <si>
    <t>(1분기)농구강사료</t>
  </si>
  <si>
    <t>(1분기)뉴스포츠&amp;피구강사료</t>
  </si>
  <si>
    <t>(1분기)도전한국사강사료</t>
  </si>
  <si>
    <t>(1분기)독서논술강사료</t>
  </si>
  <si>
    <t>(1분기)한자속독강사료</t>
  </si>
  <si>
    <t>(1분기)레이저사격강사료</t>
  </si>
  <si>
    <t>(1분기)로봇프로보강사료</t>
  </si>
  <si>
    <t>(1분기)미니어처강사료</t>
  </si>
  <si>
    <t>(1분기)바이올린강사료</t>
  </si>
  <si>
    <t>(1분기)방송댄스강사료</t>
  </si>
  <si>
    <t>(1분기)배드민턴1강사료</t>
  </si>
  <si>
    <t>(1분기)배드민턴2강사료</t>
  </si>
  <si>
    <t>(1분기)생명과학강사료</t>
  </si>
  <si>
    <t>(1분기)성장요가강사료</t>
  </si>
  <si>
    <t>(1분기)스마트레고블럭강사료</t>
  </si>
  <si>
    <t>(1분기)실험과학1강사료</t>
  </si>
  <si>
    <t>(1분기)실험과학2강사료</t>
  </si>
  <si>
    <t>(1분기)어린이뮤지컬강사료</t>
  </si>
  <si>
    <t>(1분기)영재바둑강사료</t>
  </si>
  <si>
    <t>(1분기)영재큐브강사료</t>
  </si>
  <si>
    <t>(1분기)유튜브크리에이터강사료</t>
  </si>
  <si>
    <t>(1분기)음악줄넘기강사료</t>
  </si>
  <si>
    <t>(1분기)주산암산강사료</t>
  </si>
  <si>
    <t>(1분기)창의도예강사료</t>
  </si>
  <si>
    <t>(1분기)축구강사료</t>
  </si>
  <si>
    <t>(1분기)키즈보컬강사료</t>
  </si>
  <si>
    <t>(1분기)키즈쿠킹강사료</t>
  </si>
  <si>
    <t>(1분기)컴퓨터교실강사료</t>
  </si>
  <si>
    <t>(1분기)마술강사료</t>
  </si>
  <si>
    <t>(1분기)애니랑웹툰이랑강사료</t>
  </si>
  <si>
    <t>(1분기)요가&amp;필라테스강사료</t>
  </si>
  <si>
    <t>(1분기)요리교실강사료</t>
  </si>
  <si>
    <t>(1분기)플루트강사료</t>
  </si>
  <si>
    <t>(2분기)3D펜&amp;메이커스강사료</t>
  </si>
  <si>
    <t>(2분기)농구강사료</t>
  </si>
  <si>
    <t>(2분기)뉴스포츠&amp;피구강사료</t>
  </si>
  <si>
    <t>(2분기)도전한국사강사료</t>
  </si>
  <si>
    <t>(2분기)독서논술강사료</t>
  </si>
  <si>
    <t>(2분기)레이저사격강사료</t>
  </si>
  <si>
    <t>(2분기)로봇프로보강사료</t>
  </si>
  <si>
    <t>(2분기)마술강사료</t>
  </si>
  <si>
    <t>(2분기)미니어처강사료</t>
  </si>
  <si>
    <t>(2분기)바이올린강사료</t>
  </si>
  <si>
    <t>(2분기)방송댄스강사료</t>
  </si>
  <si>
    <t>(2분기)배드민턴1강사료</t>
  </si>
  <si>
    <t>(2분기)배드민턴2강사료</t>
  </si>
  <si>
    <t>(2분기)생명과학강사료</t>
  </si>
  <si>
    <t>(2분기)스마트레고블럭강사료</t>
  </si>
  <si>
    <t>(2분기)실험과학1강사료</t>
  </si>
  <si>
    <t>(2분기)애니랑웹툰이랑강사료</t>
  </si>
  <si>
    <t>(2분기)영재바둑강사료</t>
  </si>
  <si>
    <t>(2분기)영재큐브강사료</t>
  </si>
  <si>
    <t>(2분기)요가강사료</t>
  </si>
  <si>
    <t>(2분기)요리교실강사료</t>
  </si>
  <si>
    <t>(2분기)유튜브크리에이터강사료</t>
  </si>
  <si>
    <t>(2분기)음악줄넘기강사료</t>
  </si>
  <si>
    <t>(2분기)주산암산강사료</t>
  </si>
  <si>
    <t>(2분기)창의도예강사료</t>
  </si>
  <si>
    <t>(2분기)축구강사료</t>
  </si>
  <si>
    <t>(2분기)컴퓨터교실강사료</t>
  </si>
  <si>
    <t>(2분기)키즈쿠킹강사료</t>
  </si>
  <si>
    <t>(2분기)플루트강사료</t>
  </si>
  <si>
    <t>(수)방과후학교 수용비</t>
  </si>
  <si>
    <t>(2분기)3D펜&amp;메이커스수용비</t>
  </si>
  <si>
    <t>(2분기)농구수용비</t>
  </si>
  <si>
    <t>(2분기)뉴스포츠&amp;피구수용비</t>
  </si>
  <si>
    <t>(2분기)도전한국사수용비</t>
  </si>
  <si>
    <t>(2분기)독서논술수용비</t>
  </si>
  <si>
    <t>(2분기)레이저사격수용비</t>
  </si>
  <si>
    <t>(2분기)로봇프로보수용비</t>
  </si>
  <si>
    <t>(2분기)마술수용비</t>
  </si>
  <si>
    <t>(2분기)미니어처수용비</t>
  </si>
  <si>
    <t>(2분기)바이올린수용비</t>
  </si>
  <si>
    <t>(2분기)방송댄스수용비</t>
  </si>
  <si>
    <t>(2분기)배드민턴1수용비</t>
  </si>
  <si>
    <t>(2분기)배드민턴2수용비</t>
  </si>
  <si>
    <t>(2분기)생명과학수용비</t>
  </si>
  <si>
    <t>(2분기)스마트레고블럭수용비</t>
  </si>
  <si>
    <t>(2분기)실험과학1수용비</t>
  </si>
  <si>
    <t>(2분기)애니랑웹툰이랑수용비</t>
  </si>
  <si>
    <t>(2분기)영재바둑수용비</t>
  </si>
  <si>
    <t>(2분기)영재큐브수용비</t>
  </si>
  <si>
    <t>(2분기)요가수용비</t>
  </si>
  <si>
    <t>(2분기)요리교실수용비</t>
  </si>
  <si>
    <t>(2분기)유튜브크리에이터수용비</t>
  </si>
  <si>
    <t>(2분기)음악줄넘기수용비</t>
  </si>
  <si>
    <t>(2분기)주산암산수용비</t>
  </si>
  <si>
    <t>(2분기)창의도예수용비</t>
  </si>
  <si>
    <t>(2분기)축구수용비</t>
  </si>
  <si>
    <t>(2분기)컴퓨터교실수용비</t>
  </si>
  <si>
    <t>(2분기)키즈쿠킹수용비</t>
  </si>
  <si>
    <t>(2분기)플루트수용비</t>
  </si>
  <si>
    <t>(1분기)농구수용비</t>
  </si>
  <si>
    <t>(1분기)뉴스포츠&amp;피구수용비</t>
  </si>
  <si>
    <t>(1분기)도전한국사수용비</t>
  </si>
  <si>
    <t>(1분기)독서논술수용비</t>
  </si>
  <si>
    <t>(1분기)한자속독수용비</t>
  </si>
  <si>
    <t>(1분기)레이저사격수용비</t>
  </si>
  <si>
    <t>(1분기)로봇프로보수용비</t>
  </si>
  <si>
    <t>(1분기)미니어처수용비</t>
  </si>
  <si>
    <t>(1분기)바이올린수용비</t>
  </si>
  <si>
    <t>(1분기)방송댄스수용비</t>
  </si>
  <si>
    <t>(1분기)배드민턴1수용비</t>
  </si>
  <si>
    <t>(1분기)배드민턴2수용비</t>
  </si>
  <si>
    <t>(1분기)생명과학수용비</t>
  </si>
  <si>
    <t>(1분기)성장요가수용비</t>
  </si>
  <si>
    <t>(1분기)스마트레고블럭수용비</t>
  </si>
  <si>
    <t>(1분기)실험과학1수용비</t>
  </si>
  <si>
    <t>(1분기)실험과학2수용비</t>
  </si>
  <si>
    <t>(1분기)어린이뮤지컬수용비</t>
  </si>
  <si>
    <t>(1분기)영재바둑수용비</t>
  </si>
  <si>
    <t>(1분기)영재큐브수용비</t>
  </si>
  <si>
    <t>(1분기)유튜브크리에이터수용비</t>
  </si>
  <si>
    <t>(1분기)음악줄넘기수용비</t>
  </si>
  <si>
    <t>(1분기)주산암산수용비</t>
  </si>
  <si>
    <t>(1분기)창의도예수용비</t>
  </si>
  <si>
    <t>(1분기)축구수용비</t>
  </si>
  <si>
    <t>(1분기)키즈보컬수용비</t>
  </si>
  <si>
    <t>(1분기)키즈쿠킹수용비</t>
  </si>
  <si>
    <t>(1분기)컴퓨터교실수용비</t>
  </si>
  <si>
    <t>(1분기)3D펜&amp;메이커스수용비</t>
  </si>
  <si>
    <t>(1분기)마술수용비</t>
  </si>
  <si>
    <t>(1분기)애니랑웹툰이랑수용비</t>
  </si>
  <si>
    <t>(1분기)요가&amp;필라테스수용비</t>
  </si>
  <si>
    <t>(1분기)요리교실수용비</t>
  </si>
  <si>
    <t>(1분기)플루트수용비</t>
  </si>
  <si>
    <t>S0010</t>
  </si>
  <si>
    <t>(목)초3방과후교육비지원</t>
  </si>
  <si>
    <t>S0011</t>
  </si>
  <si>
    <t>(목)방과후학교자유수강권</t>
  </si>
  <si>
    <t>A040130004</t>
  </si>
  <si>
    <t>늘봄학교운영</t>
  </si>
  <si>
    <t>(목)오후돌봄교실운영비</t>
  </si>
  <si>
    <t>(목)봉사활동비</t>
  </si>
  <si>
    <t>(목)소모품구입비</t>
  </si>
  <si>
    <t>(목)돌봄프로그램비</t>
  </si>
  <si>
    <t>(목)방학 중 오전 프로그램비</t>
  </si>
  <si>
    <t>(목)교재교구구입비</t>
  </si>
  <si>
    <t>(목)아침돌봄운영비</t>
  </si>
  <si>
    <t>(목)틈새돌봄운영비</t>
  </si>
  <si>
    <t>(목)저녁돌봄</t>
  </si>
  <si>
    <t>(목)안전관리비</t>
  </si>
  <si>
    <t>S0005</t>
  </si>
  <si>
    <t>(목)돌봄교실간식비</t>
  </si>
  <si>
    <t>(목) 초등돌봄교실 간식비</t>
  </si>
  <si>
    <t>S0016</t>
  </si>
  <si>
    <t>(목)늘봄지원실조성사업비</t>
  </si>
  <si>
    <t>(목)늘봄교실환경개선비</t>
  </si>
  <si>
    <t>S0018</t>
  </si>
  <si>
    <t>(수)선택형돌봄중식비</t>
  </si>
  <si>
    <t>(수)돌봄교실중식비</t>
  </si>
  <si>
    <t>S0020</t>
  </si>
  <si>
    <t>(목)맞춤형교실운영비</t>
  </si>
  <si>
    <t>(목)귀가안전관리비</t>
  </si>
  <si>
    <t>(목)출결관리운영비</t>
  </si>
  <si>
    <t>(목)일반관리비</t>
  </si>
  <si>
    <t>(목)강사비</t>
  </si>
  <si>
    <t>(목)재료비</t>
  </si>
  <si>
    <t>(목)간식비</t>
  </si>
  <si>
    <t>(목)업체위탁보전금</t>
  </si>
  <si>
    <t>(목)개인강사위탁학교부담보험금</t>
  </si>
  <si>
    <t>(목)업무추진비</t>
  </si>
  <si>
    <t>S0021</t>
  </si>
  <si>
    <t>(보조금)맞춤형·돌봄교실안전지원인력(늘봄지킴이)</t>
  </si>
  <si>
    <t>(구)안전인력봉사비</t>
  </si>
  <si>
    <t>S0022</t>
  </si>
  <si>
    <t>(목)초등방과후교실사업지원비</t>
  </si>
  <si>
    <t>(목)업체위탁평가위원회물품구입비</t>
  </si>
  <si>
    <t>(목)행정보조인력운영비</t>
  </si>
  <si>
    <t>(목)스포츠강사방과후강사비</t>
  </si>
  <si>
    <t>(목)학교스포츠클럽운영</t>
  </si>
  <si>
    <t>(목)방학캠프강사비</t>
  </si>
  <si>
    <t>(목)방과후.돌봄운영컨설팅</t>
  </si>
  <si>
    <t>(목)공개수업및발표전시회운영비</t>
  </si>
  <si>
    <t>(목)저소득층자녀수강료지원</t>
  </si>
  <si>
    <t>(목)교구및재료비</t>
  </si>
  <si>
    <t>(목)개인위탁강사보험료기관부담금지원</t>
  </si>
  <si>
    <t>S0023</t>
  </si>
  <si>
    <t>(목)성동광진방과후.돌봄이음운영단(협의체)</t>
  </si>
  <si>
    <t>(목)연수운영비</t>
  </si>
  <si>
    <t>(목)운영물품</t>
  </si>
  <si>
    <t>(목)컨설팅수당</t>
  </si>
  <si>
    <t>1000000017</t>
  </si>
  <si>
    <t>교기육성</t>
  </si>
  <si>
    <t>A040170001</t>
  </si>
  <si>
    <t>교기운영</t>
  </si>
  <si>
    <t>수영부운영</t>
  </si>
  <si>
    <t>수영대회출전비</t>
  </si>
  <si>
    <t>수영부운영비품구입</t>
  </si>
  <si>
    <t>(목)전임코치인건비</t>
  </si>
  <si>
    <t>(수)수영부수익자부담금</t>
  </si>
  <si>
    <t xml:space="preserve">수영부 운영 학부모 부담금 </t>
  </si>
  <si>
    <t>수영부 운영 4대보험료 학부모 부담금</t>
  </si>
  <si>
    <t>(목)학교운동부훈련비지원</t>
  </si>
  <si>
    <t xml:space="preserve">(목)학교운동부 훈련비 및 공공요금 지원 예산 </t>
  </si>
  <si>
    <t>(보조)체육특기학교</t>
  </si>
  <si>
    <t>(보조)수영대회출전비</t>
  </si>
  <si>
    <t>1000000033</t>
  </si>
  <si>
    <t>독서활동</t>
  </si>
  <si>
    <t>A040330001</t>
  </si>
  <si>
    <t>독서활동운영</t>
  </si>
  <si>
    <t>도서구입</t>
  </si>
  <si>
    <t>마크구입</t>
  </si>
  <si>
    <t>C200102</t>
  </si>
  <si>
    <t>도서구입비</t>
  </si>
  <si>
    <t>도서관운영</t>
  </si>
  <si>
    <t>사무용품구입</t>
  </si>
  <si>
    <t>운영프로그램</t>
  </si>
  <si>
    <t>독서록제작</t>
  </si>
  <si>
    <t>독서교육프로그램</t>
  </si>
  <si>
    <t>명예교사업무협의회</t>
  </si>
  <si>
    <t>서가등비품구매</t>
  </si>
  <si>
    <t>(보조금)책함성독서교육</t>
  </si>
  <si>
    <t>(보조)옥정북클럽운영비</t>
  </si>
  <si>
    <t>(보조)1~4학년 교육과정교구구입</t>
  </si>
  <si>
    <t>(보조)5~6학년 교육과정교구구입</t>
  </si>
  <si>
    <t>(보조금)천권읽기프로그램지원</t>
  </si>
  <si>
    <t>(보조)1~5학년도서구입</t>
  </si>
  <si>
    <t>(보조)6학년도서구입</t>
  </si>
  <si>
    <t>105</t>
  </si>
  <si>
    <t>교육활동 지원</t>
  </si>
  <si>
    <t>1000000019</t>
  </si>
  <si>
    <t>교무업무 운영</t>
  </si>
  <si>
    <t>A050190001</t>
  </si>
  <si>
    <t>교무학사운영</t>
  </si>
  <si>
    <t>각종인쇄</t>
  </si>
  <si>
    <t>각종소모품구매</t>
  </si>
  <si>
    <t>알림서비스</t>
  </si>
  <si>
    <t>옥정통신</t>
  </si>
  <si>
    <t>청소용품구입</t>
  </si>
  <si>
    <t>청소기 구입</t>
  </si>
  <si>
    <t>교무실문화체험연수비(교육공무직)</t>
  </si>
  <si>
    <t>문자서비스</t>
  </si>
  <si>
    <t>학교급현황판제작</t>
  </si>
  <si>
    <t>교육과정제작인쇄</t>
  </si>
  <si>
    <t>보결수당</t>
  </si>
  <si>
    <t>(통합)교육지원팀수업시수경감강사비</t>
  </si>
  <si>
    <t>(통합)학생자치참여예산제</t>
  </si>
  <si>
    <t>부장연수업무추진비</t>
  </si>
  <si>
    <t>졸업식협의회비</t>
  </si>
  <si>
    <t>접대용품구입</t>
  </si>
  <si>
    <t>교무실협의회비</t>
  </si>
  <si>
    <t xml:space="preserve">커피원두 및 차 구입 </t>
  </si>
  <si>
    <t>입학식 및 졸업식</t>
  </si>
  <si>
    <t>입학행사용품구입</t>
  </si>
  <si>
    <t>졸업행사용품구입</t>
  </si>
  <si>
    <t>(보조금)마을연계문예체프로그램</t>
  </si>
  <si>
    <t>(보조)성동교육협력특화 학교선택제 문예체프로그램 강사료</t>
  </si>
  <si>
    <t>(보조)성동교육협력특화 학교선택제 문예체프로그램 재료구입</t>
  </si>
  <si>
    <t>(보조금)소프트웨어코딩</t>
  </si>
  <si>
    <t>(보조)소프트웨어코딩 강사료</t>
  </si>
  <si>
    <t>1000000020</t>
  </si>
  <si>
    <t>연구학교 운영</t>
  </si>
  <si>
    <t>A050200001</t>
  </si>
  <si>
    <t>연구학교운영</t>
  </si>
  <si>
    <t>혁신학교 운영(자율과 책임의 교육과정, 수업, 평가 혁신)</t>
  </si>
  <si>
    <t xml:space="preserve">AI디지털교육지원 </t>
  </si>
  <si>
    <t>1,2학년 안성맞춤교육과정지원</t>
  </si>
  <si>
    <t>3~6학년 창의공감교육활동지원</t>
  </si>
  <si>
    <t>교육실습수업 혁신운영지원</t>
  </si>
  <si>
    <t>학교특색과제운영지원</t>
  </si>
  <si>
    <t>AI디지털교육지원</t>
  </si>
  <si>
    <t>학년교육과정 운영지원</t>
  </si>
  <si>
    <t>혁신학교 운영(협력과 공존의 학교문화 혁신)</t>
  </si>
  <si>
    <t>학부모활동운영지원</t>
  </si>
  <si>
    <t xml:space="preserve">학교홍보 및 연수물품구입 </t>
  </si>
  <si>
    <t>학생자치운영지원</t>
  </si>
  <si>
    <t>혁신학교 운영(지속가능한 교육 중심 학교환경 구축)</t>
  </si>
  <si>
    <t>교사연수 및 컨설팅장학운영</t>
  </si>
  <si>
    <t>학생맞춤성장검사지원</t>
  </si>
  <si>
    <t>교원학습공동체 운영지원</t>
  </si>
  <si>
    <t>혁신학교 운영(협의체 운영)</t>
  </si>
  <si>
    <t>자율협의체운영</t>
  </si>
  <si>
    <t>혁신학교 운영(사업협의회)</t>
  </si>
  <si>
    <t>혁신학교협의회</t>
  </si>
  <si>
    <t>교육공동체워크숍간담회</t>
  </si>
  <si>
    <t>S0006</t>
  </si>
  <si>
    <t>교육실습협력학교실습경비</t>
  </si>
  <si>
    <t>실습계획서제작비</t>
  </si>
  <si>
    <t>실습사전지도비</t>
  </si>
  <si>
    <t>실습재료비</t>
  </si>
  <si>
    <t>1000000021</t>
  </si>
  <si>
    <t>학습지원실 운영</t>
  </si>
  <si>
    <t>A050210001</t>
  </si>
  <si>
    <t>방송실운영</t>
  </si>
  <si>
    <t>기자재유지및소모품구매</t>
  </si>
  <si>
    <t>음원구입비</t>
  </si>
  <si>
    <t>A050210002</t>
  </si>
  <si>
    <t>정보화실운영</t>
  </si>
  <si>
    <t>학교정보화지원</t>
  </si>
  <si>
    <t>프린터토너구매</t>
  </si>
  <si>
    <t>학내망유지보수비</t>
  </si>
  <si>
    <t>정보화기기유지보수비</t>
  </si>
  <si>
    <t>SW라이선스구매</t>
  </si>
  <si>
    <t>디벗보급지원비(파손 부담금, 액세서리 구입)</t>
  </si>
  <si>
    <t>정보화기기구입</t>
  </si>
  <si>
    <t>정보화기기보급(영상장치)</t>
  </si>
  <si>
    <t>정보화기기보급(교원용PC)</t>
  </si>
  <si>
    <t>1000000022</t>
  </si>
  <si>
    <t>교육여건 개선</t>
  </si>
  <si>
    <t>A050220001</t>
  </si>
  <si>
    <t>교육환경개선</t>
  </si>
  <si>
    <t>(보)긴급현안(놀이시설개선)</t>
  </si>
  <si>
    <t xml:space="preserve">(보) 바닥 포장 등 공사비 </t>
  </si>
  <si>
    <t>(보) 놀이시설 구입비</t>
  </si>
  <si>
    <t>1000000037</t>
  </si>
  <si>
    <t>생활지도운영</t>
  </si>
  <si>
    <t>A050370001</t>
  </si>
  <si>
    <t>학생생활상담지도</t>
  </si>
  <si>
    <t>E0012</t>
  </si>
  <si>
    <t>인성교육</t>
  </si>
  <si>
    <t>선비문화교육</t>
  </si>
  <si>
    <t>E0014</t>
  </si>
  <si>
    <t>개별학생교육지원비</t>
  </si>
  <si>
    <t>교원 강사수당</t>
  </si>
  <si>
    <t>상담교육</t>
  </si>
  <si>
    <t>활동재료 및 교구구입, 간식비</t>
  </si>
  <si>
    <t>Wee클래스운영</t>
  </si>
  <si>
    <t>(통합)Wee클래스 심리검사, 상담치료비</t>
  </si>
  <si>
    <t>(통합)Wee클래스 운영비(활동재료 및 교구구입, 간식비)</t>
  </si>
  <si>
    <t>A050370002</t>
  </si>
  <si>
    <t>학교폭력예방</t>
  </si>
  <si>
    <t>학교폭력관련연수지원</t>
  </si>
  <si>
    <t>학교폭력예방교육 강사료</t>
  </si>
  <si>
    <t>학교폭력예방교육 원고료</t>
  </si>
  <si>
    <t>학교폭력맞춤형대응</t>
  </si>
  <si>
    <t>(통합)학교폭력책임교사수업시수경감지원</t>
  </si>
  <si>
    <t>학교보안관인건비</t>
  </si>
  <si>
    <t>(보)2026년 학교보안관인건비</t>
  </si>
  <si>
    <t>(보)2026년 학교보안관유니폼비</t>
  </si>
  <si>
    <t>(보조금)OKAY인성교육지원</t>
  </si>
  <si>
    <t>(보조)학교폭력예방교육 강사비</t>
  </si>
  <si>
    <t>(보조)학교폭력예방티셔츠 제작</t>
  </si>
  <si>
    <t>A050370003</t>
  </si>
  <si>
    <t>학생안전교육</t>
  </si>
  <si>
    <t>안전교육</t>
  </si>
  <si>
    <t>(통합)학생안전체험교육 및 기자재 지원</t>
  </si>
  <si>
    <t>(목)재난안전프로그램활동비</t>
  </si>
  <si>
    <t>(목)화재손수건구입(학생및교직원)</t>
  </si>
  <si>
    <t>106</t>
  </si>
  <si>
    <t>학교 일반운영</t>
  </si>
  <si>
    <t>1000000024</t>
  </si>
  <si>
    <t>시설 장비 유지</t>
  </si>
  <si>
    <t>A060240001</t>
  </si>
  <si>
    <t>학교시설장비유지</t>
  </si>
  <si>
    <t>공공요금및제세공과금</t>
  </si>
  <si>
    <t>B100106</t>
  </si>
  <si>
    <t>기타공공요금</t>
  </si>
  <si>
    <t>전화요금</t>
  </si>
  <si>
    <t>케이블방송수신료</t>
  </si>
  <si>
    <t>각종보험료</t>
  </si>
  <si>
    <t>전기요금</t>
  </si>
  <si>
    <t>B100103</t>
  </si>
  <si>
    <t>상하수도료</t>
  </si>
  <si>
    <t>B100104</t>
  </si>
  <si>
    <t>상하수도요금</t>
  </si>
  <si>
    <t>연료비</t>
  </si>
  <si>
    <t>B100105</t>
  </si>
  <si>
    <t>도시가스요금</t>
  </si>
  <si>
    <t>시설관리용역</t>
  </si>
  <si>
    <t>옥정문화관BTL운영비</t>
  </si>
  <si>
    <t>소방시설유지관리용역료</t>
  </si>
  <si>
    <t>전기시설유지관리용역료</t>
  </si>
  <si>
    <t>각종안전검사수수료</t>
  </si>
  <si>
    <t>어린이놀이시설유지관리용역료</t>
  </si>
  <si>
    <t>정수기유지관리비</t>
  </si>
  <si>
    <t>문화관보일러유지보수용역료</t>
  </si>
  <si>
    <t>관리실등 복사기(복합기)렌탈료</t>
  </si>
  <si>
    <t>알리미서비스</t>
  </si>
  <si>
    <t>(통합)산업안전보건업무컨설팅위탁</t>
  </si>
  <si>
    <t>(개별)공기청정기렌탈비</t>
  </si>
  <si>
    <t>비데렌탈</t>
  </si>
  <si>
    <t>본관출입시설유지보수(지문)</t>
  </si>
  <si>
    <t>본관출입시설유지보수(안면)</t>
  </si>
  <si>
    <t>문화관엘리베이터유지보수비</t>
  </si>
  <si>
    <t>(개별)기계설비유지관리용역비</t>
  </si>
  <si>
    <t>(통합)교실청소용역</t>
  </si>
  <si>
    <t xml:space="preserve">(목)공기청정기 교육청 렌탈료 </t>
  </si>
  <si>
    <t>시설일반관리</t>
  </si>
  <si>
    <t>화초구매및보수</t>
  </si>
  <si>
    <t>폐기물처리비</t>
  </si>
  <si>
    <t>시설관리소모품구매</t>
  </si>
  <si>
    <t>종량제봉투구매</t>
  </si>
  <si>
    <t>화장실용품구매</t>
  </si>
  <si>
    <t>정화조청소비용</t>
  </si>
  <si>
    <t>E0010</t>
  </si>
  <si>
    <t>소규모시설보수</t>
  </si>
  <si>
    <t>(보조금)체육관냉난방시설개선</t>
  </si>
  <si>
    <t>(보조)체육관 냉난방기 전기 및 설치공사</t>
  </si>
  <si>
    <t>(보조)체육관 냉난방기 2대 구입</t>
  </si>
  <si>
    <t>(보조금)야외데크보수공사</t>
  </si>
  <si>
    <t>(보조)야외데크보수공사비</t>
  </si>
  <si>
    <t>(보조금)전자칠판교체</t>
  </si>
  <si>
    <t>(보조) 전자칠판 및 부속가구 구입비(5학년)</t>
  </si>
  <si>
    <t>(목)전자칠판교체(5학년)</t>
  </si>
  <si>
    <t>(목)전자칠판 및 부속물품 구입(5학년)</t>
  </si>
  <si>
    <t>1000000026</t>
  </si>
  <si>
    <t>학교운영 협력</t>
  </si>
  <si>
    <t>A060260002</t>
  </si>
  <si>
    <t>학부모협력</t>
  </si>
  <si>
    <t>학부모회운영</t>
  </si>
  <si>
    <t>(통합)학부모회 운영 지원</t>
  </si>
  <si>
    <t>(통합)학부모단체연수비</t>
  </si>
  <si>
    <t>(통합)학부모단체행사지원</t>
  </si>
  <si>
    <t>1000000041</t>
  </si>
  <si>
    <t>학교기관 운영</t>
  </si>
  <si>
    <t>A060410001</t>
  </si>
  <si>
    <t>부서기본운영</t>
  </si>
  <si>
    <t>교장실운영</t>
  </si>
  <si>
    <t>기관운영업무추진비</t>
  </si>
  <si>
    <t>B200102</t>
  </si>
  <si>
    <t>직책급업무수행경비</t>
  </si>
  <si>
    <t>직책급업무추진비</t>
  </si>
  <si>
    <t>행정실운영</t>
  </si>
  <si>
    <t>사무용품구입비</t>
  </si>
  <si>
    <t>각종수수료 및 수용비</t>
  </si>
  <si>
    <t>복사기및등사용품구매</t>
  </si>
  <si>
    <t>B100108</t>
  </si>
  <si>
    <t>여비</t>
  </si>
  <si>
    <t>관내외출장비</t>
  </si>
  <si>
    <t>지방공무원훈련비</t>
  </si>
  <si>
    <t>시설관리직원피복비</t>
  </si>
  <si>
    <t>특근매식비</t>
  </si>
  <si>
    <t>접대용물품구입비</t>
  </si>
  <si>
    <t>행정실업무협의회비</t>
  </si>
  <si>
    <t>각종 비품구입비</t>
  </si>
  <si>
    <t>A060410003</t>
  </si>
  <si>
    <t>행정지원인력운용</t>
  </si>
  <si>
    <t>행정실무사인건비</t>
  </si>
  <si>
    <t>기간제근로자 4대보험 비용</t>
  </si>
  <si>
    <t>사회복무요원인건비</t>
  </si>
  <si>
    <t>(목)사회복무요원인건비</t>
  </si>
  <si>
    <t>(목)사회복무요원피복비</t>
  </si>
  <si>
    <t>107</t>
  </si>
  <si>
    <t>학교시설 확충</t>
  </si>
  <si>
    <t>1000000027</t>
  </si>
  <si>
    <t>시설확충 및 개선</t>
  </si>
  <si>
    <t>A070270001</t>
  </si>
  <si>
    <t>시설확충및개선</t>
  </si>
  <si>
    <t>체육관 노후시설개선 시설적립금</t>
  </si>
  <si>
    <t>C30</t>
  </si>
  <si>
    <t>시설적립금</t>
  </si>
  <si>
    <t>C3001</t>
  </si>
  <si>
    <t>C300101</t>
  </si>
  <si>
    <t>체육관 시설 보수 적립금</t>
  </si>
  <si>
    <t>정책사업</t>
    <phoneticPr fontId="1" type="noConversion"/>
  </si>
  <si>
    <t>단위사업</t>
    <phoneticPr fontId="1" type="noConversion"/>
  </si>
  <si>
    <t>세부사업</t>
    <phoneticPr fontId="1" type="noConversion"/>
  </si>
  <si>
    <t>세부항목</t>
    <phoneticPr fontId="1" type="noConversion"/>
  </si>
  <si>
    <t>목명</t>
    <phoneticPr fontId="1" type="noConversion"/>
  </si>
  <si>
    <t>세목명</t>
    <phoneticPr fontId="1" type="noConversion"/>
  </si>
  <si>
    <t>원가통계비목</t>
  </si>
  <si>
    <t>원가통계비목</t>
    <phoneticPr fontId="1" type="noConversion"/>
  </si>
  <si>
    <t>산출내역</t>
    <phoneticPr fontId="1" type="noConversion"/>
  </si>
  <si>
    <t>예산액</t>
  </si>
  <si>
    <t>예산액</t>
    <phoneticPr fontId="1" type="noConversion"/>
  </si>
  <si>
    <t>원인행위금액</t>
  </si>
  <si>
    <t>원인행위금액</t>
    <phoneticPr fontId="1" type="noConversion"/>
  </si>
  <si>
    <t>지출금액</t>
  </si>
  <si>
    <t>지출금액</t>
    <phoneticPr fontId="1" type="noConversion"/>
  </si>
  <si>
    <t>집행잔액</t>
  </si>
  <si>
    <t>추경(안)</t>
  </si>
  <si>
    <t>집행잔액</t>
    <phoneticPr fontId="1" type="noConversion"/>
  </si>
  <si>
    <t>원인행위·지출 불일치</t>
    <phoneticPr fontId="1" type="noConversion"/>
  </si>
  <si>
    <t>예산액 대비
원인행위
집행률</t>
    <phoneticPr fontId="1" type="noConversion"/>
  </si>
  <si>
    <t>추경(안)</t>
    <phoneticPr fontId="1" type="noConversion"/>
  </si>
  <si>
    <t>총합계</t>
  </si>
  <si>
    <t>단위사업별 집행현황</t>
  </si>
  <si>
    <t>집행률</t>
  </si>
  <si>
    <t>추경검토 자료</t>
  </si>
  <si>
    <t>구분</t>
  </si>
  <si>
    <t>전체</t>
  </si>
  <si>
    <t>부서별집행예정액</t>
  </si>
  <si>
    <t>추경감액가능금액</t>
  </si>
  <si>
    <t>학교회계 집행실적 정리</t>
  </si>
  <si>
    <t>K-에듀파인 실시간 집행실적 활용 안내</t>
  </si>
  <si>
    <t>01  집행실적 자료 다운로드</t>
  </si>
  <si>
    <t>학교회계 &gt; 사업관리 &gt; 사업관리카드 &gt; 집행실적 엑셀저장(실시간)</t>
  </si>
  <si>
    <t>회계연도·집행일자 확인 → 자료코드 102-2 선택 → 오른쪽 위 「파일」 클릭</t>
  </si>
  <si>
    <t>102-2  사업별/성질별 세출실적(세부항목, 산출내역 포함)</t>
  </si>
  <si>
    <t>02  내려받은 자료 불러오기</t>
  </si>
  <si>
    <t>위쪽의 「에듀파인 실시간집행실적(102-2) 불러오기」 버튼에서 저장한 파일을 선택하세요.</t>
  </si>
  <si>
    <t>캐릭터: 서울특별시교육청 자라나·열리미  |  출처: 서울특별시교육청 누리집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</si>
</sst>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indexed="8"/>
      <name val="맑은 고딕"/>
      <family val="2"/>
      <scheme val="minor"/>
    </font>
    <font>
      <b/>
      <sz val="10"/>
      <color indexed="8"/>
      <name val="돋움"/>
      <family val="3"/>
      <charset val="129"/>
    </font>
    <font>
      <sz val="10"/>
      <color indexed="8"/>
      <name val="돋움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0"/>
      <color indexed="8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name val="Malgun Gothic"/>
      <family val="3"/>
      <charset val="129"/>
    </font>
    <font>
      <b/>
      <sz val="26"/>
      <color rgb="FF164E73"/>
      <name val="Malgun Gothic"/>
      <family val="3"/>
      <charset val="129"/>
    </font>
    <font>
      <sz val="13"/>
      <color rgb="FF587184"/>
      <name val="Malgun Gothic"/>
      <family val="3"/>
      <charset val="129"/>
    </font>
    <font>
      <b/>
      <sz val="16"/>
      <color rgb="FF164E73"/>
      <name val="Malgun Gothic"/>
      <family val="3"/>
      <charset val="129"/>
    </font>
    <font>
      <b/>
      <sz val="13"/>
      <color rgb="FF19354B"/>
      <name val="Malgun Gothic"/>
      <family val="3"/>
      <charset val="129"/>
    </font>
    <font>
      <sz val="12"/>
      <color rgb="FF19354B"/>
      <name val="Malgun Gothic"/>
      <family val="3"/>
      <charset val="129"/>
    </font>
    <font>
      <sz val="11"/>
      <color rgb="FF376078"/>
      <name val="Malgun Gothic"/>
      <family val="3"/>
      <charset val="129"/>
    </font>
    <font>
      <sz val="11"/>
      <color rgb="FF19354B"/>
      <name val="Malgun Gothic"/>
      <family val="3"/>
      <charset val="129"/>
    </font>
    <font>
      <sz val="9"/>
      <color rgb="FF71818D"/>
      <name val="Malgun Gothic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D9E1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FFFF"/>
      </patternFill>
    </fill>
    <fill>
      <patternFill patternType="solid">
        <fgColor rgb="FFEDF5FA"/>
      </patternFill>
    </fill>
  </fills>
  <borders count="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49" fontId="3" fillId="2" borderId="1" xfId="1" applyNumberFormat="1" applyFont="1" applyFill="1" applyBorder="1" applyAlignment="1">
      <alignment horizontal="center" vertical="center" wrapText="1"/>
    </xf>
  </cellStyleXfs>
  <cellXfs count="48">
    <xf numFmtId="0" fontId="0" fillId="0" borderId="0" xfId="0">
      <alignment vertical="center"/>
    </xf>
    <xf numFmtId="0" fontId="2" fillId="0" borderId="0" xfId="1">
      <alignment vertical="center"/>
    </xf>
    <xf numFmtId="49" fontId="3" fillId="2" borderId="1" xfId="1" applyNumberFormat="1" applyFont="1" applyFill="1" applyBorder="1" applyAlignment="1">
      <alignment horizontal="center" vertical="center" wrapText="1"/>
    </xf>
    <xf numFmtId="49" fontId="4" fillId="0" borderId="1" xfId="1" applyNumberFormat="1" applyFont="1" applyBorder="1" applyAlignment="1">
      <alignment horizontal="left" vertical="center"/>
    </xf>
    <xf numFmtId="0" fontId="4" fillId="0" borderId="1" xfId="1" applyFont="1" applyBorder="1" applyAlignment="1">
      <alignment horizontal="right" vertical="center"/>
    </xf>
    <xf numFmtId="0" fontId="5" fillId="0" borderId="0" xfId="1" applyFont="1">
      <alignment vertical="center"/>
    </xf>
    <xf numFmtId="0" fontId="6" fillId="0" borderId="0" xfId="0" applyFont="1">
      <alignment vertical="center"/>
    </xf>
    <xf numFmtId="49" fontId="8" fillId="0" borderId="1" xfId="1" applyNumberFormat="1" applyFont="1" applyBorder="1" applyAlignment="1">
      <alignment horizontal="left" vertical="center"/>
    </xf>
    <xf numFmtId="49" fontId="7" fillId="3" borderId="1" xfId="1" applyNumberFormat="1" applyFont="1" applyFill="1" applyBorder="1" applyAlignment="1">
      <alignment horizontal="center" vertical="center" wrapText="1"/>
    </xf>
    <xf numFmtId="3" fontId="5" fillId="0" borderId="0" xfId="1" applyNumberFormat="1" applyFont="1">
      <alignment vertical="center"/>
    </xf>
    <xf numFmtId="3" fontId="6" fillId="0" borderId="0" xfId="0" applyNumberFormat="1" applyFont="1">
      <alignment vertical="center"/>
    </xf>
    <xf numFmtId="3" fontId="7" fillId="3" borderId="1" xfId="1" applyNumberFormat="1" applyFont="1" applyFill="1" applyBorder="1" applyAlignment="1">
      <alignment horizontal="center" vertical="center" wrapText="1"/>
    </xf>
    <xf numFmtId="3" fontId="9" fillId="3" borderId="1" xfId="0" applyNumberFormat="1" applyFont="1" applyFill="1" applyBorder="1" applyAlignment="1">
      <alignment horizontal="center" vertical="center"/>
    </xf>
    <xf numFmtId="3" fontId="8" fillId="0" borderId="1" xfId="1" applyNumberFormat="1" applyFont="1" applyBorder="1" applyAlignment="1">
      <alignment horizontal="right" vertical="center"/>
    </xf>
    <xf numFmtId="3" fontId="6" fillId="0" borderId="1" xfId="0" applyNumberFormat="1" applyFont="1" applyBorder="1">
      <alignment vertical="center"/>
    </xf>
    <xf numFmtId="3" fontId="9" fillId="3" borderId="2" xfId="0" applyNumberFormat="1" applyFont="1" applyFill="1" applyBorder="1">
      <alignment vertical="center"/>
    </xf>
    <xf numFmtId="10" fontId="6" fillId="0" borderId="0" xfId="0" applyNumberFormat="1" applyFont="1">
      <alignment vertical="center"/>
    </xf>
    <xf numFmtId="10" fontId="9" fillId="3" borderId="1" xfId="0" applyNumberFormat="1" applyFont="1" applyFill="1" applyBorder="1" applyAlignment="1">
      <alignment horizontal="center" vertical="center" wrapText="1"/>
    </xf>
    <xf numFmtId="10" fontId="6" fillId="0" borderId="1" xfId="0" applyNumberFormat="1" applyFont="1" applyBorder="1">
      <alignment vertical="center"/>
    </xf>
    <xf numFmtId="10" fontId="9" fillId="3" borderId="2" xfId="0" applyNumberFormat="1" applyFont="1" applyFill="1" applyBorder="1">
      <alignment vertical="center"/>
    </xf>
    <xf numFmtId="3" fontId="6" fillId="4" borderId="1" xfId="0" applyNumberFormat="1" applyFont="1" applyFill="1" applyBorder="1">
      <alignment vertical="center"/>
    </xf>
    <xf numFmtId="0" fontId="0" fillId="0" borderId="0" xfId="0" applyFont="1">
      <alignment vertical="center"/>
    </xf>
    <xf numFmtId="0" fontId="9" fillId="5" borderId="2" xfId="0" applyFont="1" applyFill="1" applyBorder="1" applyAlignment="1">
      <alignment horizontal="center" vertical="center"/>
    </xf>
    <xf numFmtId="0" fontId="0" fillId="0" borderId="2" xfId="0" applyFont="1" applyBorder="1">
      <alignment vertical="center"/>
    </xf>
    <xf numFmtId="3" fontId="0" fillId="0" borderId="2" xfId="0" applyNumberFormat="1" applyFont="1" applyBorder="1">
      <alignment vertical="center"/>
    </xf>
    <xf numFmtId="10" fontId="0" fillId="0" borderId="2" xfId="0" applyNumberFormat="1" applyFont="1" applyBorder="1">
      <alignment vertical="center"/>
    </xf>
    <xf numFmtId="0" fontId="9" fillId="6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3" fontId="9" fillId="4" borderId="2" xfId="0" applyNumberFormat="1" applyFont="1" applyFill="1" applyBorder="1" applyAlignment="1">
      <alignment horizontal="center" vertical="center"/>
    </xf>
    <xf numFmtId="3" fontId="0" fillId="4" borderId="2" xfId="0" applyNumberFormat="1" applyFont="1" applyFill="1" applyBorder="1">
      <alignment vertical="center"/>
    </xf>
    <xf numFmtId="0" fontId="11" fillId="7" borderId="0" xfId="2" applyNumberFormat="1" applyFont="1" applyFill="1" applyBorder="1" applyAlignment="1"/>
    <xf numFmtId="0" fontId="14" fillId="8" borderId="0" xfId="2" applyNumberFormat="1" applyFont="1" applyFill="1" applyBorder="1" applyAlignment="1">
      <alignment vertical="center"/>
    </xf>
    <xf numFmtId="0" fontId="18" fillId="7" borderId="0" xfId="2" applyNumberFormat="1" applyFont="1" applyFill="1" applyBorder="1" applyAlignment="1">
      <alignment vertical="center"/>
    </xf>
    <xf numFmtId="0" fontId="19" fillId="7" borderId="0" xfId="2" applyNumberFormat="1" applyFont="1" applyFill="1" applyBorder="1" applyAlignment="1">
      <alignment vertical="center"/>
    </xf>
    <xf numFmtId="0" fontId="12" fillId="7" borderId="0" xfId="2" applyNumberFormat="1" applyFont="1" applyFill="1" applyBorder="1" applyAlignment="1">
      <alignment vertical="center"/>
    </xf>
    <xf numFmtId="0" fontId="13" fillId="7" borderId="0" xfId="2" applyNumberFormat="1" applyFont="1" applyFill="1" applyBorder="1" applyAlignment="1">
      <alignment vertical="center"/>
    </xf>
    <xf numFmtId="0" fontId="15" fillId="7" borderId="0" xfId="2" applyNumberFormat="1" applyFont="1" applyFill="1" applyBorder="1" applyAlignment="1">
      <alignment vertical="center"/>
    </xf>
    <xf numFmtId="0" fontId="16" fillId="7" borderId="0" xfId="2" applyNumberFormat="1" applyFont="1" applyFill="1" applyBorder="1" applyAlignment="1">
      <alignment vertical="center"/>
    </xf>
    <xf numFmtId="0" fontId="17" fillId="7" borderId="0" xfId="2" applyNumberFormat="1" applyFont="1" applyFill="1" applyBorder="1" applyAlignment="1">
      <alignment vertical="center"/>
    </xf>
    <xf numFmtId="49" fontId="3" fillId="0" borderId="0" xfId="1" applyNumberFormat="1" applyFont="1" applyAlignment="1">
      <alignment horizontal="left" vertical="center"/>
    </xf>
    <xf numFmtId="0" fontId="2" fillId="0" borderId="0" xfId="1">
      <alignment vertical="center"/>
    </xf>
    <xf numFmtId="0" fontId="10" fillId="3" borderId="0" xfId="0" applyFont="1" applyFill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</cellXfs>
  <cellStyles count="2">
    <cellStyle name="표준" xfId="0" builtinId="0"/>
    <cellStyle name="표준 2" xfId="1" xr:uid="{D2CBF7B0-3793-4DB1-9C3C-35248E45A686}"/>
  </cellStyles>
  <dxfs count="6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6985000" y="1041400"/>
    <xdr:ext cx="1651000" cy="1328718"/>
    <xdr:pic>
      <xdr:nvPicPr>
        <xdr:cNvPr id="3" name="그림 2" descr="첨부 디자인 원본: 자라나와 열리미가 함께 책을 읽는 모습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041400"/>
          <a:ext cx="1651000" cy="1328718"/>
        </a:xfrm>
        <a:prstGeom prst="rect">
          <a:avLst/>
        </a:prstGeom>
      </xdr:spPr>
    </xdr:pic>
    <xdr:clientData/>
  </xdr:absoluteAnchor>
  <xdr:twoCellAnchor editAs="oneCell">
    <xdr:from>
      <xdr:col>0</xdr:col>
      <xdr:colOff>476250</xdr:colOff>
      <xdr:row>18</xdr:row>
      <xdr:rowOff>76200</xdr:rowOff>
    </xdr:from>
    <xdr:to>
      <xdr:col>16</xdr:col>
      <xdr:colOff>392430</xdr:colOff>
      <xdr:row>33</xdr:row>
      <xdr:rowOff>98552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0" y="4152900"/>
          <a:ext cx="8572500" cy="3451352"/>
        </a:xfrm>
        <a:prstGeom prst="rect">
          <a:avLst/>
        </a:prstGeom>
      </xdr:spPr>
    </xdr:pic>
    <xdr:clientData/>
  </xdr:twoCellAnchor>
  <xdr:twoCellAnchor>
    <xdr:from>
      <xdr:col>0</xdr:col>
      <xdr:colOff>254000</xdr:colOff>
      <xdr:row>0</xdr:row>
      <xdr:rowOff>190500</xdr:rowOff>
    </xdr:from>
    <xdr:to>
      <xdr:col>8</xdr:col>
      <xdr:colOff>307340</xdr:colOff>
      <xdr:row>3</xdr:row>
      <xdr:rowOff>60960</xdr:rowOff>
    </xdr:to>
    <xdr:sp macro="[0]!집행실적_불러오기_정리실행" textlink="">
      <xdr:nvSpPr>
        <xdr:cNvPr id="2" name="btnFirstSheet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54000" y="190500"/>
          <a:ext cx="4381500" cy="533400"/>
        </a:xfrm>
        <a:prstGeom prst="roundRect">
          <a:avLst/>
        </a:prstGeom>
        <a:solidFill>
          <a:srgbClr val="5B9BD5"/>
        </a:solidFill>
        <a:ln w="19050">
          <a:solidFill>
            <a:srgbClr val="2F75B5"/>
          </a:solidFill>
        </a:ln>
        <a:effectLst>
          <a:outerShdw blurRad="63500" dist="35921" dir="2700002" rotWithShape="0">
            <a:srgbClr val="787878">
              <a:alpha val="6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56994" rIns="38100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에듀파인 실시간집행실적</a:t>
          </a:r>
          <a:r>
            <a:rPr lang="en-US" altLang="ko-KR" sz="1100" b="1">
              <a:solidFill>
                <a:srgbClr val="FFFFFF"/>
              </a:solidFill>
              <a:latin typeface="맑은 고딕" panose="020B0503020000020004" pitchFamily="50" charset="-127"/>
            </a:rPr>
            <a:t>(102-2)</a:t>
          </a:r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불러오기</a:t>
          </a:r>
        </a:p>
      </xdr:txBody>
    </xdr:sp>
    <xdr:clientData/>
  </xdr:twoCellAnchor>
  <xdr:twoCellAnchor>
    <xdr:from>
      <xdr:col>8</xdr:col>
      <xdr:colOff>497840</xdr:colOff>
      <xdr:row>0</xdr:row>
      <xdr:rowOff>190500</xdr:rowOff>
    </xdr:from>
    <xdr:to>
      <xdr:col>11</xdr:col>
      <xdr:colOff>525780</xdr:colOff>
      <xdr:row>3</xdr:row>
      <xdr:rowOff>60960</xdr:rowOff>
    </xdr:to>
    <xdr:sp macro="[0]!자료_리셋" textlink="">
      <xdr:nvSpPr>
        <xdr:cNvPr id="4" name="btnFirstSheetRes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826000" y="190500"/>
          <a:ext cx="1651000" cy="533400"/>
        </a:xfrm>
        <a:prstGeom prst="roundRect">
          <a:avLst/>
        </a:prstGeom>
        <a:solidFill>
          <a:srgbClr val="C00000"/>
        </a:solidFill>
        <a:ln w="19050">
          <a:solidFill>
            <a:srgbClr val="800000"/>
          </a:solidFill>
        </a:ln>
        <a:effectLst>
          <a:outerShdw blurRad="63500" dist="35921" dir="2700002" rotWithShape="0">
            <a:srgbClr val="787878">
              <a:alpha val="6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6100" rIns="38100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자료 리셋</a:t>
          </a:r>
        </a:p>
      </xdr:txBody>
    </xdr:sp>
    <xdr:clientData/>
  </xdr:twoCellAnchor>
  <xdr:twoCellAnchor>
    <xdr:from>
      <xdr:col>12</xdr:col>
      <xdr:colOff>175260</xdr:colOff>
      <xdr:row>0</xdr:row>
      <xdr:rowOff>190500</xdr:rowOff>
    </xdr:from>
    <xdr:to>
      <xdr:col>15</xdr:col>
      <xdr:colOff>266700</xdr:colOff>
      <xdr:row>3</xdr:row>
      <xdr:rowOff>60960</xdr:rowOff>
    </xdr:to>
    <xdr:sp macro="[0]!파일_저장후종료" textlink="">
      <xdr:nvSpPr>
        <xdr:cNvPr id="5" name="btnFirstSheetSaveClos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667500" y="190500"/>
          <a:ext cx="1714500" cy="533400"/>
        </a:xfrm>
        <a:prstGeom prst="roundRect">
          <a:avLst/>
        </a:prstGeom>
        <a:solidFill>
          <a:srgbClr val="7030A0"/>
        </a:solidFill>
        <a:ln w="19050">
          <a:solidFill>
            <a:srgbClr val="502378"/>
          </a:solidFill>
        </a:ln>
        <a:effectLst>
          <a:outerShdw blurRad="63500" dist="35921" dir="2700002" rotWithShape="0">
            <a:srgbClr val="787878">
              <a:alpha val="6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6100" rIns="38100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저장 후 종료</a:t>
          </a:r>
        </a:p>
      </xdr:txBody>
    </xdr:sp>
    <xdr:clientData/>
  </xdr:twoCellAnchor>
  <xdr:absoluteAnchor>
    <xdr:pos x="304800" y="228600"/>
    <xdr:ext cx="568094" cy="457200"/>
    <xdr:pic macro="[0]!집행실적_불러오기_정리실행">
      <xdr:nvPicPr>
        <xdr:cNvPr id="100" name="CharacterButton_import" descr="캐릭터를 눌러도 버튼 기능이 실행됩니다.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800" y="228600"/>
          <a:ext cx="568094" cy="457200"/>
        </a:xfrm>
        <a:prstGeom prst="rect">
          <a:avLst/>
        </a:prstGeom>
      </xdr:spPr>
    </xdr:pic>
    <xdr:clientData/>
  </xdr:absoluteAnchor>
  <xdr:absoluteAnchor>
    <xdr:pos x="4876800" y="228600"/>
    <xdr:ext cx="457200" cy="457200"/>
    <xdr:pic macro="[0]!자료_리셋">
      <xdr:nvPicPr>
        <xdr:cNvPr id="101" name="CharacterButton_reset" descr="캐릭터를 눌러도 버튼 기능이 실행됩니다.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76800" y="228600"/>
          <a:ext cx="457200" cy="457200"/>
        </a:xfrm>
        <a:prstGeom prst="rect">
          <a:avLst/>
        </a:prstGeom>
      </xdr:spPr>
    </xdr:pic>
    <xdr:clientData/>
  </xdr:absoluteAnchor>
  <xdr:absoluteAnchor>
    <xdr:pos x="6718300" y="228600"/>
    <xdr:ext cx="457200" cy="457200"/>
    <xdr:pic macro="[0]!파일_저장후종료">
      <xdr:nvPicPr>
        <xdr:cNvPr id="102" name="CharacterButton_save" descr="캐릭터를 눌러도 버튼 기능이 실행됩니다.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718300" y="228600"/>
          <a:ext cx="457200" cy="457200"/>
        </a:xfrm>
        <a:prstGeom prst="rect">
          <a:avLst/>
        </a:prstGeom>
      </xdr:spPr>
    </xdr:pic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0</xdr:row>
      <xdr:rowOff>190500</xdr:rowOff>
    </xdr:from>
    <xdr:to>
      <xdr:col>1</xdr:col>
      <xdr:colOff>652780</xdr:colOff>
      <xdr:row>2</xdr:row>
      <xdr:rowOff>180340</xdr:rowOff>
    </xdr:to>
    <xdr:sp macro="[0]!Filter_집행잔액있는항목" textlink="">
      <xdr:nvSpPr>
        <xdr:cNvPr id="2" name="btnBalanc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4000" y="190500"/>
          <a:ext cx="1968500" cy="431800"/>
        </a:xfrm>
        <a:prstGeom prst="roundRect">
          <a:avLst/>
        </a:prstGeom>
        <a:solidFill>
          <a:srgbClr val="5B9BD5"/>
        </a:solidFill>
        <a:ln w="19050">
          <a:solidFill>
            <a:srgbClr val="2F75B5"/>
          </a:solidFill>
        </a:ln>
        <a:effectLst>
          <a:outerShdw blurRad="63500" dist="35921" dir="2700002" rotWithShape="0">
            <a:srgbClr val="787878">
              <a:alpha val="6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집행잔액 있는 항목</a:t>
          </a:r>
        </a:p>
      </xdr:txBody>
    </xdr:sp>
    <xdr:clientData/>
  </xdr:twoCellAnchor>
  <xdr:twoCellAnchor>
    <xdr:from>
      <xdr:col>1</xdr:col>
      <xdr:colOff>779780</xdr:colOff>
      <xdr:row>0</xdr:row>
      <xdr:rowOff>190500</xdr:rowOff>
    </xdr:from>
    <xdr:to>
      <xdr:col>2</xdr:col>
      <xdr:colOff>1457960</xdr:colOff>
      <xdr:row>2</xdr:row>
      <xdr:rowOff>180340</xdr:rowOff>
    </xdr:to>
    <xdr:sp macro="[0]!Filter_불일치항목" textlink="">
      <xdr:nvSpPr>
        <xdr:cNvPr id="3" name="btnMismatch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349500" y="190500"/>
          <a:ext cx="2286000" cy="431800"/>
        </a:xfrm>
        <a:prstGeom prst="roundRect">
          <a:avLst/>
        </a:prstGeom>
        <a:solidFill>
          <a:srgbClr val="ED7D31"/>
        </a:solidFill>
        <a:ln w="19050">
          <a:solidFill>
            <a:srgbClr val="C55A11"/>
          </a:solidFill>
        </a:ln>
        <a:effectLst>
          <a:outerShdw blurRad="63500" dist="35921" dir="2700002" rotWithShape="0">
            <a:srgbClr val="787878">
              <a:alpha val="6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원인행위</a:t>
          </a:r>
          <a:r>
            <a:rPr lang="en-US" altLang="ko-KR" sz="1100" b="1">
              <a:solidFill>
                <a:srgbClr val="FFFFFF"/>
              </a:solidFill>
              <a:latin typeface="맑은 고딕" panose="020B0503020000020004" pitchFamily="50" charset="-127"/>
            </a:rPr>
            <a:t>·</a:t>
          </a:r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지출 불일치</a:t>
          </a:r>
        </a:p>
      </xdr:txBody>
    </xdr:sp>
    <xdr:clientData/>
  </xdr:twoCellAnchor>
  <xdr:twoCellAnchor>
    <xdr:from>
      <xdr:col>2</xdr:col>
      <xdr:colOff>1584960</xdr:colOff>
      <xdr:row>0</xdr:row>
      <xdr:rowOff>190500</xdr:rowOff>
    </xdr:from>
    <xdr:to>
      <xdr:col>3</xdr:col>
      <xdr:colOff>1244600</xdr:colOff>
      <xdr:row>2</xdr:row>
      <xdr:rowOff>180340</xdr:rowOff>
    </xdr:to>
    <xdr:sp macro="[0]!Filter_전체보기" textlink="">
      <xdr:nvSpPr>
        <xdr:cNvPr id="4" name="btnShowAll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762500" y="190500"/>
          <a:ext cx="1397000" cy="431800"/>
        </a:xfrm>
        <a:prstGeom prst="roundRect">
          <a:avLst/>
        </a:prstGeom>
        <a:solidFill>
          <a:srgbClr val="70AD47"/>
        </a:solidFill>
        <a:ln w="19050">
          <a:solidFill>
            <a:srgbClr val="548235"/>
          </a:solidFill>
        </a:ln>
        <a:effectLst>
          <a:outerShdw blurRad="63500" dist="35921" dir="2700002" rotWithShape="0">
            <a:srgbClr val="787878">
              <a:alpha val="6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전체 보기</a:t>
          </a:r>
        </a:p>
      </xdr:txBody>
    </xdr:sp>
    <xdr:clientData/>
  </xdr:twoCellAnchor>
  <xdr:twoCellAnchor>
    <xdr:from>
      <xdr:col>3</xdr:col>
      <xdr:colOff>1371600</xdr:colOff>
      <xdr:row>0</xdr:row>
      <xdr:rowOff>190500</xdr:rowOff>
    </xdr:from>
    <xdr:to>
      <xdr:col>3</xdr:col>
      <xdr:colOff>2959100</xdr:colOff>
      <xdr:row>2</xdr:row>
      <xdr:rowOff>180340</xdr:rowOff>
    </xdr:to>
    <xdr:sp macro="[0]!자료_리셋" textlink="">
      <xdr:nvSpPr>
        <xdr:cNvPr id="5" name="btnReset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6286500" y="190500"/>
          <a:ext cx="1587500" cy="431800"/>
        </a:xfrm>
        <a:prstGeom prst="roundRect">
          <a:avLst/>
        </a:prstGeom>
        <a:solidFill>
          <a:srgbClr val="C00000"/>
        </a:solidFill>
        <a:ln w="19050">
          <a:solidFill>
            <a:srgbClr val="800000"/>
          </a:solidFill>
        </a:ln>
        <a:effectLst>
          <a:outerShdw blurRad="63500" dist="35921" dir="2700002" rotWithShape="0">
            <a:srgbClr val="787878">
              <a:alpha val="6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자료 리셋</a:t>
          </a:r>
        </a:p>
      </xdr:txBody>
    </xdr:sp>
    <xdr:clientData/>
  </xdr:twoCellAnchor>
  <xdr:twoCellAnchor>
    <xdr:from>
      <xdr:col>3</xdr:col>
      <xdr:colOff>3086100</xdr:colOff>
      <xdr:row>0</xdr:row>
      <xdr:rowOff>190500</xdr:rowOff>
    </xdr:from>
    <xdr:to>
      <xdr:col>5</xdr:col>
      <xdr:colOff>322580</xdr:colOff>
      <xdr:row>2</xdr:row>
      <xdr:rowOff>180340</xdr:rowOff>
    </xdr:to>
    <xdr:sp macro="[0]!파일_저장후종료" textlink="">
      <xdr:nvSpPr>
        <xdr:cNvPr id="6" name="btnSaveClose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001000" y="190500"/>
          <a:ext cx="1587500" cy="431800"/>
        </a:xfrm>
        <a:prstGeom prst="roundRect">
          <a:avLst/>
        </a:prstGeom>
        <a:solidFill>
          <a:srgbClr val="7030A0"/>
        </a:solidFill>
        <a:ln w="19050">
          <a:solidFill>
            <a:srgbClr val="502378"/>
          </a:solidFill>
        </a:ln>
        <a:effectLst>
          <a:outerShdw blurRad="63500" dist="35921" dir="2700002" rotWithShape="0">
            <a:srgbClr val="787878">
              <a:alpha val="6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저장 후 종료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61553-58F1-493B-81ED-CEEBCB4EE947}">
  <sheetPr codeName="Sheet1">
    <pageSetUpPr fitToPage="1"/>
  </sheetPr>
  <dimension ref="A6:T40"/>
  <sheetViews>
    <sheetView showGridLines="0" tabSelected="1" zoomScale="85" zoomScaleNormal="85" workbookViewId="0">
      <selection activeCell="R11" sqref="R11"/>
    </sheetView>
  </sheetViews>
  <sheetFormatPr defaultRowHeight="17.399999999999999"/>
  <cols>
    <col min="1" max="20" width="7.09765625" customWidth="1"/>
  </cols>
  <sheetData>
    <row r="6" spans="1:20" ht="18" customHeight="1">
      <c r="A6" s="30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</row>
    <row r="7" spans="1:20" ht="18" customHeight="1">
      <c r="A7" s="30"/>
      <c r="B7" s="34" t="s">
        <v>936</v>
      </c>
      <c r="C7" s="34" t="s">
        <v>936</v>
      </c>
      <c r="D7" s="34" t="s">
        <v>936</v>
      </c>
      <c r="E7" s="34" t="s">
        <v>936</v>
      </c>
      <c r="F7" s="34" t="s">
        <v>936</v>
      </c>
      <c r="G7" s="34" t="s">
        <v>936</v>
      </c>
      <c r="H7" s="34" t="s">
        <v>936</v>
      </c>
      <c r="I7" s="34" t="s">
        <v>936</v>
      </c>
      <c r="J7" s="34" t="s">
        <v>936</v>
      </c>
      <c r="K7" s="34" t="s">
        <v>936</v>
      </c>
      <c r="L7" s="34" t="s">
        <v>936</v>
      </c>
      <c r="M7" s="34" t="s">
        <v>936</v>
      </c>
      <c r="N7" s="34" t="s">
        <v>936</v>
      </c>
      <c r="O7" s="30"/>
      <c r="P7" s="30"/>
      <c r="Q7" s="30"/>
      <c r="R7" s="30"/>
      <c r="S7" s="30"/>
      <c r="T7" s="30"/>
    </row>
    <row r="8" spans="1:20" ht="18" customHeight="1">
      <c r="A8" s="30"/>
      <c r="B8" s="34" t="s">
        <v>936</v>
      </c>
      <c r="C8" s="34" t="s">
        <v>936</v>
      </c>
      <c r="D8" s="34" t="s">
        <v>936</v>
      </c>
      <c r="E8" s="34" t="s">
        <v>936</v>
      </c>
      <c r="F8" s="34" t="s">
        <v>936</v>
      </c>
      <c r="G8" s="34" t="s">
        <v>936</v>
      </c>
      <c r="H8" s="34" t="s">
        <v>936</v>
      </c>
      <c r="I8" s="34" t="s">
        <v>936</v>
      </c>
      <c r="J8" s="34" t="s">
        <v>936</v>
      </c>
      <c r="K8" s="34" t="s">
        <v>936</v>
      </c>
      <c r="L8" s="34" t="s">
        <v>936</v>
      </c>
      <c r="M8" s="34" t="s">
        <v>936</v>
      </c>
      <c r="N8" s="34" t="s">
        <v>936</v>
      </c>
      <c r="O8" s="30"/>
      <c r="P8" s="30"/>
      <c r="Q8" s="30"/>
      <c r="R8" s="30"/>
      <c r="S8" s="30"/>
      <c r="T8" s="30"/>
    </row>
    <row r="9" spans="1:20" ht="18" customHeight="1">
      <c r="A9" s="30"/>
      <c r="B9" s="35" t="s">
        <v>937</v>
      </c>
      <c r="C9" s="35" t="s">
        <v>937</v>
      </c>
      <c r="D9" s="35" t="s">
        <v>937</v>
      </c>
      <c r="E9" s="35" t="s">
        <v>937</v>
      </c>
      <c r="F9" s="35" t="s">
        <v>937</v>
      </c>
      <c r="G9" s="35" t="s">
        <v>937</v>
      </c>
      <c r="H9" s="35" t="s">
        <v>937</v>
      </c>
      <c r="I9" s="35" t="s">
        <v>937</v>
      </c>
      <c r="J9" s="35" t="s">
        <v>937</v>
      </c>
      <c r="K9" s="35" t="s">
        <v>937</v>
      </c>
      <c r="L9" s="35" t="s">
        <v>937</v>
      </c>
      <c r="M9" s="35" t="s">
        <v>937</v>
      </c>
      <c r="N9" s="35" t="s">
        <v>937</v>
      </c>
      <c r="O9" s="30"/>
      <c r="P9" s="30"/>
      <c r="Q9" s="30"/>
      <c r="R9" s="30"/>
      <c r="S9" s="30"/>
      <c r="T9" s="30"/>
    </row>
    <row r="10" spans="1:20" ht="18" customHeight="1">
      <c r="A10" s="30"/>
      <c r="B10" s="35" t="s">
        <v>937</v>
      </c>
      <c r="C10" s="35" t="s">
        <v>937</v>
      </c>
      <c r="D10" s="35" t="s">
        <v>937</v>
      </c>
      <c r="E10" s="35" t="s">
        <v>937</v>
      </c>
      <c r="F10" s="35" t="s">
        <v>937</v>
      </c>
      <c r="G10" s="35" t="s">
        <v>937</v>
      </c>
      <c r="H10" s="35" t="s">
        <v>937</v>
      </c>
      <c r="I10" s="35" t="s">
        <v>937</v>
      </c>
      <c r="J10" s="35" t="s">
        <v>937</v>
      </c>
      <c r="K10" s="35" t="s">
        <v>937</v>
      </c>
      <c r="L10" s="35" t="s">
        <v>937</v>
      </c>
      <c r="M10" s="35" t="s">
        <v>937</v>
      </c>
      <c r="N10" s="35" t="s">
        <v>937</v>
      </c>
      <c r="O10" s="30"/>
      <c r="P10" s="30"/>
      <c r="Q10" s="30"/>
      <c r="R10" s="30"/>
      <c r="S10" s="30"/>
      <c r="T10" s="30"/>
    </row>
    <row r="11" spans="1:20" ht="18" customHeight="1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</row>
    <row r="12" spans="1:20" ht="18" customHeight="1">
      <c r="A12" s="30"/>
      <c r="B12" s="31" t="s">
        <v>938</v>
      </c>
      <c r="C12" s="31" t="s">
        <v>938</v>
      </c>
      <c r="D12" s="31" t="s">
        <v>938</v>
      </c>
      <c r="E12" s="31" t="s">
        <v>938</v>
      </c>
      <c r="F12" s="31" t="s">
        <v>938</v>
      </c>
      <c r="G12" s="31" t="s">
        <v>938</v>
      </c>
      <c r="H12" s="31" t="s">
        <v>938</v>
      </c>
      <c r="I12" s="31" t="s">
        <v>938</v>
      </c>
      <c r="J12" s="31" t="s">
        <v>938</v>
      </c>
      <c r="K12" s="31" t="s">
        <v>938</v>
      </c>
      <c r="L12" s="31" t="s">
        <v>938</v>
      </c>
      <c r="M12" s="31" t="s">
        <v>938</v>
      </c>
      <c r="N12" s="31" t="s">
        <v>938</v>
      </c>
      <c r="O12" s="31" t="s">
        <v>938</v>
      </c>
      <c r="P12" s="31" t="s">
        <v>938</v>
      </c>
      <c r="Q12" s="31" t="s">
        <v>938</v>
      </c>
      <c r="R12" s="31" t="s">
        <v>938</v>
      </c>
      <c r="S12" s="31" t="s">
        <v>938</v>
      </c>
      <c r="T12" s="30"/>
    </row>
    <row r="13" spans="1:20" ht="18" customHeight="1">
      <c r="A13" s="30"/>
      <c r="B13" s="31" t="s">
        <v>938</v>
      </c>
      <c r="C13" s="31" t="s">
        <v>938</v>
      </c>
      <c r="D13" s="31" t="s">
        <v>938</v>
      </c>
      <c r="E13" s="31" t="s">
        <v>938</v>
      </c>
      <c r="F13" s="31" t="s">
        <v>938</v>
      </c>
      <c r="G13" s="31" t="s">
        <v>938</v>
      </c>
      <c r="H13" s="31" t="s">
        <v>938</v>
      </c>
      <c r="I13" s="31" t="s">
        <v>938</v>
      </c>
      <c r="J13" s="31" t="s">
        <v>938</v>
      </c>
      <c r="K13" s="31" t="s">
        <v>938</v>
      </c>
      <c r="L13" s="31" t="s">
        <v>938</v>
      </c>
      <c r="M13" s="31" t="s">
        <v>938</v>
      </c>
      <c r="N13" s="31" t="s">
        <v>938</v>
      </c>
      <c r="O13" s="31" t="s">
        <v>938</v>
      </c>
      <c r="P13" s="31" t="s">
        <v>938</v>
      </c>
      <c r="Q13" s="31" t="s">
        <v>938</v>
      </c>
      <c r="R13" s="31" t="s">
        <v>938</v>
      </c>
      <c r="S13" s="31" t="s">
        <v>938</v>
      </c>
      <c r="T13" s="30"/>
    </row>
    <row r="14" spans="1:20" ht="18" customHeight="1">
      <c r="A14" s="30"/>
      <c r="B14" s="36" t="s">
        <v>939</v>
      </c>
      <c r="C14" s="36" t="s">
        <v>939</v>
      </c>
      <c r="D14" s="36" t="s">
        <v>939</v>
      </c>
      <c r="E14" s="36" t="s">
        <v>939</v>
      </c>
      <c r="F14" s="36" t="s">
        <v>939</v>
      </c>
      <c r="G14" s="36" t="s">
        <v>939</v>
      </c>
      <c r="H14" s="36" t="s">
        <v>939</v>
      </c>
      <c r="I14" s="36" t="s">
        <v>939</v>
      </c>
      <c r="J14" s="36" t="s">
        <v>939</v>
      </c>
      <c r="K14" s="36" t="s">
        <v>939</v>
      </c>
      <c r="L14" s="36" t="s">
        <v>939</v>
      </c>
      <c r="M14" s="36" t="s">
        <v>939</v>
      </c>
      <c r="N14" s="36" t="s">
        <v>939</v>
      </c>
      <c r="O14" s="36" t="s">
        <v>939</v>
      </c>
      <c r="P14" s="36" t="s">
        <v>939</v>
      </c>
      <c r="Q14" s="36" t="s">
        <v>939</v>
      </c>
      <c r="R14" s="36" t="s">
        <v>939</v>
      </c>
      <c r="S14" s="36" t="s">
        <v>939</v>
      </c>
      <c r="T14" s="30"/>
    </row>
    <row r="15" spans="1:20" ht="18" customHeight="1">
      <c r="A15" s="30"/>
      <c r="B15" s="36" t="s">
        <v>939</v>
      </c>
      <c r="C15" s="36" t="s">
        <v>939</v>
      </c>
      <c r="D15" s="36" t="s">
        <v>939</v>
      </c>
      <c r="E15" s="36" t="s">
        <v>939</v>
      </c>
      <c r="F15" s="36" t="s">
        <v>939</v>
      </c>
      <c r="G15" s="36" t="s">
        <v>939</v>
      </c>
      <c r="H15" s="36" t="s">
        <v>939</v>
      </c>
      <c r="I15" s="36" t="s">
        <v>939</v>
      </c>
      <c r="J15" s="36" t="s">
        <v>939</v>
      </c>
      <c r="K15" s="36" t="s">
        <v>939</v>
      </c>
      <c r="L15" s="36" t="s">
        <v>939</v>
      </c>
      <c r="M15" s="36" t="s">
        <v>939</v>
      </c>
      <c r="N15" s="36" t="s">
        <v>939</v>
      </c>
      <c r="O15" s="36" t="s">
        <v>939</v>
      </c>
      <c r="P15" s="36" t="s">
        <v>939</v>
      </c>
      <c r="Q15" s="36" t="s">
        <v>939</v>
      </c>
      <c r="R15" s="36" t="s">
        <v>939</v>
      </c>
      <c r="S15" s="36" t="s">
        <v>939</v>
      </c>
      <c r="T15" s="30"/>
    </row>
    <row r="16" spans="1:20" ht="18" customHeight="1">
      <c r="A16" s="30"/>
      <c r="B16" s="37" t="s">
        <v>940</v>
      </c>
      <c r="C16" s="37" t="s">
        <v>940</v>
      </c>
      <c r="D16" s="37" t="s">
        <v>940</v>
      </c>
      <c r="E16" s="37" t="s">
        <v>940</v>
      </c>
      <c r="F16" s="37" t="s">
        <v>940</v>
      </c>
      <c r="G16" s="37" t="s">
        <v>940</v>
      </c>
      <c r="H16" s="37" t="s">
        <v>940</v>
      </c>
      <c r="I16" s="37" t="s">
        <v>940</v>
      </c>
      <c r="J16" s="37" t="s">
        <v>940</v>
      </c>
      <c r="K16" s="37" t="s">
        <v>940</v>
      </c>
      <c r="L16" s="37" t="s">
        <v>940</v>
      </c>
      <c r="M16" s="37" t="s">
        <v>940</v>
      </c>
      <c r="N16" s="37" t="s">
        <v>940</v>
      </c>
      <c r="O16" s="37" t="s">
        <v>940</v>
      </c>
      <c r="P16" s="37" t="s">
        <v>940</v>
      </c>
      <c r="Q16" s="37" t="s">
        <v>940</v>
      </c>
      <c r="R16" s="37" t="s">
        <v>940</v>
      </c>
      <c r="S16" s="37" t="s">
        <v>940</v>
      </c>
      <c r="T16" s="30"/>
    </row>
    <row r="17" spans="1:20" ht="18" customHeight="1">
      <c r="A17" s="30"/>
      <c r="B17" s="37" t="s">
        <v>940</v>
      </c>
      <c r="C17" s="37" t="s">
        <v>940</v>
      </c>
      <c r="D17" s="37" t="s">
        <v>940</v>
      </c>
      <c r="E17" s="37" t="s">
        <v>940</v>
      </c>
      <c r="F17" s="37" t="s">
        <v>940</v>
      </c>
      <c r="G17" s="37" t="s">
        <v>940</v>
      </c>
      <c r="H17" s="37" t="s">
        <v>940</v>
      </c>
      <c r="I17" s="37" t="s">
        <v>940</v>
      </c>
      <c r="J17" s="37" t="s">
        <v>940</v>
      </c>
      <c r="K17" s="37" t="s">
        <v>940</v>
      </c>
      <c r="L17" s="37" t="s">
        <v>940</v>
      </c>
      <c r="M17" s="37" t="s">
        <v>940</v>
      </c>
      <c r="N17" s="37" t="s">
        <v>940</v>
      </c>
      <c r="O17" s="37" t="s">
        <v>940</v>
      </c>
      <c r="P17" s="37" t="s">
        <v>940</v>
      </c>
      <c r="Q17" s="37" t="s">
        <v>940</v>
      </c>
      <c r="R17" s="37" t="s">
        <v>940</v>
      </c>
      <c r="S17" s="37" t="s">
        <v>940</v>
      </c>
      <c r="T17" s="30"/>
    </row>
    <row r="18" spans="1:20" ht="18" customHeight="1">
      <c r="A18" s="30"/>
      <c r="B18" s="38" t="s">
        <v>941</v>
      </c>
      <c r="C18" s="38" t="s">
        <v>941</v>
      </c>
      <c r="D18" s="38" t="s">
        <v>941</v>
      </c>
      <c r="E18" s="38" t="s">
        <v>941</v>
      </c>
      <c r="F18" s="38" t="s">
        <v>941</v>
      </c>
      <c r="G18" s="38" t="s">
        <v>941</v>
      </c>
      <c r="H18" s="38" t="s">
        <v>941</v>
      </c>
      <c r="I18" s="38" t="s">
        <v>941</v>
      </c>
      <c r="J18" s="38" t="s">
        <v>941</v>
      </c>
      <c r="K18" s="38" t="s">
        <v>941</v>
      </c>
      <c r="L18" s="38" t="s">
        <v>941</v>
      </c>
      <c r="M18" s="38" t="s">
        <v>941</v>
      </c>
      <c r="N18" s="38" t="s">
        <v>941</v>
      </c>
      <c r="O18" s="38" t="s">
        <v>941</v>
      </c>
      <c r="P18" s="38" t="s">
        <v>941</v>
      </c>
      <c r="Q18" s="38" t="s">
        <v>941</v>
      </c>
      <c r="R18" s="38" t="s">
        <v>941</v>
      </c>
      <c r="S18" s="38" t="s">
        <v>941</v>
      </c>
      <c r="T18" s="30"/>
    </row>
    <row r="19" spans="1:20" ht="18" customHeight="1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</row>
    <row r="20" spans="1:20" ht="18" customHeight="1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</row>
    <row r="21" spans="1:20" ht="18" customHeight="1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</row>
    <row r="22" spans="1:20" ht="18" customHeight="1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</row>
    <row r="23" spans="1:20" ht="18" customHeight="1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</row>
    <row r="24" spans="1:20" ht="18" customHeight="1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</row>
    <row r="25" spans="1:20" ht="18" customHeight="1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</row>
    <row r="26" spans="1:20" ht="18" customHeight="1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</row>
    <row r="27" spans="1:20" ht="18" customHeight="1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</row>
    <row r="28" spans="1:20" ht="18" customHeight="1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</row>
    <row r="29" spans="1:20" ht="18" customHeight="1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</row>
    <row r="30" spans="1:20" ht="18" customHeight="1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</row>
    <row r="31" spans="1:20" ht="18" customHeight="1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</row>
    <row r="32" spans="1:20" ht="18" customHeight="1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</row>
    <row r="33" spans="1:20" ht="18" customHeight="1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</row>
    <row r="34" spans="1:20" ht="18" customHeight="1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</row>
    <row r="35" spans="1:20" ht="18" customHeight="1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</row>
    <row r="36" spans="1:20" ht="18" customHeight="1">
      <c r="A36" s="30"/>
      <c r="B36" s="2" t="s">
        <v>942</v>
      </c>
      <c r="C36" s="31" t="s">
        <v>942</v>
      </c>
      <c r="D36" s="31" t="s">
        <v>942</v>
      </c>
      <c r="E36" s="31" t="s">
        <v>942</v>
      </c>
      <c r="F36" s="31" t="s">
        <v>942</v>
      </c>
      <c r="G36" s="31" t="s">
        <v>942</v>
      </c>
      <c r="H36" s="31" t="s">
        <v>942</v>
      </c>
      <c r="I36" s="31" t="s">
        <v>942</v>
      </c>
      <c r="J36" s="31" t="s">
        <v>942</v>
      </c>
      <c r="K36" s="31" t="s">
        <v>942</v>
      </c>
      <c r="L36" s="31" t="s">
        <v>942</v>
      </c>
      <c r="M36" s="31" t="s">
        <v>942</v>
      </c>
      <c r="N36" s="31" t="s">
        <v>942</v>
      </c>
      <c r="O36" s="31" t="s">
        <v>942</v>
      </c>
      <c r="P36" s="31" t="s">
        <v>942</v>
      </c>
      <c r="Q36" s="31" t="s">
        <v>942</v>
      </c>
      <c r="R36" s="31" t="s">
        <v>942</v>
      </c>
      <c r="S36" s="31" t="s">
        <v>942</v>
      </c>
      <c r="T36" s="30"/>
    </row>
    <row r="37" spans="1:20" ht="18" customHeight="1">
      <c r="A37" s="30"/>
      <c r="B37" s="31" t="s">
        <v>942</v>
      </c>
      <c r="C37" s="31" t="s">
        <v>942</v>
      </c>
      <c r="D37" s="31" t="s">
        <v>942</v>
      </c>
      <c r="E37" s="31" t="s">
        <v>942</v>
      </c>
      <c r="F37" s="31" t="s">
        <v>942</v>
      </c>
      <c r="G37" s="31" t="s">
        <v>942</v>
      </c>
      <c r="H37" s="31" t="s">
        <v>942</v>
      </c>
      <c r="I37" s="31" t="s">
        <v>942</v>
      </c>
      <c r="J37" s="31" t="s">
        <v>942</v>
      </c>
      <c r="K37" s="31" t="s">
        <v>942</v>
      </c>
      <c r="L37" s="31" t="s">
        <v>942</v>
      </c>
      <c r="M37" s="31" t="s">
        <v>942</v>
      </c>
      <c r="N37" s="31" t="s">
        <v>942</v>
      </c>
      <c r="O37" s="31" t="s">
        <v>942</v>
      </c>
      <c r="P37" s="31" t="s">
        <v>942</v>
      </c>
      <c r="Q37" s="31" t="s">
        <v>942</v>
      </c>
      <c r="R37" s="31" t="s">
        <v>942</v>
      </c>
      <c r="S37" s="31" t="s">
        <v>942</v>
      </c>
      <c r="T37" s="30"/>
    </row>
    <row r="38" spans="1:20" ht="18" customHeight="1">
      <c r="A38" s="30"/>
      <c r="B38" s="32" t="s">
        <v>943</v>
      </c>
      <c r="C38" s="32" t="s">
        <v>943</v>
      </c>
      <c r="D38" s="32" t="s">
        <v>943</v>
      </c>
      <c r="E38" s="32" t="s">
        <v>943</v>
      </c>
      <c r="F38" s="32" t="s">
        <v>943</v>
      </c>
      <c r="G38" s="32" t="s">
        <v>943</v>
      </c>
      <c r="H38" s="32" t="s">
        <v>943</v>
      </c>
      <c r="I38" s="32" t="s">
        <v>943</v>
      </c>
      <c r="J38" s="32" t="s">
        <v>943</v>
      </c>
      <c r="K38" s="32" t="s">
        <v>943</v>
      </c>
      <c r="L38" s="32" t="s">
        <v>943</v>
      </c>
      <c r="M38" s="32" t="s">
        <v>943</v>
      </c>
      <c r="N38" s="32" t="s">
        <v>943</v>
      </c>
      <c r="O38" s="32" t="s">
        <v>943</v>
      </c>
      <c r="P38" s="32" t="s">
        <v>943</v>
      </c>
      <c r="Q38" s="32" t="s">
        <v>943</v>
      </c>
      <c r="R38" s="32" t="s">
        <v>943</v>
      </c>
      <c r="S38" s="32" t="s">
        <v>943</v>
      </c>
      <c r="T38" s="30"/>
    </row>
    <row r="39" spans="1:20" ht="18" customHeight="1">
      <c r="A39" s="30"/>
      <c r="B39" s="32" t="s">
        <v>943</v>
      </c>
      <c r="C39" s="32" t="s">
        <v>943</v>
      </c>
      <c r="D39" s="32" t="s">
        <v>943</v>
      </c>
      <c r="E39" s="32" t="s">
        <v>943</v>
      </c>
      <c r="F39" s="32" t="s">
        <v>943</v>
      </c>
      <c r="G39" s="32" t="s">
        <v>943</v>
      </c>
      <c r="H39" s="32" t="s">
        <v>943</v>
      </c>
      <c r="I39" s="32" t="s">
        <v>943</v>
      </c>
      <c r="J39" s="32" t="s">
        <v>943</v>
      </c>
      <c r="K39" s="32" t="s">
        <v>943</v>
      </c>
      <c r="L39" s="32" t="s">
        <v>943</v>
      </c>
      <c r="M39" s="32" t="s">
        <v>943</v>
      </c>
      <c r="N39" s="32" t="s">
        <v>943</v>
      </c>
      <c r="O39" s="32" t="s">
        <v>943</v>
      </c>
      <c r="P39" s="32" t="s">
        <v>943</v>
      </c>
      <c r="Q39" s="32" t="s">
        <v>943</v>
      </c>
      <c r="R39" s="32" t="s">
        <v>943</v>
      </c>
      <c r="S39" s="32" t="s">
        <v>943</v>
      </c>
      <c r="T39" s="30"/>
    </row>
    <row r="40" spans="1:20" ht="18" customHeight="1">
      <c r="A40" s="30"/>
      <c r="B40" s="33" t="s">
        <v>944</v>
      </c>
      <c r="C40" s="33" t="s">
        <v>944</v>
      </c>
      <c r="D40" s="33" t="s">
        <v>944</v>
      </c>
      <c r="E40" s="33" t="s">
        <v>944</v>
      </c>
      <c r="F40" s="33" t="s">
        <v>944</v>
      </c>
      <c r="G40" s="33" t="s">
        <v>944</v>
      </c>
      <c r="H40" s="33" t="s">
        <v>944</v>
      </c>
      <c r="I40" s="33" t="s">
        <v>944</v>
      </c>
      <c r="J40" s="33" t="s">
        <v>944</v>
      </c>
      <c r="K40" s="33" t="s">
        <v>944</v>
      </c>
      <c r="L40" s="33" t="s">
        <v>944</v>
      </c>
      <c r="M40" s="33" t="s">
        <v>944</v>
      </c>
      <c r="N40" s="33" t="s">
        <v>944</v>
      </c>
      <c r="O40" s="33" t="s">
        <v>944</v>
      </c>
      <c r="P40" s="33" t="s">
        <v>944</v>
      </c>
      <c r="Q40" s="33" t="s">
        <v>944</v>
      </c>
      <c r="R40" s="33" t="s">
        <v>944</v>
      </c>
      <c r="S40" s="33" t="s">
        <v>944</v>
      </c>
      <c r="T40" s="30"/>
    </row>
  </sheetData>
  <mergeCells count="9">
    <mergeCell ref="B36:S37"/>
    <mergeCell ref="B38:S39"/>
    <mergeCell ref="B40:S40"/>
    <mergeCell ref="B7:N8"/>
    <mergeCell ref="B9:N10"/>
    <mergeCell ref="B12:S13"/>
    <mergeCell ref="B14:S15"/>
    <mergeCell ref="B16:S17"/>
    <mergeCell ref="B18:S1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DA54A-8B5E-4704-943A-2AAD1A826C51}">
  <dimension ref="A1:AY527"/>
  <sheetViews>
    <sheetView workbookViewId="0">
      <selection sqref="A1:AY1"/>
    </sheetView>
  </sheetViews>
  <sheetFormatPr defaultColWidth="20.796875" defaultRowHeight="17.399999999999999"/>
  <cols>
    <col min="1" max="51" width="20" style="1" customWidth="1"/>
    <col min="52" max="16384" width="20.796875" style="1"/>
  </cols>
  <sheetData>
    <row r="1" spans="1:51">
      <c r="A1" s="39" t="s">
        <v>0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</row>
    <row r="3" spans="1:51" ht="39.6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2" t="s">
        <v>8</v>
      </c>
      <c r="I3" s="2" t="s">
        <v>9</v>
      </c>
      <c r="J3" s="2" t="s">
        <v>10</v>
      </c>
      <c r="K3" s="2" t="s">
        <v>11</v>
      </c>
      <c r="L3" s="2" t="s">
        <v>12</v>
      </c>
      <c r="M3" s="2" t="s">
        <v>13</v>
      </c>
      <c r="N3" s="2" t="s">
        <v>14</v>
      </c>
      <c r="O3" s="2" t="s">
        <v>15</v>
      </c>
      <c r="P3" s="2" t="s">
        <v>16</v>
      </c>
      <c r="Q3" s="2" t="s">
        <v>17</v>
      </c>
      <c r="R3" s="2" t="s">
        <v>18</v>
      </c>
      <c r="S3" s="2" t="s">
        <v>19</v>
      </c>
      <c r="T3" s="2" t="s">
        <v>20</v>
      </c>
      <c r="U3" s="2" t="s">
        <v>21</v>
      </c>
      <c r="V3" s="2" t="s">
        <v>22</v>
      </c>
      <c r="W3" s="2" t="s">
        <v>23</v>
      </c>
      <c r="X3" s="2" t="s">
        <v>24</v>
      </c>
      <c r="Y3" s="2" t="s">
        <v>25</v>
      </c>
      <c r="Z3" s="2" t="s">
        <v>26</v>
      </c>
      <c r="AA3" s="2" t="s">
        <v>27</v>
      </c>
      <c r="AB3" s="2" t="s">
        <v>28</v>
      </c>
      <c r="AC3" s="2" t="s">
        <v>29</v>
      </c>
      <c r="AD3" s="2" t="s">
        <v>30</v>
      </c>
      <c r="AE3" s="2" t="s">
        <v>31</v>
      </c>
      <c r="AF3" s="2" t="s">
        <v>32</v>
      </c>
      <c r="AG3" s="2" t="s">
        <v>33</v>
      </c>
      <c r="AH3" s="2" t="s">
        <v>34</v>
      </c>
      <c r="AI3" s="2" t="s">
        <v>35</v>
      </c>
      <c r="AJ3" s="2" t="s">
        <v>36</v>
      </c>
      <c r="AK3" s="2" t="s">
        <v>37</v>
      </c>
      <c r="AL3" s="2" t="s">
        <v>38</v>
      </c>
      <c r="AM3" s="2" t="s">
        <v>39</v>
      </c>
      <c r="AN3" s="2" t="s">
        <v>40</v>
      </c>
      <c r="AO3" s="2" t="s">
        <v>41</v>
      </c>
      <c r="AP3" s="2" t="s">
        <v>42</v>
      </c>
      <c r="AQ3" s="2" t="s">
        <v>43</v>
      </c>
      <c r="AR3" s="2" t="s">
        <v>44</v>
      </c>
      <c r="AS3" s="2" t="s">
        <v>45</v>
      </c>
      <c r="AT3" s="2" t="s">
        <v>46</v>
      </c>
      <c r="AU3" s="2" t="s">
        <v>47</v>
      </c>
      <c r="AV3" s="2" t="s">
        <v>48</v>
      </c>
      <c r="AW3" s="2" t="s">
        <v>49</v>
      </c>
      <c r="AX3" s="2" t="s">
        <v>50</v>
      </c>
      <c r="AY3" s="2" t="s">
        <v>51</v>
      </c>
    </row>
    <row r="4" spans="1:51">
      <c r="A4" s="3" t="s">
        <v>52</v>
      </c>
      <c r="B4" s="3" t="s">
        <v>53</v>
      </c>
      <c r="C4" s="3" t="s">
        <v>54</v>
      </c>
      <c r="D4" s="3" t="s">
        <v>55</v>
      </c>
      <c r="E4" s="3" t="s">
        <v>56</v>
      </c>
      <c r="F4" s="3" t="s">
        <v>57</v>
      </c>
      <c r="G4" s="3" t="s">
        <v>58</v>
      </c>
      <c r="H4" s="3" t="s">
        <v>59</v>
      </c>
      <c r="I4" s="3" t="s">
        <v>60</v>
      </c>
      <c r="J4" s="3" t="s">
        <v>61</v>
      </c>
      <c r="K4" s="3" t="s">
        <v>62</v>
      </c>
      <c r="L4" s="3" t="s">
        <v>63</v>
      </c>
      <c r="M4" s="3" t="s">
        <v>64</v>
      </c>
      <c r="N4" s="3" t="s">
        <v>65</v>
      </c>
      <c r="O4" s="3" t="s">
        <v>66</v>
      </c>
      <c r="P4" s="3" t="s">
        <v>67</v>
      </c>
      <c r="Q4" s="3" t="s">
        <v>68</v>
      </c>
      <c r="R4" s="3" t="s">
        <v>69</v>
      </c>
      <c r="S4" s="3" t="s">
        <v>70</v>
      </c>
      <c r="T4" s="3" t="s">
        <v>71</v>
      </c>
      <c r="U4" s="3" t="s">
        <v>54</v>
      </c>
      <c r="V4" s="3" t="s">
        <v>72</v>
      </c>
      <c r="W4" s="3" t="s">
        <v>73</v>
      </c>
      <c r="X4" s="3" t="s">
        <v>74</v>
      </c>
      <c r="Y4" s="3" t="s">
        <v>75</v>
      </c>
      <c r="Z4" s="3" t="s">
        <v>76</v>
      </c>
      <c r="AA4" s="3" t="s">
        <v>77</v>
      </c>
      <c r="AB4" s="4">
        <v>3000000</v>
      </c>
      <c r="AC4" s="4">
        <v>0</v>
      </c>
      <c r="AD4" s="4">
        <v>0</v>
      </c>
      <c r="AE4" s="4">
        <v>3000000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3000000</v>
      </c>
      <c r="AR4" s="4">
        <v>0</v>
      </c>
      <c r="AS4" s="4">
        <v>0</v>
      </c>
      <c r="AT4" s="4">
        <v>0</v>
      </c>
      <c r="AU4" s="4">
        <v>0</v>
      </c>
      <c r="AV4" s="4">
        <v>0</v>
      </c>
      <c r="AW4" s="4">
        <v>0</v>
      </c>
      <c r="AX4" s="4">
        <v>3000000</v>
      </c>
      <c r="AY4" s="4">
        <v>3000000</v>
      </c>
    </row>
    <row r="5" spans="1:51">
      <c r="A5" s="3" t="s">
        <v>52</v>
      </c>
      <c r="B5" s="3" t="s">
        <v>53</v>
      </c>
      <c r="C5" s="3" t="s">
        <v>54</v>
      </c>
      <c r="D5" s="3" t="s">
        <v>55</v>
      </c>
      <c r="E5" s="3" t="s">
        <v>56</v>
      </c>
      <c r="F5" s="3" t="s">
        <v>57</v>
      </c>
      <c r="G5" s="3" t="s">
        <v>58</v>
      </c>
      <c r="H5" s="3" t="s">
        <v>59</v>
      </c>
      <c r="I5" s="3" t="s">
        <v>60</v>
      </c>
      <c r="J5" s="3" t="s">
        <v>61</v>
      </c>
      <c r="K5" s="3" t="s">
        <v>62</v>
      </c>
      <c r="L5" s="3" t="s">
        <v>63</v>
      </c>
      <c r="M5" s="3" t="s">
        <v>64</v>
      </c>
      <c r="N5" s="3" t="s">
        <v>65</v>
      </c>
      <c r="O5" s="3" t="s">
        <v>66</v>
      </c>
      <c r="P5" s="3" t="s">
        <v>67</v>
      </c>
      <c r="Q5" s="3" t="s">
        <v>68</v>
      </c>
      <c r="R5" s="3" t="s">
        <v>69</v>
      </c>
      <c r="S5" s="3" t="s">
        <v>70</v>
      </c>
      <c r="T5" s="3" t="s">
        <v>71</v>
      </c>
      <c r="U5" s="3" t="s">
        <v>54</v>
      </c>
      <c r="V5" s="3" t="s">
        <v>72</v>
      </c>
      <c r="W5" s="3" t="s">
        <v>73</v>
      </c>
      <c r="X5" s="3" t="s">
        <v>74</v>
      </c>
      <c r="Y5" s="3" t="s">
        <v>78</v>
      </c>
      <c r="Z5" s="3" t="s">
        <v>79</v>
      </c>
      <c r="AA5" s="3" t="s">
        <v>80</v>
      </c>
      <c r="AB5" s="4">
        <v>3000000</v>
      </c>
      <c r="AC5" s="4">
        <v>0</v>
      </c>
      <c r="AD5" s="4">
        <v>0</v>
      </c>
      <c r="AE5" s="4">
        <v>3000000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3000000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4">
        <v>0</v>
      </c>
      <c r="AX5" s="4">
        <v>3000000</v>
      </c>
      <c r="AY5" s="4">
        <v>3000000</v>
      </c>
    </row>
    <row r="6" spans="1:51">
      <c r="A6" s="3" t="s">
        <v>52</v>
      </c>
      <c r="B6" s="3" t="s">
        <v>53</v>
      </c>
      <c r="C6" s="3" t="s">
        <v>54</v>
      </c>
      <c r="D6" s="3" t="s">
        <v>55</v>
      </c>
      <c r="E6" s="3" t="s">
        <v>56</v>
      </c>
      <c r="F6" s="3" t="s">
        <v>57</v>
      </c>
      <c r="G6" s="3" t="s">
        <v>58</v>
      </c>
      <c r="H6" s="3" t="s">
        <v>59</v>
      </c>
      <c r="I6" s="3" t="s">
        <v>60</v>
      </c>
      <c r="J6" s="3" t="s">
        <v>61</v>
      </c>
      <c r="K6" s="3" t="s">
        <v>62</v>
      </c>
      <c r="L6" s="3" t="s">
        <v>63</v>
      </c>
      <c r="M6" s="3" t="s">
        <v>64</v>
      </c>
      <c r="N6" s="3" t="s">
        <v>65</v>
      </c>
      <c r="O6" s="3" t="s">
        <v>66</v>
      </c>
      <c r="P6" s="3" t="s">
        <v>67</v>
      </c>
      <c r="Q6" s="3" t="s">
        <v>68</v>
      </c>
      <c r="R6" s="3" t="s">
        <v>69</v>
      </c>
      <c r="S6" s="3" t="s">
        <v>70</v>
      </c>
      <c r="T6" s="3" t="s">
        <v>71</v>
      </c>
      <c r="U6" s="3" t="s">
        <v>54</v>
      </c>
      <c r="V6" s="3" t="s">
        <v>72</v>
      </c>
      <c r="W6" s="3" t="s">
        <v>73</v>
      </c>
      <c r="X6" s="3" t="s">
        <v>74</v>
      </c>
      <c r="Y6" s="3" t="s">
        <v>81</v>
      </c>
      <c r="Z6" s="3" t="s">
        <v>82</v>
      </c>
      <c r="AA6" s="3" t="s">
        <v>83</v>
      </c>
      <c r="AB6" s="4">
        <v>6750000</v>
      </c>
      <c r="AC6" s="4">
        <v>0</v>
      </c>
      <c r="AD6" s="4">
        <v>0</v>
      </c>
      <c r="AE6" s="4">
        <v>6750000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6750000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">
        <v>0</v>
      </c>
      <c r="AX6" s="4">
        <v>6750000</v>
      </c>
      <c r="AY6" s="4">
        <v>6750000</v>
      </c>
    </row>
    <row r="7" spans="1:51">
      <c r="A7" s="3" t="s">
        <v>52</v>
      </c>
      <c r="B7" s="3" t="s">
        <v>53</v>
      </c>
      <c r="C7" s="3" t="s">
        <v>54</v>
      </c>
      <c r="D7" s="3" t="s">
        <v>55</v>
      </c>
      <c r="E7" s="3" t="s">
        <v>56</v>
      </c>
      <c r="F7" s="3" t="s">
        <v>57</v>
      </c>
      <c r="G7" s="3" t="s">
        <v>58</v>
      </c>
      <c r="H7" s="3" t="s">
        <v>59</v>
      </c>
      <c r="I7" s="3" t="s">
        <v>60</v>
      </c>
      <c r="J7" s="3" t="s">
        <v>61</v>
      </c>
      <c r="K7" s="3" t="s">
        <v>62</v>
      </c>
      <c r="L7" s="3" t="s">
        <v>63</v>
      </c>
      <c r="M7" s="3" t="s">
        <v>64</v>
      </c>
      <c r="N7" s="3" t="s">
        <v>65</v>
      </c>
      <c r="O7" s="3" t="s">
        <v>66</v>
      </c>
      <c r="P7" s="3" t="s">
        <v>67</v>
      </c>
      <c r="Q7" s="3" t="s">
        <v>68</v>
      </c>
      <c r="R7" s="3" t="s">
        <v>69</v>
      </c>
      <c r="S7" s="3" t="s">
        <v>70</v>
      </c>
      <c r="T7" s="3" t="s">
        <v>71</v>
      </c>
      <c r="U7" s="3" t="s">
        <v>54</v>
      </c>
      <c r="V7" s="3" t="s">
        <v>72</v>
      </c>
      <c r="W7" s="3" t="s">
        <v>73</v>
      </c>
      <c r="X7" s="3" t="s">
        <v>74</v>
      </c>
      <c r="Y7" s="3" t="s">
        <v>81</v>
      </c>
      <c r="Z7" s="3" t="s">
        <v>82</v>
      </c>
      <c r="AA7" s="3" t="s">
        <v>84</v>
      </c>
      <c r="AB7" s="4">
        <v>750000</v>
      </c>
      <c r="AC7" s="4">
        <v>0</v>
      </c>
      <c r="AD7" s="4">
        <v>0</v>
      </c>
      <c r="AE7" s="4">
        <v>750000</v>
      </c>
      <c r="AF7" s="4">
        <v>0</v>
      </c>
      <c r="AG7" s="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750000</v>
      </c>
      <c r="AR7" s="4">
        <v>300000</v>
      </c>
      <c r="AS7" s="4">
        <v>300000</v>
      </c>
      <c r="AT7" s="4">
        <v>0</v>
      </c>
      <c r="AU7" s="4">
        <v>0</v>
      </c>
      <c r="AV7" s="4">
        <v>0</v>
      </c>
      <c r="AW7" s="4">
        <v>0</v>
      </c>
      <c r="AX7" s="4">
        <v>450000</v>
      </c>
      <c r="AY7" s="4">
        <v>450000</v>
      </c>
    </row>
    <row r="8" spans="1:51">
      <c r="A8" s="3" t="s">
        <v>52</v>
      </c>
      <c r="B8" s="3" t="s">
        <v>53</v>
      </c>
      <c r="C8" s="3" t="s">
        <v>54</v>
      </c>
      <c r="D8" s="3" t="s">
        <v>55</v>
      </c>
      <c r="E8" s="3" t="s">
        <v>56</v>
      </c>
      <c r="F8" s="3" t="s">
        <v>57</v>
      </c>
      <c r="G8" s="3" t="s">
        <v>58</v>
      </c>
      <c r="H8" s="3" t="s">
        <v>59</v>
      </c>
      <c r="I8" s="3" t="s">
        <v>60</v>
      </c>
      <c r="J8" s="3" t="s">
        <v>61</v>
      </c>
      <c r="K8" s="3" t="s">
        <v>62</v>
      </c>
      <c r="L8" s="3" t="s">
        <v>63</v>
      </c>
      <c r="M8" s="3" t="s">
        <v>64</v>
      </c>
      <c r="N8" s="3" t="s">
        <v>65</v>
      </c>
      <c r="O8" s="3" t="s">
        <v>66</v>
      </c>
      <c r="P8" s="3" t="s">
        <v>67</v>
      </c>
      <c r="Q8" s="3" t="s">
        <v>68</v>
      </c>
      <c r="R8" s="3" t="s">
        <v>69</v>
      </c>
      <c r="S8" s="3" t="s">
        <v>70</v>
      </c>
      <c r="T8" s="3" t="s">
        <v>71</v>
      </c>
      <c r="U8" s="3" t="s">
        <v>54</v>
      </c>
      <c r="V8" s="3" t="s">
        <v>72</v>
      </c>
      <c r="W8" s="3" t="s">
        <v>73</v>
      </c>
      <c r="X8" s="3" t="s">
        <v>74</v>
      </c>
      <c r="Y8" s="3" t="s">
        <v>81</v>
      </c>
      <c r="Z8" s="3" t="s">
        <v>82</v>
      </c>
      <c r="AA8" s="3" t="s">
        <v>85</v>
      </c>
      <c r="AB8" s="4">
        <v>800000</v>
      </c>
      <c r="AC8" s="4">
        <v>0</v>
      </c>
      <c r="AD8" s="4">
        <v>0</v>
      </c>
      <c r="AE8" s="4">
        <v>800000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800000</v>
      </c>
      <c r="AR8" s="4">
        <v>46000</v>
      </c>
      <c r="AS8" s="4">
        <v>46000</v>
      </c>
      <c r="AT8" s="4">
        <v>0</v>
      </c>
      <c r="AU8" s="4">
        <v>0</v>
      </c>
      <c r="AV8" s="4">
        <v>0</v>
      </c>
      <c r="AW8" s="4">
        <v>0</v>
      </c>
      <c r="AX8" s="4">
        <v>754000</v>
      </c>
      <c r="AY8" s="4">
        <v>754000</v>
      </c>
    </row>
    <row r="9" spans="1:51">
      <c r="A9" s="3" t="s">
        <v>52</v>
      </c>
      <c r="B9" s="3" t="s">
        <v>53</v>
      </c>
      <c r="C9" s="3" t="s">
        <v>54</v>
      </c>
      <c r="D9" s="3" t="s">
        <v>55</v>
      </c>
      <c r="E9" s="3" t="s">
        <v>56</v>
      </c>
      <c r="F9" s="3" t="s">
        <v>57</v>
      </c>
      <c r="G9" s="3" t="s">
        <v>58</v>
      </c>
      <c r="H9" s="3" t="s">
        <v>59</v>
      </c>
      <c r="I9" s="3" t="s">
        <v>60</v>
      </c>
      <c r="J9" s="3" t="s">
        <v>61</v>
      </c>
      <c r="K9" s="3" t="s">
        <v>62</v>
      </c>
      <c r="L9" s="3" t="s">
        <v>63</v>
      </c>
      <c r="M9" s="3" t="s">
        <v>64</v>
      </c>
      <c r="N9" s="3" t="s">
        <v>65</v>
      </c>
      <c r="O9" s="3" t="s">
        <v>66</v>
      </c>
      <c r="P9" s="3" t="s">
        <v>67</v>
      </c>
      <c r="Q9" s="3" t="s">
        <v>68</v>
      </c>
      <c r="R9" s="3" t="s">
        <v>69</v>
      </c>
      <c r="S9" s="3" t="s">
        <v>70</v>
      </c>
      <c r="T9" s="3" t="s">
        <v>71</v>
      </c>
      <c r="U9" s="3" t="s">
        <v>86</v>
      </c>
      <c r="V9" s="3" t="s">
        <v>87</v>
      </c>
      <c r="W9" s="3" t="s">
        <v>88</v>
      </c>
      <c r="X9" s="3" t="s">
        <v>89</v>
      </c>
      <c r="Y9" s="3" t="s">
        <v>90</v>
      </c>
      <c r="Z9" s="3" t="s">
        <v>89</v>
      </c>
      <c r="AA9" s="3" t="s">
        <v>91</v>
      </c>
      <c r="AB9" s="4">
        <v>640000</v>
      </c>
      <c r="AC9" s="4">
        <v>0</v>
      </c>
      <c r="AD9" s="4">
        <v>0</v>
      </c>
      <c r="AE9" s="4">
        <v>640000</v>
      </c>
      <c r="AF9" s="4">
        <v>0</v>
      </c>
      <c r="AG9" s="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 s="4">
        <v>0</v>
      </c>
      <c r="AN9" s="4">
        <v>0</v>
      </c>
      <c r="AO9" s="4">
        <v>0</v>
      </c>
      <c r="AP9" s="4">
        <v>0</v>
      </c>
      <c r="AQ9" s="4">
        <v>640000</v>
      </c>
      <c r="AR9" s="4">
        <v>0</v>
      </c>
      <c r="AS9" s="4">
        <v>0</v>
      </c>
      <c r="AT9" s="4">
        <v>0</v>
      </c>
      <c r="AU9" s="4">
        <v>0</v>
      </c>
      <c r="AV9" s="4">
        <v>0</v>
      </c>
      <c r="AW9" s="4">
        <v>0</v>
      </c>
      <c r="AX9" s="4">
        <v>640000</v>
      </c>
      <c r="AY9" s="4">
        <v>640000</v>
      </c>
    </row>
    <row r="10" spans="1:51">
      <c r="A10" s="3" t="s">
        <v>52</v>
      </c>
      <c r="B10" s="3" t="s">
        <v>53</v>
      </c>
      <c r="C10" s="3" t="s">
        <v>54</v>
      </c>
      <c r="D10" s="3" t="s">
        <v>55</v>
      </c>
      <c r="E10" s="3" t="s">
        <v>56</v>
      </c>
      <c r="F10" s="3" t="s">
        <v>57</v>
      </c>
      <c r="G10" s="3" t="s">
        <v>58</v>
      </c>
      <c r="H10" s="3" t="s">
        <v>59</v>
      </c>
      <c r="I10" s="3" t="s">
        <v>60</v>
      </c>
      <c r="J10" s="3" t="s">
        <v>61</v>
      </c>
      <c r="K10" s="3" t="s">
        <v>62</v>
      </c>
      <c r="L10" s="3" t="s">
        <v>63</v>
      </c>
      <c r="M10" s="3" t="s">
        <v>64</v>
      </c>
      <c r="N10" s="3" t="s">
        <v>65</v>
      </c>
      <c r="O10" s="3" t="s">
        <v>66</v>
      </c>
      <c r="P10" s="3" t="s">
        <v>67</v>
      </c>
      <c r="Q10" s="3" t="s">
        <v>68</v>
      </c>
      <c r="R10" s="3" t="s">
        <v>69</v>
      </c>
      <c r="S10" s="3" t="s">
        <v>92</v>
      </c>
      <c r="T10" s="3" t="s">
        <v>93</v>
      </c>
      <c r="U10" s="3" t="s">
        <v>54</v>
      </c>
      <c r="V10" s="3" t="s">
        <v>72</v>
      </c>
      <c r="W10" s="3" t="s">
        <v>94</v>
      </c>
      <c r="X10" s="3" t="s">
        <v>95</v>
      </c>
      <c r="Y10" s="3" t="s">
        <v>96</v>
      </c>
      <c r="Z10" s="3" t="s">
        <v>95</v>
      </c>
      <c r="AA10" s="3" t="s">
        <v>97</v>
      </c>
      <c r="AB10" s="4">
        <v>2000000</v>
      </c>
      <c r="AC10" s="4">
        <v>0</v>
      </c>
      <c r="AD10" s="4">
        <v>0</v>
      </c>
      <c r="AE10" s="4">
        <v>2000000</v>
      </c>
      <c r="AF10" s="4">
        <v>0</v>
      </c>
      <c r="AG10" s="4">
        <v>0</v>
      </c>
      <c r="AH10" s="4">
        <v>0</v>
      </c>
      <c r="AI10" s="4">
        <v>0</v>
      </c>
      <c r="AJ10" s="4">
        <v>0</v>
      </c>
      <c r="AK10" s="4">
        <v>0</v>
      </c>
      <c r="AL10" s="4">
        <v>0</v>
      </c>
      <c r="AM10" s="4">
        <v>0</v>
      </c>
      <c r="AN10" s="4">
        <v>0</v>
      </c>
      <c r="AO10" s="4">
        <v>0</v>
      </c>
      <c r="AP10" s="4">
        <v>0</v>
      </c>
      <c r="AQ10" s="4">
        <v>2000000</v>
      </c>
      <c r="AR10" s="4">
        <v>818240</v>
      </c>
      <c r="AS10" s="4">
        <v>818240</v>
      </c>
      <c r="AT10" s="4">
        <v>0</v>
      </c>
      <c r="AU10" s="4">
        <v>0</v>
      </c>
      <c r="AV10" s="4">
        <v>0</v>
      </c>
      <c r="AW10" s="4">
        <v>0</v>
      </c>
      <c r="AX10" s="4">
        <v>1181760</v>
      </c>
      <c r="AY10" s="4">
        <v>1181760</v>
      </c>
    </row>
    <row r="11" spans="1:51">
      <c r="A11" s="3" t="s">
        <v>52</v>
      </c>
      <c r="B11" s="3" t="s">
        <v>53</v>
      </c>
      <c r="C11" s="3" t="s">
        <v>54</v>
      </c>
      <c r="D11" s="3" t="s">
        <v>55</v>
      </c>
      <c r="E11" s="3" t="s">
        <v>56</v>
      </c>
      <c r="F11" s="3" t="s">
        <v>57</v>
      </c>
      <c r="G11" s="3" t="s">
        <v>58</v>
      </c>
      <c r="H11" s="3" t="s">
        <v>59</v>
      </c>
      <c r="I11" s="3" t="s">
        <v>60</v>
      </c>
      <c r="J11" s="3" t="s">
        <v>61</v>
      </c>
      <c r="K11" s="3" t="s">
        <v>62</v>
      </c>
      <c r="L11" s="3" t="s">
        <v>63</v>
      </c>
      <c r="M11" s="3" t="s">
        <v>64</v>
      </c>
      <c r="N11" s="3" t="s">
        <v>65</v>
      </c>
      <c r="O11" s="3" t="s">
        <v>66</v>
      </c>
      <c r="P11" s="3" t="s">
        <v>67</v>
      </c>
      <c r="Q11" s="3" t="s">
        <v>68</v>
      </c>
      <c r="R11" s="3" t="s">
        <v>69</v>
      </c>
      <c r="S11" s="3" t="s">
        <v>92</v>
      </c>
      <c r="T11" s="3" t="s">
        <v>93</v>
      </c>
      <c r="U11" s="3" t="s">
        <v>86</v>
      </c>
      <c r="V11" s="3" t="s">
        <v>87</v>
      </c>
      <c r="W11" s="3" t="s">
        <v>88</v>
      </c>
      <c r="X11" s="3" t="s">
        <v>89</v>
      </c>
      <c r="Y11" s="3" t="s">
        <v>90</v>
      </c>
      <c r="Z11" s="3" t="s">
        <v>89</v>
      </c>
      <c r="AA11" s="3" t="s">
        <v>98</v>
      </c>
      <c r="AB11" s="4">
        <v>1000000</v>
      </c>
      <c r="AC11" s="4">
        <v>0</v>
      </c>
      <c r="AD11" s="4">
        <v>0</v>
      </c>
      <c r="AE11" s="4">
        <v>1000000</v>
      </c>
      <c r="AF11" s="4">
        <v>0</v>
      </c>
      <c r="AG11" s="4">
        <v>0</v>
      </c>
      <c r="AH11" s="4">
        <v>0</v>
      </c>
      <c r="AI11" s="4">
        <v>0</v>
      </c>
      <c r="AJ11" s="4">
        <v>0</v>
      </c>
      <c r="AK11" s="4">
        <v>0</v>
      </c>
      <c r="AL11" s="4">
        <v>0</v>
      </c>
      <c r="AM11" s="4">
        <v>0</v>
      </c>
      <c r="AN11" s="4">
        <v>0</v>
      </c>
      <c r="AO11" s="4">
        <v>0</v>
      </c>
      <c r="AP11" s="4">
        <v>0</v>
      </c>
      <c r="AQ11" s="4">
        <v>1000000</v>
      </c>
      <c r="AR11" s="4">
        <v>0</v>
      </c>
      <c r="AS11" s="4">
        <v>0</v>
      </c>
      <c r="AT11" s="4">
        <v>0</v>
      </c>
      <c r="AU11" s="4">
        <v>0</v>
      </c>
      <c r="AV11" s="4">
        <v>0</v>
      </c>
      <c r="AW11" s="4">
        <v>0</v>
      </c>
      <c r="AX11" s="4">
        <v>1000000</v>
      </c>
      <c r="AY11" s="4">
        <v>1000000</v>
      </c>
    </row>
    <row r="12" spans="1:51">
      <c r="A12" s="3" t="s">
        <v>52</v>
      </c>
      <c r="B12" s="3" t="s">
        <v>53</v>
      </c>
      <c r="C12" s="3" t="s">
        <v>54</v>
      </c>
      <c r="D12" s="3" t="s">
        <v>55</v>
      </c>
      <c r="E12" s="3" t="s">
        <v>56</v>
      </c>
      <c r="F12" s="3" t="s">
        <v>57</v>
      </c>
      <c r="G12" s="3" t="s">
        <v>58</v>
      </c>
      <c r="H12" s="3" t="s">
        <v>59</v>
      </c>
      <c r="I12" s="3" t="s">
        <v>60</v>
      </c>
      <c r="J12" s="3" t="s">
        <v>61</v>
      </c>
      <c r="K12" s="3" t="s">
        <v>62</v>
      </c>
      <c r="L12" s="3" t="s">
        <v>63</v>
      </c>
      <c r="M12" s="3" t="s">
        <v>64</v>
      </c>
      <c r="N12" s="3" t="s">
        <v>65</v>
      </c>
      <c r="O12" s="3" t="s">
        <v>66</v>
      </c>
      <c r="P12" s="3" t="s">
        <v>67</v>
      </c>
      <c r="Q12" s="3" t="s">
        <v>68</v>
      </c>
      <c r="R12" s="3" t="s">
        <v>69</v>
      </c>
      <c r="S12" s="3" t="s">
        <v>99</v>
      </c>
      <c r="T12" s="3" t="s">
        <v>100</v>
      </c>
      <c r="U12" s="3" t="s">
        <v>54</v>
      </c>
      <c r="V12" s="3" t="s">
        <v>72</v>
      </c>
      <c r="W12" s="3" t="s">
        <v>94</v>
      </c>
      <c r="X12" s="3" t="s">
        <v>95</v>
      </c>
      <c r="Y12" s="3" t="s">
        <v>96</v>
      </c>
      <c r="Z12" s="3" t="s">
        <v>95</v>
      </c>
      <c r="AA12" s="3" t="s">
        <v>101</v>
      </c>
      <c r="AB12" s="4">
        <v>600000</v>
      </c>
      <c r="AC12" s="4">
        <v>0</v>
      </c>
      <c r="AD12" s="4">
        <v>0</v>
      </c>
      <c r="AE12" s="4">
        <v>600000</v>
      </c>
      <c r="AF12" s="4">
        <v>0</v>
      </c>
      <c r="AG12" s="4">
        <v>0</v>
      </c>
      <c r="AH12" s="4">
        <v>0</v>
      </c>
      <c r="AI12" s="4">
        <v>0</v>
      </c>
      <c r="AJ12" s="4">
        <v>0</v>
      </c>
      <c r="AK12" s="4">
        <v>0</v>
      </c>
      <c r="AL12" s="4">
        <v>0</v>
      </c>
      <c r="AM12" s="4">
        <v>0</v>
      </c>
      <c r="AN12" s="4">
        <v>0</v>
      </c>
      <c r="AO12" s="4">
        <v>0</v>
      </c>
      <c r="AP12" s="4">
        <v>0</v>
      </c>
      <c r="AQ12" s="4">
        <v>600000</v>
      </c>
      <c r="AR12" s="4">
        <v>0</v>
      </c>
      <c r="AS12" s="4">
        <v>0</v>
      </c>
      <c r="AT12" s="4">
        <v>0</v>
      </c>
      <c r="AU12" s="4">
        <v>0</v>
      </c>
      <c r="AV12" s="4">
        <v>0</v>
      </c>
      <c r="AW12" s="4">
        <v>0</v>
      </c>
      <c r="AX12" s="4">
        <v>600000</v>
      </c>
      <c r="AY12" s="4">
        <v>600000</v>
      </c>
    </row>
    <row r="13" spans="1:51">
      <c r="A13" s="3" t="s">
        <v>52</v>
      </c>
      <c r="B13" s="3" t="s">
        <v>53</v>
      </c>
      <c r="C13" s="3" t="s">
        <v>54</v>
      </c>
      <c r="D13" s="3" t="s">
        <v>55</v>
      </c>
      <c r="E13" s="3" t="s">
        <v>56</v>
      </c>
      <c r="F13" s="3" t="s">
        <v>57</v>
      </c>
      <c r="G13" s="3" t="s">
        <v>58</v>
      </c>
      <c r="H13" s="3" t="s">
        <v>59</v>
      </c>
      <c r="I13" s="3" t="s">
        <v>60</v>
      </c>
      <c r="J13" s="3" t="s">
        <v>61</v>
      </c>
      <c r="K13" s="3" t="s">
        <v>62</v>
      </c>
      <c r="L13" s="3" t="s">
        <v>63</v>
      </c>
      <c r="M13" s="3" t="s">
        <v>64</v>
      </c>
      <c r="N13" s="3" t="s">
        <v>65</v>
      </c>
      <c r="O13" s="3" t="s">
        <v>66</v>
      </c>
      <c r="P13" s="3" t="s">
        <v>67</v>
      </c>
      <c r="Q13" s="3" t="s">
        <v>68</v>
      </c>
      <c r="R13" s="3" t="s">
        <v>69</v>
      </c>
      <c r="S13" s="3" t="s">
        <v>99</v>
      </c>
      <c r="T13" s="3" t="s">
        <v>100</v>
      </c>
      <c r="U13" s="3" t="s">
        <v>86</v>
      </c>
      <c r="V13" s="3" t="s">
        <v>87</v>
      </c>
      <c r="W13" s="3" t="s">
        <v>88</v>
      </c>
      <c r="X13" s="3" t="s">
        <v>89</v>
      </c>
      <c r="Y13" s="3" t="s">
        <v>90</v>
      </c>
      <c r="Z13" s="3" t="s">
        <v>89</v>
      </c>
      <c r="AA13" s="3" t="s">
        <v>101</v>
      </c>
      <c r="AB13" s="4">
        <v>400000</v>
      </c>
      <c r="AC13" s="4">
        <v>0</v>
      </c>
      <c r="AD13" s="4">
        <v>0</v>
      </c>
      <c r="AE13" s="4">
        <v>400000</v>
      </c>
      <c r="AF13" s="4">
        <v>0</v>
      </c>
      <c r="AG13" s="4">
        <v>0</v>
      </c>
      <c r="AH13" s="4">
        <v>0</v>
      </c>
      <c r="AI13" s="4">
        <v>0</v>
      </c>
      <c r="AJ13" s="4">
        <v>0</v>
      </c>
      <c r="AK13" s="4">
        <v>0</v>
      </c>
      <c r="AL13" s="4">
        <v>0</v>
      </c>
      <c r="AM13" s="4">
        <v>0</v>
      </c>
      <c r="AN13" s="4">
        <v>0</v>
      </c>
      <c r="AO13" s="4">
        <v>0</v>
      </c>
      <c r="AP13" s="4">
        <v>0</v>
      </c>
      <c r="AQ13" s="4">
        <v>400000</v>
      </c>
      <c r="AR13" s="4">
        <v>0</v>
      </c>
      <c r="AS13" s="4">
        <v>0</v>
      </c>
      <c r="AT13" s="4">
        <v>0</v>
      </c>
      <c r="AU13" s="4">
        <v>0</v>
      </c>
      <c r="AV13" s="4">
        <v>0</v>
      </c>
      <c r="AW13" s="4">
        <v>0</v>
      </c>
      <c r="AX13" s="4">
        <v>400000</v>
      </c>
      <c r="AY13" s="4">
        <v>400000</v>
      </c>
    </row>
    <row r="14" spans="1:51">
      <c r="A14" s="3" t="s">
        <v>52</v>
      </c>
      <c r="B14" s="3" t="s">
        <v>53</v>
      </c>
      <c r="C14" s="3" t="s">
        <v>54</v>
      </c>
      <c r="D14" s="3" t="s">
        <v>55</v>
      </c>
      <c r="E14" s="3" t="s">
        <v>56</v>
      </c>
      <c r="F14" s="3" t="s">
        <v>57</v>
      </c>
      <c r="G14" s="3" t="s">
        <v>58</v>
      </c>
      <c r="H14" s="3" t="s">
        <v>59</v>
      </c>
      <c r="I14" s="3" t="s">
        <v>60</v>
      </c>
      <c r="J14" s="3" t="s">
        <v>61</v>
      </c>
      <c r="K14" s="3" t="s">
        <v>62</v>
      </c>
      <c r="L14" s="3" t="s">
        <v>63</v>
      </c>
      <c r="M14" s="3" t="s">
        <v>64</v>
      </c>
      <c r="N14" s="3" t="s">
        <v>65</v>
      </c>
      <c r="O14" s="3" t="s">
        <v>66</v>
      </c>
      <c r="P14" s="3" t="s">
        <v>67</v>
      </c>
      <c r="Q14" s="3" t="s">
        <v>68</v>
      </c>
      <c r="R14" s="3" t="s">
        <v>69</v>
      </c>
      <c r="S14" s="3" t="s">
        <v>102</v>
      </c>
      <c r="T14" s="3" t="s">
        <v>103</v>
      </c>
      <c r="U14" s="3" t="s">
        <v>54</v>
      </c>
      <c r="V14" s="3" t="s">
        <v>72</v>
      </c>
      <c r="W14" s="3" t="s">
        <v>73</v>
      </c>
      <c r="X14" s="3" t="s">
        <v>74</v>
      </c>
      <c r="Y14" s="3" t="s">
        <v>75</v>
      </c>
      <c r="Z14" s="3" t="s">
        <v>76</v>
      </c>
      <c r="AA14" s="3" t="s">
        <v>104</v>
      </c>
      <c r="AB14" s="4">
        <v>0</v>
      </c>
      <c r="AC14" s="4">
        <v>279000</v>
      </c>
      <c r="AD14" s="4">
        <v>0</v>
      </c>
      <c r="AE14" s="4">
        <v>279000</v>
      </c>
      <c r="AF14" s="4">
        <v>0</v>
      </c>
      <c r="AG14" s="4">
        <v>0</v>
      </c>
      <c r="AH14" s="4">
        <v>0</v>
      </c>
      <c r="AI14" s="4">
        <v>0</v>
      </c>
      <c r="AJ14" s="4">
        <v>0</v>
      </c>
      <c r="AK14" s="4">
        <v>0</v>
      </c>
      <c r="AL14" s="4">
        <v>0</v>
      </c>
      <c r="AM14" s="4">
        <v>0</v>
      </c>
      <c r="AN14" s="4">
        <v>0</v>
      </c>
      <c r="AO14" s="4">
        <v>0</v>
      </c>
      <c r="AP14" s="4">
        <v>0</v>
      </c>
      <c r="AQ14" s="4">
        <v>279000</v>
      </c>
      <c r="AR14" s="4">
        <v>279000</v>
      </c>
      <c r="AS14" s="4">
        <v>219000</v>
      </c>
      <c r="AT14" s="4">
        <v>0</v>
      </c>
      <c r="AU14" s="4">
        <v>0</v>
      </c>
      <c r="AV14" s="4">
        <v>0</v>
      </c>
      <c r="AW14" s="4">
        <v>0</v>
      </c>
      <c r="AX14" s="4">
        <v>0</v>
      </c>
      <c r="AY14" s="4">
        <v>60000</v>
      </c>
    </row>
    <row r="15" spans="1:51">
      <c r="A15" s="3" t="s">
        <v>52</v>
      </c>
      <c r="B15" s="3" t="s">
        <v>53</v>
      </c>
      <c r="C15" s="3" t="s">
        <v>54</v>
      </c>
      <c r="D15" s="3" t="s">
        <v>55</v>
      </c>
      <c r="E15" s="3" t="s">
        <v>56</v>
      </c>
      <c r="F15" s="3" t="s">
        <v>57</v>
      </c>
      <c r="G15" s="3" t="s">
        <v>58</v>
      </c>
      <c r="H15" s="3" t="s">
        <v>59</v>
      </c>
      <c r="I15" s="3" t="s">
        <v>60</v>
      </c>
      <c r="J15" s="3" t="s">
        <v>61</v>
      </c>
      <c r="K15" s="3" t="s">
        <v>62</v>
      </c>
      <c r="L15" s="3" t="s">
        <v>63</v>
      </c>
      <c r="M15" s="3" t="s">
        <v>64</v>
      </c>
      <c r="N15" s="3" t="s">
        <v>65</v>
      </c>
      <c r="O15" s="3" t="s">
        <v>66</v>
      </c>
      <c r="P15" s="3" t="s">
        <v>67</v>
      </c>
      <c r="Q15" s="3" t="s">
        <v>68</v>
      </c>
      <c r="R15" s="3" t="s">
        <v>69</v>
      </c>
      <c r="S15" s="3" t="s">
        <v>102</v>
      </c>
      <c r="T15" s="3" t="s">
        <v>103</v>
      </c>
      <c r="U15" s="3" t="s">
        <v>86</v>
      </c>
      <c r="V15" s="3" t="s">
        <v>87</v>
      </c>
      <c r="W15" s="3" t="s">
        <v>88</v>
      </c>
      <c r="X15" s="3" t="s">
        <v>89</v>
      </c>
      <c r="Y15" s="3" t="s">
        <v>105</v>
      </c>
      <c r="Z15" s="3" t="s">
        <v>106</v>
      </c>
      <c r="AA15" s="3" t="s">
        <v>107</v>
      </c>
      <c r="AB15" s="4">
        <v>0</v>
      </c>
      <c r="AC15" s="4">
        <v>31000</v>
      </c>
      <c r="AD15" s="4">
        <v>0</v>
      </c>
      <c r="AE15" s="4">
        <v>31000</v>
      </c>
      <c r="AF15" s="4">
        <v>0</v>
      </c>
      <c r="AG15" s="4">
        <v>0</v>
      </c>
      <c r="AH15" s="4">
        <v>0</v>
      </c>
      <c r="AI15" s="4">
        <v>0</v>
      </c>
      <c r="AJ15" s="4">
        <v>0</v>
      </c>
      <c r="AK15" s="4">
        <v>0</v>
      </c>
      <c r="AL15" s="4">
        <v>0</v>
      </c>
      <c r="AM15" s="4">
        <v>0</v>
      </c>
      <c r="AN15" s="4">
        <v>0</v>
      </c>
      <c r="AO15" s="4">
        <v>0</v>
      </c>
      <c r="AP15" s="4">
        <v>0</v>
      </c>
      <c r="AQ15" s="4">
        <v>31000</v>
      </c>
      <c r="AR15" s="4">
        <v>31000</v>
      </c>
      <c r="AS15" s="4">
        <v>0</v>
      </c>
      <c r="AT15" s="4">
        <v>0</v>
      </c>
      <c r="AU15" s="4">
        <v>0</v>
      </c>
      <c r="AV15" s="4">
        <v>0</v>
      </c>
      <c r="AW15" s="4">
        <v>0</v>
      </c>
      <c r="AX15" s="4">
        <v>0</v>
      </c>
      <c r="AY15" s="4">
        <v>31000</v>
      </c>
    </row>
    <row r="16" spans="1:51">
      <c r="A16" s="3" t="s">
        <v>52</v>
      </c>
      <c r="B16" s="3" t="s">
        <v>53</v>
      </c>
      <c r="C16" s="3" t="s">
        <v>54</v>
      </c>
      <c r="D16" s="3" t="s">
        <v>55</v>
      </c>
      <c r="E16" s="3" t="s">
        <v>56</v>
      </c>
      <c r="F16" s="3" t="s">
        <v>57</v>
      </c>
      <c r="G16" s="3" t="s">
        <v>58</v>
      </c>
      <c r="H16" s="3" t="s">
        <v>59</v>
      </c>
      <c r="I16" s="3" t="s">
        <v>60</v>
      </c>
      <c r="J16" s="3" t="s">
        <v>61</v>
      </c>
      <c r="K16" s="3" t="s">
        <v>62</v>
      </c>
      <c r="L16" s="3" t="s">
        <v>63</v>
      </c>
      <c r="M16" s="3" t="s">
        <v>64</v>
      </c>
      <c r="N16" s="3" t="s">
        <v>65</v>
      </c>
      <c r="O16" s="3" t="s">
        <v>66</v>
      </c>
      <c r="P16" s="3" t="s">
        <v>67</v>
      </c>
      <c r="Q16" s="3" t="s">
        <v>108</v>
      </c>
      <c r="R16" s="3" t="s">
        <v>109</v>
      </c>
      <c r="S16" s="3" t="s">
        <v>92</v>
      </c>
      <c r="T16" s="3" t="s">
        <v>110</v>
      </c>
      <c r="U16" s="3" t="s">
        <v>54</v>
      </c>
      <c r="V16" s="3" t="s">
        <v>72</v>
      </c>
      <c r="W16" s="3" t="s">
        <v>73</v>
      </c>
      <c r="X16" s="3" t="s">
        <v>74</v>
      </c>
      <c r="Y16" s="3" t="s">
        <v>111</v>
      </c>
      <c r="Z16" s="3" t="s">
        <v>112</v>
      </c>
      <c r="AA16" s="3" t="s">
        <v>113</v>
      </c>
      <c r="AB16" s="4">
        <v>0</v>
      </c>
      <c r="AC16" s="4">
        <v>2000000</v>
      </c>
      <c r="AD16" s="4">
        <v>0</v>
      </c>
      <c r="AE16" s="4">
        <v>2000000</v>
      </c>
      <c r="AF16" s="4">
        <v>0</v>
      </c>
      <c r="AG16" s="4">
        <v>0</v>
      </c>
      <c r="AH16" s="4">
        <v>0</v>
      </c>
      <c r="AI16" s="4">
        <v>0</v>
      </c>
      <c r="AJ16" s="4">
        <v>0</v>
      </c>
      <c r="AK16" s="4">
        <v>0</v>
      </c>
      <c r="AL16" s="4">
        <v>0</v>
      </c>
      <c r="AM16" s="4">
        <v>0</v>
      </c>
      <c r="AN16" s="4">
        <v>0</v>
      </c>
      <c r="AO16" s="4">
        <v>0</v>
      </c>
      <c r="AP16" s="4">
        <v>0</v>
      </c>
      <c r="AQ16" s="4">
        <v>2000000</v>
      </c>
      <c r="AR16" s="4">
        <v>2000000</v>
      </c>
      <c r="AS16" s="4">
        <v>2000000</v>
      </c>
      <c r="AT16" s="4">
        <v>0</v>
      </c>
      <c r="AU16" s="4">
        <v>0</v>
      </c>
      <c r="AV16" s="4">
        <v>0</v>
      </c>
      <c r="AW16" s="4">
        <v>0</v>
      </c>
      <c r="AX16" s="4">
        <v>0</v>
      </c>
      <c r="AY16" s="4">
        <v>0</v>
      </c>
    </row>
    <row r="17" spans="1:51">
      <c r="A17" s="3" t="s">
        <v>52</v>
      </c>
      <c r="B17" s="3" t="s">
        <v>53</v>
      </c>
      <c r="C17" s="3" t="s">
        <v>54</v>
      </c>
      <c r="D17" s="3" t="s">
        <v>55</v>
      </c>
      <c r="E17" s="3" t="s">
        <v>56</v>
      </c>
      <c r="F17" s="3" t="s">
        <v>57</v>
      </c>
      <c r="G17" s="3" t="s">
        <v>58</v>
      </c>
      <c r="H17" s="3" t="s">
        <v>59</v>
      </c>
      <c r="I17" s="3" t="s">
        <v>60</v>
      </c>
      <c r="J17" s="3" t="s">
        <v>61</v>
      </c>
      <c r="K17" s="3" t="s">
        <v>62</v>
      </c>
      <c r="L17" s="3" t="s">
        <v>63</v>
      </c>
      <c r="M17" s="3" t="s">
        <v>64</v>
      </c>
      <c r="N17" s="3" t="s">
        <v>65</v>
      </c>
      <c r="O17" s="3" t="s">
        <v>66</v>
      </c>
      <c r="P17" s="3" t="s">
        <v>67</v>
      </c>
      <c r="Q17" s="3" t="s">
        <v>108</v>
      </c>
      <c r="R17" s="3" t="s">
        <v>109</v>
      </c>
      <c r="S17" s="3" t="s">
        <v>92</v>
      </c>
      <c r="T17" s="3" t="s">
        <v>110</v>
      </c>
      <c r="U17" s="3" t="s">
        <v>54</v>
      </c>
      <c r="V17" s="3" t="s">
        <v>72</v>
      </c>
      <c r="W17" s="3" t="s">
        <v>73</v>
      </c>
      <c r="X17" s="3" t="s">
        <v>74</v>
      </c>
      <c r="Y17" s="3" t="s">
        <v>111</v>
      </c>
      <c r="Z17" s="3" t="s">
        <v>112</v>
      </c>
      <c r="AA17" s="3" t="s">
        <v>114</v>
      </c>
      <c r="AB17" s="4">
        <v>0</v>
      </c>
      <c r="AC17" s="4">
        <v>0</v>
      </c>
      <c r="AD17" s="4">
        <v>250000</v>
      </c>
      <c r="AE17" s="4">
        <v>250000</v>
      </c>
      <c r="AF17" s="4">
        <v>0</v>
      </c>
      <c r="AG17" s="4">
        <v>0</v>
      </c>
      <c r="AH17" s="4">
        <v>0</v>
      </c>
      <c r="AI17" s="4">
        <v>0</v>
      </c>
      <c r="AJ17" s="4">
        <v>0</v>
      </c>
      <c r="AK17" s="4">
        <v>0</v>
      </c>
      <c r="AL17" s="4">
        <v>0</v>
      </c>
      <c r="AM17" s="4">
        <v>0</v>
      </c>
      <c r="AN17" s="4">
        <v>0</v>
      </c>
      <c r="AO17" s="4">
        <v>0</v>
      </c>
      <c r="AP17" s="4">
        <v>0</v>
      </c>
      <c r="AQ17" s="4">
        <v>250000</v>
      </c>
      <c r="AR17" s="4">
        <v>250000</v>
      </c>
      <c r="AS17" s="4">
        <v>250000</v>
      </c>
      <c r="AT17" s="4">
        <v>0</v>
      </c>
      <c r="AU17" s="4">
        <v>0</v>
      </c>
      <c r="AV17" s="4">
        <v>0</v>
      </c>
      <c r="AW17" s="4">
        <v>0</v>
      </c>
      <c r="AX17" s="4">
        <v>0</v>
      </c>
      <c r="AY17" s="4">
        <v>0</v>
      </c>
    </row>
    <row r="18" spans="1:51">
      <c r="A18" s="3" t="s">
        <v>52</v>
      </c>
      <c r="B18" s="3" t="s">
        <v>53</v>
      </c>
      <c r="C18" s="3" t="s">
        <v>54</v>
      </c>
      <c r="D18" s="3" t="s">
        <v>55</v>
      </c>
      <c r="E18" s="3" t="s">
        <v>56</v>
      </c>
      <c r="F18" s="3" t="s">
        <v>57</v>
      </c>
      <c r="G18" s="3" t="s">
        <v>58</v>
      </c>
      <c r="H18" s="3" t="s">
        <v>59</v>
      </c>
      <c r="I18" s="3" t="s">
        <v>60</v>
      </c>
      <c r="J18" s="3" t="s">
        <v>61</v>
      </c>
      <c r="K18" s="3" t="s">
        <v>62</v>
      </c>
      <c r="L18" s="3" t="s">
        <v>63</v>
      </c>
      <c r="M18" s="3" t="s">
        <v>64</v>
      </c>
      <c r="N18" s="3" t="s">
        <v>65</v>
      </c>
      <c r="O18" s="3" t="s">
        <v>66</v>
      </c>
      <c r="P18" s="3" t="s">
        <v>67</v>
      </c>
      <c r="Q18" s="3" t="s">
        <v>108</v>
      </c>
      <c r="R18" s="3" t="s">
        <v>109</v>
      </c>
      <c r="S18" s="3" t="s">
        <v>92</v>
      </c>
      <c r="T18" s="3" t="s">
        <v>110</v>
      </c>
      <c r="U18" s="3" t="s">
        <v>54</v>
      </c>
      <c r="V18" s="3" t="s">
        <v>72</v>
      </c>
      <c r="W18" s="3" t="s">
        <v>73</v>
      </c>
      <c r="X18" s="3" t="s">
        <v>74</v>
      </c>
      <c r="Y18" s="3" t="s">
        <v>111</v>
      </c>
      <c r="Z18" s="3" t="s">
        <v>112</v>
      </c>
      <c r="AA18" s="3" t="s">
        <v>115</v>
      </c>
      <c r="AB18" s="4">
        <v>0</v>
      </c>
      <c r="AC18" s="4">
        <v>0</v>
      </c>
      <c r="AD18" s="4">
        <v>3640000</v>
      </c>
      <c r="AE18" s="4">
        <v>3640000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3640000</v>
      </c>
      <c r="AR18" s="4">
        <v>3640000</v>
      </c>
      <c r="AS18" s="4">
        <v>3640000</v>
      </c>
      <c r="AT18" s="4">
        <v>0</v>
      </c>
      <c r="AU18" s="4">
        <v>0</v>
      </c>
      <c r="AV18" s="4">
        <v>0</v>
      </c>
      <c r="AW18" s="4">
        <v>0</v>
      </c>
      <c r="AX18" s="4">
        <v>0</v>
      </c>
      <c r="AY18" s="4">
        <v>0</v>
      </c>
    </row>
    <row r="19" spans="1:51">
      <c r="A19" s="3" t="s">
        <v>52</v>
      </c>
      <c r="B19" s="3" t="s">
        <v>53</v>
      </c>
      <c r="C19" s="3" t="s">
        <v>54</v>
      </c>
      <c r="D19" s="3" t="s">
        <v>55</v>
      </c>
      <c r="E19" s="3" t="s">
        <v>56</v>
      </c>
      <c r="F19" s="3" t="s">
        <v>57</v>
      </c>
      <c r="G19" s="3" t="s">
        <v>58</v>
      </c>
      <c r="H19" s="3" t="s">
        <v>59</v>
      </c>
      <c r="I19" s="3" t="s">
        <v>60</v>
      </c>
      <c r="J19" s="3" t="s">
        <v>61</v>
      </c>
      <c r="K19" s="3" t="s">
        <v>62</v>
      </c>
      <c r="L19" s="3" t="s">
        <v>63</v>
      </c>
      <c r="M19" s="3" t="s">
        <v>64</v>
      </c>
      <c r="N19" s="3" t="s">
        <v>65</v>
      </c>
      <c r="O19" s="3" t="s">
        <v>66</v>
      </c>
      <c r="P19" s="3" t="s">
        <v>67</v>
      </c>
      <c r="Q19" s="3" t="s">
        <v>108</v>
      </c>
      <c r="R19" s="3" t="s">
        <v>109</v>
      </c>
      <c r="S19" s="3" t="s">
        <v>92</v>
      </c>
      <c r="T19" s="3" t="s">
        <v>110</v>
      </c>
      <c r="U19" s="3" t="s">
        <v>54</v>
      </c>
      <c r="V19" s="3" t="s">
        <v>72</v>
      </c>
      <c r="W19" s="3" t="s">
        <v>73</v>
      </c>
      <c r="X19" s="3" t="s">
        <v>74</v>
      </c>
      <c r="Y19" s="3" t="s">
        <v>111</v>
      </c>
      <c r="Z19" s="3" t="s">
        <v>112</v>
      </c>
      <c r="AA19" s="3" t="s">
        <v>116</v>
      </c>
      <c r="AB19" s="4">
        <v>0</v>
      </c>
      <c r="AC19" s="4">
        <v>0</v>
      </c>
      <c r="AD19" s="4">
        <v>220000</v>
      </c>
      <c r="AE19" s="4">
        <v>220000</v>
      </c>
      <c r="AF19" s="4">
        <v>0</v>
      </c>
      <c r="AG19" s="4">
        <v>0</v>
      </c>
      <c r="AH19" s="4">
        <v>0</v>
      </c>
      <c r="AI19" s="4">
        <v>0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220000</v>
      </c>
      <c r="AR19" s="4">
        <v>220000</v>
      </c>
      <c r="AS19" s="4">
        <v>220000</v>
      </c>
      <c r="AT19" s="4">
        <v>0</v>
      </c>
      <c r="AU19" s="4">
        <v>0</v>
      </c>
      <c r="AV19" s="4">
        <v>0</v>
      </c>
      <c r="AW19" s="4">
        <v>0</v>
      </c>
      <c r="AX19" s="4">
        <v>0</v>
      </c>
      <c r="AY19" s="4">
        <v>0</v>
      </c>
    </row>
    <row r="20" spans="1:51">
      <c r="A20" s="3" t="s">
        <v>52</v>
      </c>
      <c r="B20" s="3" t="s">
        <v>53</v>
      </c>
      <c r="C20" s="3" t="s">
        <v>54</v>
      </c>
      <c r="D20" s="3" t="s">
        <v>55</v>
      </c>
      <c r="E20" s="3" t="s">
        <v>56</v>
      </c>
      <c r="F20" s="3" t="s">
        <v>57</v>
      </c>
      <c r="G20" s="3" t="s">
        <v>58</v>
      </c>
      <c r="H20" s="3" t="s">
        <v>59</v>
      </c>
      <c r="I20" s="3" t="s">
        <v>60</v>
      </c>
      <c r="J20" s="3" t="s">
        <v>61</v>
      </c>
      <c r="K20" s="3" t="s">
        <v>62</v>
      </c>
      <c r="L20" s="3" t="s">
        <v>63</v>
      </c>
      <c r="M20" s="3" t="s">
        <v>64</v>
      </c>
      <c r="N20" s="3" t="s">
        <v>65</v>
      </c>
      <c r="O20" s="3" t="s">
        <v>66</v>
      </c>
      <c r="P20" s="3" t="s">
        <v>67</v>
      </c>
      <c r="Q20" s="3" t="s">
        <v>108</v>
      </c>
      <c r="R20" s="3" t="s">
        <v>109</v>
      </c>
      <c r="S20" s="3" t="s">
        <v>92</v>
      </c>
      <c r="T20" s="3" t="s">
        <v>110</v>
      </c>
      <c r="U20" s="3" t="s">
        <v>54</v>
      </c>
      <c r="V20" s="3" t="s">
        <v>72</v>
      </c>
      <c r="W20" s="3" t="s">
        <v>73</v>
      </c>
      <c r="X20" s="3" t="s">
        <v>74</v>
      </c>
      <c r="Y20" s="3" t="s">
        <v>111</v>
      </c>
      <c r="Z20" s="3" t="s">
        <v>112</v>
      </c>
      <c r="AA20" s="3" t="s">
        <v>117</v>
      </c>
      <c r="AB20" s="4">
        <v>0</v>
      </c>
      <c r="AC20" s="4">
        <v>0</v>
      </c>
      <c r="AD20" s="4">
        <v>100000</v>
      </c>
      <c r="AE20" s="4">
        <v>100000</v>
      </c>
      <c r="AF20" s="4">
        <v>0</v>
      </c>
      <c r="AG20" s="4">
        <v>0</v>
      </c>
      <c r="AH20" s="4">
        <v>0</v>
      </c>
      <c r="AI20" s="4">
        <v>0</v>
      </c>
      <c r="AJ20" s="4">
        <v>0</v>
      </c>
      <c r="AK20" s="4">
        <v>0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100000</v>
      </c>
      <c r="AR20" s="4">
        <v>100000</v>
      </c>
      <c r="AS20" s="4">
        <v>100000</v>
      </c>
      <c r="AT20" s="4">
        <v>0</v>
      </c>
      <c r="AU20" s="4">
        <v>0</v>
      </c>
      <c r="AV20" s="4">
        <v>0</v>
      </c>
      <c r="AW20" s="4">
        <v>0</v>
      </c>
      <c r="AX20" s="4">
        <v>0</v>
      </c>
      <c r="AY20" s="4">
        <v>0</v>
      </c>
    </row>
    <row r="21" spans="1:51">
      <c r="A21" s="3" t="s">
        <v>52</v>
      </c>
      <c r="B21" s="3" t="s">
        <v>53</v>
      </c>
      <c r="C21" s="3" t="s">
        <v>54</v>
      </c>
      <c r="D21" s="3" t="s">
        <v>55</v>
      </c>
      <c r="E21" s="3" t="s">
        <v>56</v>
      </c>
      <c r="F21" s="3" t="s">
        <v>57</v>
      </c>
      <c r="G21" s="3" t="s">
        <v>58</v>
      </c>
      <c r="H21" s="3" t="s">
        <v>59</v>
      </c>
      <c r="I21" s="3" t="s">
        <v>60</v>
      </c>
      <c r="J21" s="3" t="s">
        <v>61</v>
      </c>
      <c r="K21" s="3" t="s">
        <v>62</v>
      </c>
      <c r="L21" s="3" t="s">
        <v>63</v>
      </c>
      <c r="M21" s="3" t="s">
        <v>64</v>
      </c>
      <c r="N21" s="3" t="s">
        <v>65</v>
      </c>
      <c r="O21" s="3" t="s">
        <v>118</v>
      </c>
      <c r="P21" s="3" t="s">
        <v>119</v>
      </c>
      <c r="Q21" s="3" t="s">
        <v>120</v>
      </c>
      <c r="R21" s="3" t="s">
        <v>121</v>
      </c>
      <c r="S21" s="3" t="s">
        <v>102</v>
      </c>
      <c r="T21" s="3" t="s">
        <v>122</v>
      </c>
      <c r="U21" s="3" t="s">
        <v>54</v>
      </c>
      <c r="V21" s="3" t="s">
        <v>72</v>
      </c>
      <c r="W21" s="3" t="s">
        <v>123</v>
      </c>
      <c r="X21" s="3" t="s">
        <v>124</v>
      </c>
      <c r="Y21" s="3" t="s">
        <v>125</v>
      </c>
      <c r="Z21" s="3" t="s">
        <v>126</v>
      </c>
      <c r="AA21" s="3" t="s">
        <v>127</v>
      </c>
      <c r="AB21" s="4">
        <v>0</v>
      </c>
      <c r="AC21" s="4">
        <v>1880000</v>
      </c>
      <c r="AD21" s="4">
        <v>1750000</v>
      </c>
      <c r="AE21" s="4">
        <v>3630000</v>
      </c>
      <c r="AF21" s="4">
        <v>0</v>
      </c>
      <c r="AG21" s="4">
        <v>0</v>
      </c>
      <c r="AH21" s="4">
        <v>0</v>
      </c>
      <c r="AI21" s="4">
        <v>0</v>
      </c>
      <c r="AJ21" s="4">
        <v>0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3630000</v>
      </c>
      <c r="AR21" s="4">
        <v>2262410</v>
      </c>
      <c r="AS21" s="4">
        <v>2262410</v>
      </c>
      <c r="AT21" s="4">
        <v>0</v>
      </c>
      <c r="AU21" s="4">
        <v>0</v>
      </c>
      <c r="AV21" s="4">
        <v>0</v>
      </c>
      <c r="AW21" s="4">
        <v>0</v>
      </c>
      <c r="AX21" s="4">
        <v>1367590</v>
      </c>
      <c r="AY21" s="4">
        <v>1367590</v>
      </c>
    </row>
    <row r="22" spans="1:51">
      <c r="A22" s="3" t="s">
        <v>52</v>
      </c>
      <c r="B22" s="3" t="s">
        <v>53</v>
      </c>
      <c r="C22" s="3" t="s">
        <v>54</v>
      </c>
      <c r="D22" s="3" t="s">
        <v>55</v>
      </c>
      <c r="E22" s="3" t="s">
        <v>56</v>
      </c>
      <c r="F22" s="3" t="s">
        <v>57</v>
      </c>
      <c r="G22" s="3" t="s">
        <v>58</v>
      </c>
      <c r="H22" s="3" t="s">
        <v>59</v>
      </c>
      <c r="I22" s="3" t="s">
        <v>60</v>
      </c>
      <c r="J22" s="3" t="s">
        <v>61</v>
      </c>
      <c r="K22" s="3" t="s">
        <v>62</v>
      </c>
      <c r="L22" s="3" t="s">
        <v>63</v>
      </c>
      <c r="M22" s="3" t="s">
        <v>64</v>
      </c>
      <c r="N22" s="3" t="s">
        <v>65</v>
      </c>
      <c r="O22" s="3" t="s">
        <v>118</v>
      </c>
      <c r="P22" s="3" t="s">
        <v>119</v>
      </c>
      <c r="Q22" s="3" t="s">
        <v>120</v>
      </c>
      <c r="R22" s="3" t="s">
        <v>121</v>
      </c>
      <c r="S22" s="3" t="s">
        <v>128</v>
      </c>
      <c r="T22" s="3" t="s">
        <v>129</v>
      </c>
      <c r="U22" s="3" t="s">
        <v>130</v>
      </c>
      <c r="V22" s="3" t="s">
        <v>131</v>
      </c>
      <c r="W22" s="3" t="s">
        <v>132</v>
      </c>
      <c r="X22" s="3" t="s">
        <v>133</v>
      </c>
      <c r="Y22" s="3" t="s">
        <v>134</v>
      </c>
      <c r="Z22" s="3" t="s">
        <v>135</v>
      </c>
      <c r="AA22" s="3" t="s">
        <v>136</v>
      </c>
      <c r="AB22" s="4">
        <v>0</v>
      </c>
      <c r="AC22" s="4">
        <v>32348000</v>
      </c>
      <c r="AD22" s="4">
        <v>25616000</v>
      </c>
      <c r="AE22" s="4">
        <v>57964000</v>
      </c>
      <c r="AF22" s="4">
        <v>0</v>
      </c>
      <c r="AG22" s="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57964000</v>
      </c>
      <c r="AR22" s="4">
        <v>47270660</v>
      </c>
      <c r="AS22" s="4">
        <v>47270660</v>
      </c>
      <c r="AT22" s="4">
        <v>0</v>
      </c>
      <c r="AU22" s="4">
        <v>0</v>
      </c>
      <c r="AV22" s="4">
        <v>0</v>
      </c>
      <c r="AW22" s="4">
        <v>0</v>
      </c>
      <c r="AX22" s="4">
        <v>10693340</v>
      </c>
      <c r="AY22" s="4">
        <v>10693340</v>
      </c>
    </row>
    <row r="23" spans="1:51">
      <c r="A23" s="3" t="s">
        <v>52</v>
      </c>
      <c r="B23" s="3" t="s">
        <v>53</v>
      </c>
      <c r="C23" s="3" t="s">
        <v>54</v>
      </c>
      <c r="D23" s="3" t="s">
        <v>55</v>
      </c>
      <c r="E23" s="3" t="s">
        <v>56</v>
      </c>
      <c r="F23" s="3" t="s">
        <v>57</v>
      </c>
      <c r="G23" s="3" t="s">
        <v>58</v>
      </c>
      <c r="H23" s="3" t="s">
        <v>59</v>
      </c>
      <c r="I23" s="3" t="s">
        <v>60</v>
      </c>
      <c r="J23" s="3" t="s">
        <v>61</v>
      </c>
      <c r="K23" s="3" t="s">
        <v>62</v>
      </c>
      <c r="L23" s="3" t="s">
        <v>63</v>
      </c>
      <c r="M23" s="3" t="s">
        <v>64</v>
      </c>
      <c r="N23" s="3" t="s">
        <v>65</v>
      </c>
      <c r="O23" s="3" t="s">
        <v>118</v>
      </c>
      <c r="P23" s="3" t="s">
        <v>119</v>
      </c>
      <c r="Q23" s="3" t="s">
        <v>120</v>
      </c>
      <c r="R23" s="3" t="s">
        <v>121</v>
      </c>
      <c r="S23" s="3" t="s">
        <v>128</v>
      </c>
      <c r="T23" s="3" t="s">
        <v>129</v>
      </c>
      <c r="U23" s="3" t="s">
        <v>54</v>
      </c>
      <c r="V23" s="3" t="s">
        <v>72</v>
      </c>
      <c r="W23" s="3" t="s">
        <v>123</v>
      </c>
      <c r="X23" s="3" t="s">
        <v>124</v>
      </c>
      <c r="Y23" s="3" t="s">
        <v>137</v>
      </c>
      <c r="Z23" s="3" t="s">
        <v>138</v>
      </c>
      <c r="AA23" s="3" t="s">
        <v>139</v>
      </c>
      <c r="AB23" s="4">
        <v>0</v>
      </c>
      <c r="AC23" s="4">
        <v>3238000</v>
      </c>
      <c r="AD23" s="4">
        <v>2175000</v>
      </c>
      <c r="AE23" s="4">
        <v>5413000</v>
      </c>
      <c r="AF23" s="4">
        <v>0</v>
      </c>
      <c r="AG23" s="4">
        <v>0</v>
      </c>
      <c r="AH23" s="4">
        <v>0</v>
      </c>
      <c r="AI23" s="4">
        <v>0</v>
      </c>
      <c r="AJ23" s="4">
        <v>0</v>
      </c>
      <c r="AK23" s="4">
        <v>0</v>
      </c>
      <c r="AL23" s="4">
        <v>0</v>
      </c>
      <c r="AM23" s="4">
        <v>0</v>
      </c>
      <c r="AN23" s="4">
        <v>0</v>
      </c>
      <c r="AO23" s="4">
        <v>0</v>
      </c>
      <c r="AP23" s="4">
        <v>0</v>
      </c>
      <c r="AQ23" s="4">
        <v>5413000</v>
      </c>
      <c r="AR23" s="4">
        <v>3426650</v>
      </c>
      <c r="AS23" s="4">
        <v>3426650</v>
      </c>
      <c r="AT23" s="4">
        <v>0</v>
      </c>
      <c r="AU23" s="4">
        <v>0</v>
      </c>
      <c r="AV23" s="4">
        <v>0</v>
      </c>
      <c r="AW23" s="4">
        <v>0</v>
      </c>
      <c r="AX23" s="4">
        <v>1986350</v>
      </c>
      <c r="AY23" s="4">
        <v>1986350</v>
      </c>
    </row>
    <row r="24" spans="1:51">
      <c r="A24" s="3" t="s">
        <v>52</v>
      </c>
      <c r="B24" s="3" t="s">
        <v>53</v>
      </c>
      <c r="C24" s="3" t="s">
        <v>54</v>
      </c>
      <c r="D24" s="3" t="s">
        <v>55</v>
      </c>
      <c r="E24" s="3" t="s">
        <v>56</v>
      </c>
      <c r="F24" s="3" t="s">
        <v>57</v>
      </c>
      <c r="G24" s="3" t="s">
        <v>58</v>
      </c>
      <c r="H24" s="3" t="s">
        <v>59</v>
      </c>
      <c r="I24" s="3" t="s">
        <v>60</v>
      </c>
      <c r="J24" s="3" t="s">
        <v>61</v>
      </c>
      <c r="K24" s="3" t="s">
        <v>62</v>
      </c>
      <c r="L24" s="3" t="s">
        <v>63</v>
      </c>
      <c r="M24" s="3" t="s">
        <v>64</v>
      </c>
      <c r="N24" s="3" t="s">
        <v>65</v>
      </c>
      <c r="O24" s="3" t="s">
        <v>118</v>
      </c>
      <c r="P24" s="3" t="s">
        <v>119</v>
      </c>
      <c r="Q24" s="3" t="s">
        <v>120</v>
      </c>
      <c r="R24" s="3" t="s">
        <v>121</v>
      </c>
      <c r="S24" s="3" t="s">
        <v>140</v>
      </c>
      <c r="T24" s="3" t="s">
        <v>141</v>
      </c>
      <c r="U24" s="3" t="s">
        <v>130</v>
      </c>
      <c r="V24" s="3" t="s">
        <v>131</v>
      </c>
      <c r="W24" s="3" t="s">
        <v>132</v>
      </c>
      <c r="X24" s="3" t="s">
        <v>133</v>
      </c>
      <c r="Y24" s="3" t="s">
        <v>142</v>
      </c>
      <c r="Z24" s="3" t="s">
        <v>143</v>
      </c>
      <c r="AA24" s="3" t="s">
        <v>144</v>
      </c>
      <c r="AB24" s="4">
        <v>0</v>
      </c>
      <c r="AC24" s="4">
        <v>2505000</v>
      </c>
      <c r="AD24" s="4">
        <v>7895000</v>
      </c>
      <c r="AE24" s="4">
        <v>10400000</v>
      </c>
      <c r="AF24" s="4">
        <v>0</v>
      </c>
      <c r="AG24" s="4"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10400000</v>
      </c>
      <c r="AR24" s="4">
        <v>10390000</v>
      </c>
      <c r="AS24" s="4">
        <v>10390000</v>
      </c>
      <c r="AT24" s="4">
        <v>0</v>
      </c>
      <c r="AU24" s="4">
        <v>0</v>
      </c>
      <c r="AV24" s="4">
        <v>0</v>
      </c>
      <c r="AW24" s="4">
        <v>0</v>
      </c>
      <c r="AX24" s="4">
        <v>10000</v>
      </c>
      <c r="AY24" s="4">
        <v>10000</v>
      </c>
    </row>
    <row r="25" spans="1:51">
      <c r="A25" s="3" t="s">
        <v>52</v>
      </c>
      <c r="B25" s="3" t="s">
        <v>53</v>
      </c>
      <c r="C25" s="3" t="s">
        <v>54</v>
      </c>
      <c r="D25" s="3" t="s">
        <v>55</v>
      </c>
      <c r="E25" s="3" t="s">
        <v>56</v>
      </c>
      <c r="F25" s="3" t="s">
        <v>57</v>
      </c>
      <c r="G25" s="3" t="s">
        <v>58</v>
      </c>
      <c r="H25" s="3" t="s">
        <v>59</v>
      </c>
      <c r="I25" s="3" t="s">
        <v>60</v>
      </c>
      <c r="J25" s="3" t="s">
        <v>61</v>
      </c>
      <c r="K25" s="3" t="s">
        <v>62</v>
      </c>
      <c r="L25" s="3" t="s">
        <v>63</v>
      </c>
      <c r="M25" s="3" t="s">
        <v>64</v>
      </c>
      <c r="N25" s="3" t="s">
        <v>65</v>
      </c>
      <c r="O25" s="3" t="s">
        <v>118</v>
      </c>
      <c r="P25" s="3" t="s">
        <v>119</v>
      </c>
      <c r="Q25" s="3" t="s">
        <v>120</v>
      </c>
      <c r="R25" s="3" t="s">
        <v>121</v>
      </c>
      <c r="S25" s="3" t="s">
        <v>140</v>
      </c>
      <c r="T25" s="3" t="s">
        <v>141</v>
      </c>
      <c r="U25" s="3" t="s">
        <v>54</v>
      </c>
      <c r="V25" s="3" t="s">
        <v>72</v>
      </c>
      <c r="W25" s="3" t="s">
        <v>123</v>
      </c>
      <c r="X25" s="3" t="s">
        <v>124</v>
      </c>
      <c r="Y25" s="3" t="s">
        <v>125</v>
      </c>
      <c r="Z25" s="3" t="s">
        <v>126</v>
      </c>
      <c r="AA25" s="3" t="s">
        <v>145</v>
      </c>
      <c r="AB25" s="4">
        <v>0</v>
      </c>
      <c r="AC25" s="4">
        <v>132000</v>
      </c>
      <c r="AD25" s="4">
        <v>402000</v>
      </c>
      <c r="AE25" s="4">
        <v>534000</v>
      </c>
      <c r="AF25" s="4">
        <v>0</v>
      </c>
      <c r="AG25" s="4">
        <v>0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0</v>
      </c>
      <c r="AO25" s="4">
        <v>0</v>
      </c>
      <c r="AP25" s="4">
        <v>0</v>
      </c>
      <c r="AQ25" s="4">
        <v>534000</v>
      </c>
      <c r="AR25" s="4">
        <v>481830</v>
      </c>
      <c r="AS25" s="4">
        <v>481830</v>
      </c>
      <c r="AT25" s="4">
        <v>0</v>
      </c>
      <c r="AU25" s="4">
        <v>0</v>
      </c>
      <c r="AV25" s="4">
        <v>0</v>
      </c>
      <c r="AW25" s="4">
        <v>0</v>
      </c>
      <c r="AX25" s="4">
        <v>52170</v>
      </c>
      <c r="AY25" s="4">
        <v>52170</v>
      </c>
    </row>
    <row r="26" spans="1:51">
      <c r="A26" s="3" t="s">
        <v>52</v>
      </c>
      <c r="B26" s="3" t="s">
        <v>53</v>
      </c>
      <c r="C26" s="3" t="s">
        <v>54</v>
      </c>
      <c r="D26" s="3" t="s">
        <v>55</v>
      </c>
      <c r="E26" s="3" t="s">
        <v>56</v>
      </c>
      <c r="F26" s="3" t="s">
        <v>57</v>
      </c>
      <c r="G26" s="3" t="s">
        <v>58</v>
      </c>
      <c r="H26" s="3" t="s">
        <v>59</v>
      </c>
      <c r="I26" s="3" t="s">
        <v>60</v>
      </c>
      <c r="J26" s="3" t="s">
        <v>61</v>
      </c>
      <c r="K26" s="3" t="s">
        <v>62</v>
      </c>
      <c r="L26" s="3" t="s">
        <v>63</v>
      </c>
      <c r="M26" s="3" t="s">
        <v>64</v>
      </c>
      <c r="N26" s="3" t="s">
        <v>65</v>
      </c>
      <c r="O26" s="3" t="s">
        <v>118</v>
      </c>
      <c r="P26" s="3" t="s">
        <v>119</v>
      </c>
      <c r="Q26" s="3" t="s">
        <v>120</v>
      </c>
      <c r="R26" s="3" t="s">
        <v>121</v>
      </c>
      <c r="S26" s="3" t="s">
        <v>146</v>
      </c>
      <c r="T26" s="3" t="s">
        <v>147</v>
      </c>
      <c r="U26" s="3" t="s">
        <v>130</v>
      </c>
      <c r="V26" s="3" t="s">
        <v>131</v>
      </c>
      <c r="W26" s="3" t="s">
        <v>132</v>
      </c>
      <c r="X26" s="3" t="s">
        <v>133</v>
      </c>
      <c r="Y26" s="3" t="s">
        <v>142</v>
      </c>
      <c r="Z26" s="3" t="s">
        <v>143</v>
      </c>
      <c r="AA26" s="3" t="s">
        <v>147</v>
      </c>
      <c r="AB26" s="4">
        <v>0</v>
      </c>
      <c r="AC26" s="4">
        <v>0</v>
      </c>
      <c r="AD26" s="4">
        <v>1575000</v>
      </c>
      <c r="AE26" s="4">
        <v>1575000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1575000</v>
      </c>
      <c r="AR26" s="4">
        <v>1574550</v>
      </c>
      <c r="AS26" s="4">
        <v>1574550</v>
      </c>
      <c r="AT26" s="4">
        <v>0</v>
      </c>
      <c r="AU26" s="4">
        <v>0</v>
      </c>
      <c r="AV26" s="4">
        <v>0</v>
      </c>
      <c r="AW26" s="4">
        <v>0</v>
      </c>
      <c r="AX26" s="4">
        <v>450</v>
      </c>
      <c r="AY26" s="4">
        <v>450</v>
      </c>
    </row>
    <row r="27" spans="1:51">
      <c r="A27" s="3" t="s">
        <v>52</v>
      </c>
      <c r="B27" s="3" t="s">
        <v>53</v>
      </c>
      <c r="C27" s="3" t="s">
        <v>54</v>
      </c>
      <c r="D27" s="3" t="s">
        <v>55</v>
      </c>
      <c r="E27" s="3" t="s">
        <v>56</v>
      </c>
      <c r="F27" s="3" t="s">
        <v>57</v>
      </c>
      <c r="G27" s="3" t="s">
        <v>58</v>
      </c>
      <c r="H27" s="3" t="s">
        <v>59</v>
      </c>
      <c r="I27" s="3" t="s">
        <v>60</v>
      </c>
      <c r="J27" s="3" t="s">
        <v>61</v>
      </c>
      <c r="K27" s="3" t="s">
        <v>62</v>
      </c>
      <c r="L27" s="3" t="s">
        <v>63</v>
      </c>
      <c r="M27" s="3" t="s">
        <v>64</v>
      </c>
      <c r="N27" s="3" t="s">
        <v>65</v>
      </c>
      <c r="O27" s="3" t="s">
        <v>118</v>
      </c>
      <c r="P27" s="3" t="s">
        <v>119</v>
      </c>
      <c r="Q27" s="3" t="s">
        <v>148</v>
      </c>
      <c r="R27" s="3" t="s">
        <v>149</v>
      </c>
      <c r="S27" s="3" t="s">
        <v>150</v>
      </c>
      <c r="T27" s="3" t="s">
        <v>151</v>
      </c>
      <c r="U27" s="3" t="s">
        <v>54</v>
      </c>
      <c r="V27" s="3" t="s">
        <v>72</v>
      </c>
      <c r="W27" s="3" t="s">
        <v>73</v>
      </c>
      <c r="X27" s="3" t="s">
        <v>74</v>
      </c>
      <c r="Y27" s="3" t="s">
        <v>78</v>
      </c>
      <c r="Z27" s="3" t="s">
        <v>79</v>
      </c>
      <c r="AA27" s="3" t="s">
        <v>152</v>
      </c>
      <c r="AB27" s="4">
        <v>0</v>
      </c>
      <c r="AC27" s="4">
        <v>4800000</v>
      </c>
      <c r="AD27" s="4">
        <v>0</v>
      </c>
      <c r="AE27" s="4">
        <v>4800000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0</v>
      </c>
      <c r="AL27" s="4">
        <v>0</v>
      </c>
      <c r="AM27" s="4">
        <v>0</v>
      </c>
      <c r="AN27" s="4">
        <v>0</v>
      </c>
      <c r="AO27" s="4">
        <v>0</v>
      </c>
      <c r="AP27" s="4">
        <v>0</v>
      </c>
      <c r="AQ27" s="4">
        <v>4800000</v>
      </c>
      <c r="AR27" s="4">
        <v>4800000</v>
      </c>
      <c r="AS27" s="4">
        <v>2000000</v>
      </c>
      <c r="AT27" s="4">
        <v>0</v>
      </c>
      <c r="AU27" s="4">
        <v>0</v>
      </c>
      <c r="AV27" s="4">
        <v>0</v>
      </c>
      <c r="AW27" s="4">
        <v>0</v>
      </c>
      <c r="AX27" s="4">
        <v>0</v>
      </c>
      <c r="AY27" s="4">
        <v>2800000</v>
      </c>
    </row>
    <row r="28" spans="1:51">
      <c r="A28" s="3" t="s">
        <v>52</v>
      </c>
      <c r="B28" s="3" t="s">
        <v>53</v>
      </c>
      <c r="C28" s="3" t="s">
        <v>54</v>
      </c>
      <c r="D28" s="3" t="s">
        <v>55</v>
      </c>
      <c r="E28" s="3" t="s">
        <v>56</v>
      </c>
      <c r="F28" s="3" t="s">
        <v>57</v>
      </c>
      <c r="G28" s="3" t="s">
        <v>58</v>
      </c>
      <c r="H28" s="3" t="s">
        <v>59</v>
      </c>
      <c r="I28" s="3" t="s">
        <v>60</v>
      </c>
      <c r="J28" s="3" t="s">
        <v>61</v>
      </c>
      <c r="K28" s="3" t="s">
        <v>62</v>
      </c>
      <c r="L28" s="3" t="s">
        <v>63</v>
      </c>
      <c r="M28" s="3" t="s">
        <v>153</v>
      </c>
      <c r="N28" s="3" t="s">
        <v>154</v>
      </c>
      <c r="O28" s="3" t="s">
        <v>155</v>
      </c>
      <c r="P28" s="3" t="s">
        <v>156</v>
      </c>
      <c r="Q28" s="3" t="s">
        <v>157</v>
      </c>
      <c r="R28" s="3" t="s">
        <v>158</v>
      </c>
      <c r="S28" s="3" t="s">
        <v>159</v>
      </c>
      <c r="T28" s="3" t="s">
        <v>160</v>
      </c>
      <c r="U28" s="3" t="s">
        <v>54</v>
      </c>
      <c r="V28" s="3" t="s">
        <v>72</v>
      </c>
      <c r="W28" s="3" t="s">
        <v>73</v>
      </c>
      <c r="X28" s="3" t="s">
        <v>74</v>
      </c>
      <c r="Y28" s="3" t="s">
        <v>75</v>
      </c>
      <c r="Z28" s="3" t="s">
        <v>76</v>
      </c>
      <c r="AA28" s="3" t="s">
        <v>161</v>
      </c>
      <c r="AB28" s="4">
        <v>7200000</v>
      </c>
      <c r="AC28" s="4">
        <v>0</v>
      </c>
      <c r="AD28" s="4">
        <v>0</v>
      </c>
      <c r="AE28" s="4">
        <v>7200000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0</v>
      </c>
      <c r="AO28" s="4">
        <v>0</v>
      </c>
      <c r="AP28" s="4">
        <v>0</v>
      </c>
      <c r="AQ28" s="4">
        <v>7200000</v>
      </c>
      <c r="AR28" s="4">
        <v>6720000</v>
      </c>
      <c r="AS28" s="4">
        <v>3181500</v>
      </c>
      <c r="AT28" s="4">
        <v>0</v>
      </c>
      <c r="AU28" s="4">
        <v>0</v>
      </c>
      <c r="AV28" s="4">
        <v>0</v>
      </c>
      <c r="AW28" s="4">
        <v>0</v>
      </c>
      <c r="AX28" s="4">
        <v>480000</v>
      </c>
      <c r="AY28" s="4">
        <v>4018500</v>
      </c>
    </row>
    <row r="29" spans="1:51">
      <c r="A29" s="3" t="s">
        <v>52</v>
      </c>
      <c r="B29" s="3" t="s">
        <v>53</v>
      </c>
      <c r="C29" s="3" t="s">
        <v>54</v>
      </c>
      <c r="D29" s="3" t="s">
        <v>55</v>
      </c>
      <c r="E29" s="3" t="s">
        <v>56</v>
      </c>
      <c r="F29" s="3" t="s">
        <v>57</v>
      </c>
      <c r="G29" s="3" t="s">
        <v>58</v>
      </c>
      <c r="H29" s="3" t="s">
        <v>59</v>
      </c>
      <c r="I29" s="3" t="s">
        <v>60</v>
      </c>
      <c r="J29" s="3" t="s">
        <v>61</v>
      </c>
      <c r="K29" s="3" t="s">
        <v>62</v>
      </c>
      <c r="L29" s="3" t="s">
        <v>63</v>
      </c>
      <c r="M29" s="3" t="s">
        <v>153</v>
      </c>
      <c r="N29" s="3" t="s">
        <v>154</v>
      </c>
      <c r="O29" s="3" t="s">
        <v>155</v>
      </c>
      <c r="P29" s="3" t="s">
        <v>156</v>
      </c>
      <c r="Q29" s="3" t="s">
        <v>157</v>
      </c>
      <c r="R29" s="3" t="s">
        <v>158</v>
      </c>
      <c r="S29" s="3" t="s">
        <v>159</v>
      </c>
      <c r="T29" s="3" t="s">
        <v>160</v>
      </c>
      <c r="U29" s="3" t="s">
        <v>54</v>
      </c>
      <c r="V29" s="3" t="s">
        <v>72</v>
      </c>
      <c r="W29" s="3" t="s">
        <v>73</v>
      </c>
      <c r="X29" s="3" t="s">
        <v>74</v>
      </c>
      <c r="Y29" s="3" t="s">
        <v>75</v>
      </c>
      <c r="Z29" s="3" t="s">
        <v>76</v>
      </c>
      <c r="AA29" s="3" t="s">
        <v>162</v>
      </c>
      <c r="AB29" s="4">
        <v>15876000</v>
      </c>
      <c r="AC29" s="4">
        <v>0</v>
      </c>
      <c r="AD29" s="4">
        <v>0</v>
      </c>
      <c r="AE29" s="4">
        <v>15876000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15876000</v>
      </c>
      <c r="AR29" s="4">
        <v>6786570</v>
      </c>
      <c r="AS29" s="4">
        <v>3904680</v>
      </c>
      <c r="AT29" s="4">
        <v>0</v>
      </c>
      <c r="AU29" s="4">
        <v>0</v>
      </c>
      <c r="AV29" s="4">
        <v>0</v>
      </c>
      <c r="AW29" s="4">
        <v>0</v>
      </c>
      <c r="AX29" s="4">
        <v>9089430</v>
      </c>
      <c r="AY29" s="4">
        <v>11971320</v>
      </c>
    </row>
    <row r="30" spans="1:51">
      <c r="A30" s="3" t="s">
        <v>52</v>
      </c>
      <c r="B30" s="3" t="s">
        <v>53</v>
      </c>
      <c r="C30" s="3" t="s">
        <v>54</v>
      </c>
      <c r="D30" s="3" t="s">
        <v>55</v>
      </c>
      <c r="E30" s="3" t="s">
        <v>56</v>
      </c>
      <c r="F30" s="3" t="s">
        <v>57</v>
      </c>
      <c r="G30" s="3" t="s">
        <v>58</v>
      </c>
      <c r="H30" s="3" t="s">
        <v>59</v>
      </c>
      <c r="I30" s="3" t="s">
        <v>60</v>
      </c>
      <c r="J30" s="3" t="s">
        <v>61</v>
      </c>
      <c r="K30" s="3" t="s">
        <v>62</v>
      </c>
      <c r="L30" s="3" t="s">
        <v>63</v>
      </c>
      <c r="M30" s="3" t="s">
        <v>153</v>
      </c>
      <c r="N30" s="3" t="s">
        <v>154</v>
      </c>
      <c r="O30" s="3" t="s">
        <v>155</v>
      </c>
      <c r="P30" s="3" t="s">
        <v>156</v>
      </c>
      <c r="Q30" s="3" t="s">
        <v>157</v>
      </c>
      <c r="R30" s="3" t="s">
        <v>158</v>
      </c>
      <c r="S30" s="3" t="s">
        <v>159</v>
      </c>
      <c r="T30" s="3" t="s">
        <v>160</v>
      </c>
      <c r="U30" s="3" t="s">
        <v>54</v>
      </c>
      <c r="V30" s="3" t="s">
        <v>72</v>
      </c>
      <c r="W30" s="3" t="s">
        <v>73</v>
      </c>
      <c r="X30" s="3" t="s">
        <v>74</v>
      </c>
      <c r="Y30" s="3" t="s">
        <v>75</v>
      </c>
      <c r="Z30" s="3" t="s">
        <v>76</v>
      </c>
      <c r="AA30" s="3" t="s">
        <v>163</v>
      </c>
      <c r="AB30" s="4">
        <v>792000</v>
      </c>
      <c r="AC30" s="4">
        <v>0</v>
      </c>
      <c r="AD30" s="4">
        <v>0</v>
      </c>
      <c r="AE30" s="4">
        <v>792000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792000</v>
      </c>
      <c r="AR30" s="4">
        <v>175000</v>
      </c>
      <c r="AS30" s="4">
        <v>175000</v>
      </c>
      <c r="AT30" s="4">
        <v>0</v>
      </c>
      <c r="AU30" s="4">
        <v>0</v>
      </c>
      <c r="AV30" s="4">
        <v>0</v>
      </c>
      <c r="AW30" s="4">
        <v>0</v>
      </c>
      <c r="AX30" s="4">
        <v>617000</v>
      </c>
      <c r="AY30" s="4">
        <v>617000</v>
      </c>
    </row>
    <row r="31" spans="1:51">
      <c r="A31" s="3" t="s">
        <v>52</v>
      </c>
      <c r="B31" s="3" t="s">
        <v>53</v>
      </c>
      <c r="C31" s="3" t="s">
        <v>54</v>
      </c>
      <c r="D31" s="3" t="s">
        <v>55</v>
      </c>
      <c r="E31" s="3" t="s">
        <v>56</v>
      </c>
      <c r="F31" s="3" t="s">
        <v>57</v>
      </c>
      <c r="G31" s="3" t="s">
        <v>58</v>
      </c>
      <c r="H31" s="3" t="s">
        <v>59</v>
      </c>
      <c r="I31" s="3" t="s">
        <v>60</v>
      </c>
      <c r="J31" s="3" t="s">
        <v>61</v>
      </c>
      <c r="K31" s="3" t="s">
        <v>62</v>
      </c>
      <c r="L31" s="3" t="s">
        <v>63</v>
      </c>
      <c r="M31" s="3" t="s">
        <v>153</v>
      </c>
      <c r="N31" s="3" t="s">
        <v>154</v>
      </c>
      <c r="O31" s="3" t="s">
        <v>155</v>
      </c>
      <c r="P31" s="3" t="s">
        <v>156</v>
      </c>
      <c r="Q31" s="3" t="s">
        <v>157</v>
      </c>
      <c r="R31" s="3" t="s">
        <v>158</v>
      </c>
      <c r="S31" s="3" t="s">
        <v>159</v>
      </c>
      <c r="T31" s="3" t="s">
        <v>160</v>
      </c>
      <c r="U31" s="3" t="s">
        <v>54</v>
      </c>
      <c r="V31" s="3" t="s">
        <v>72</v>
      </c>
      <c r="W31" s="3" t="s">
        <v>73</v>
      </c>
      <c r="X31" s="3" t="s">
        <v>74</v>
      </c>
      <c r="Y31" s="3" t="s">
        <v>75</v>
      </c>
      <c r="Z31" s="3" t="s">
        <v>76</v>
      </c>
      <c r="AA31" s="3" t="s">
        <v>164</v>
      </c>
      <c r="AB31" s="4">
        <v>2500000</v>
      </c>
      <c r="AC31" s="4">
        <v>0</v>
      </c>
      <c r="AD31" s="4">
        <v>0</v>
      </c>
      <c r="AE31" s="4">
        <v>2500000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2500000</v>
      </c>
      <c r="AR31" s="4">
        <v>1078000</v>
      </c>
      <c r="AS31" s="4">
        <v>1078000</v>
      </c>
      <c r="AT31" s="4">
        <v>0</v>
      </c>
      <c r="AU31" s="4">
        <v>0</v>
      </c>
      <c r="AV31" s="4">
        <v>0</v>
      </c>
      <c r="AW31" s="4">
        <v>0</v>
      </c>
      <c r="AX31" s="4">
        <v>1422000</v>
      </c>
      <c r="AY31" s="4">
        <v>1422000</v>
      </c>
    </row>
    <row r="32" spans="1:51">
      <c r="A32" s="3" t="s">
        <v>52</v>
      </c>
      <c r="B32" s="3" t="s">
        <v>53</v>
      </c>
      <c r="C32" s="3" t="s">
        <v>54</v>
      </c>
      <c r="D32" s="3" t="s">
        <v>55</v>
      </c>
      <c r="E32" s="3" t="s">
        <v>56</v>
      </c>
      <c r="F32" s="3" t="s">
        <v>57</v>
      </c>
      <c r="G32" s="3" t="s">
        <v>58</v>
      </c>
      <c r="H32" s="3" t="s">
        <v>59</v>
      </c>
      <c r="I32" s="3" t="s">
        <v>60</v>
      </c>
      <c r="J32" s="3" t="s">
        <v>61</v>
      </c>
      <c r="K32" s="3" t="s">
        <v>62</v>
      </c>
      <c r="L32" s="3" t="s">
        <v>63</v>
      </c>
      <c r="M32" s="3" t="s">
        <v>153</v>
      </c>
      <c r="N32" s="3" t="s">
        <v>154</v>
      </c>
      <c r="O32" s="3" t="s">
        <v>155</v>
      </c>
      <c r="P32" s="3" t="s">
        <v>156</v>
      </c>
      <c r="Q32" s="3" t="s">
        <v>157</v>
      </c>
      <c r="R32" s="3" t="s">
        <v>158</v>
      </c>
      <c r="S32" s="3" t="s">
        <v>159</v>
      </c>
      <c r="T32" s="3" t="s">
        <v>160</v>
      </c>
      <c r="U32" s="3" t="s">
        <v>54</v>
      </c>
      <c r="V32" s="3" t="s">
        <v>72</v>
      </c>
      <c r="W32" s="3" t="s">
        <v>73</v>
      </c>
      <c r="X32" s="3" t="s">
        <v>74</v>
      </c>
      <c r="Y32" s="3" t="s">
        <v>75</v>
      </c>
      <c r="Z32" s="3" t="s">
        <v>76</v>
      </c>
      <c r="AA32" s="3" t="s">
        <v>165</v>
      </c>
      <c r="AB32" s="4">
        <v>2000000</v>
      </c>
      <c r="AC32" s="4">
        <v>3100000</v>
      </c>
      <c r="AD32" s="4">
        <v>0</v>
      </c>
      <c r="AE32" s="4">
        <v>5100000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5100000</v>
      </c>
      <c r="AR32" s="4">
        <v>2379896</v>
      </c>
      <c r="AS32" s="4">
        <v>2379896</v>
      </c>
      <c r="AT32" s="4">
        <v>0</v>
      </c>
      <c r="AU32" s="4">
        <v>0</v>
      </c>
      <c r="AV32" s="4">
        <v>0</v>
      </c>
      <c r="AW32" s="4">
        <v>0</v>
      </c>
      <c r="AX32" s="4">
        <v>2720104</v>
      </c>
      <c r="AY32" s="4">
        <v>2720104</v>
      </c>
    </row>
    <row r="33" spans="1:51">
      <c r="A33" s="3" t="s">
        <v>52</v>
      </c>
      <c r="B33" s="3" t="s">
        <v>53</v>
      </c>
      <c r="C33" s="3" t="s">
        <v>54</v>
      </c>
      <c r="D33" s="3" t="s">
        <v>55</v>
      </c>
      <c r="E33" s="3" t="s">
        <v>56</v>
      </c>
      <c r="F33" s="3" t="s">
        <v>57</v>
      </c>
      <c r="G33" s="3" t="s">
        <v>58</v>
      </c>
      <c r="H33" s="3" t="s">
        <v>59</v>
      </c>
      <c r="I33" s="3" t="s">
        <v>60</v>
      </c>
      <c r="J33" s="3" t="s">
        <v>61</v>
      </c>
      <c r="K33" s="3" t="s">
        <v>62</v>
      </c>
      <c r="L33" s="3" t="s">
        <v>63</v>
      </c>
      <c r="M33" s="3" t="s">
        <v>153</v>
      </c>
      <c r="N33" s="3" t="s">
        <v>154</v>
      </c>
      <c r="O33" s="3" t="s">
        <v>155</v>
      </c>
      <c r="P33" s="3" t="s">
        <v>156</v>
      </c>
      <c r="Q33" s="3" t="s">
        <v>157</v>
      </c>
      <c r="R33" s="3" t="s">
        <v>158</v>
      </c>
      <c r="S33" s="3" t="s">
        <v>159</v>
      </c>
      <c r="T33" s="3" t="s">
        <v>160</v>
      </c>
      <c r="U33" s="3" t="s">
        <v>54</v>
      </c>
      <c r="V33" s="3" t="s">
        <v>72</v>
      </c>
      <c r="W33" s="3" t="s">
        <v>73</v>
      </c>
      <c r="X33" s="3" t="s">
        <v>74</v>
      </c>
      <c r="Y33" s="3" t="s">
        <v>75</v>
      </c>
      <c r="Z33" s="3" t="s">
        <v>76</v>
      </c>
      <c r="AA33" s="3" t="s">
        <v>166</v>
      </c>
      <c r="AB33" s="4">
        <v>1400000</v>
      </c>
      <c r="AC33" s="4">
        <v>0</v>
      </c>
      <c r="AD33" s="4">
        <v>0</v>
      </c>
      <c r="AE33" s="4">
        <v>1400000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1400000</v>
      </c>
      <c r="AR33" s="4">
        <v>0</v>
      </c>
      <c r="AS33" s="4">
        <v>0</v>
      </c>
      <c r="AT33" s="4">
        <v>0</v>
      </c>
      <c r="AU33" s="4">
        <v>0</v>
      </c>
      <c r="AV33" s="4">
        <v>0</v>
      </c>
      <c r="AW33" s="4">
        <v>0</v>
      </c>
      <c r="AX33" s="4">
        <v>1400000</v>
      </c>
      <c r="AY33" s="4">
        <v>1400000</v>
      </c>
    </row>
    <row r="34" spans="1:51">
      <c r="A34" s="3" t="s">
        <v>52</v>
      </c>
      <c r="B34" s="3" t="s">
        <v>53</v>
      </c>
      <c r="C34" s="3" t="s">
        <v>54</v>
      </c>
      <c r="D34" s="3" t="s">
        <v>55</v>
      </c>
      <c r="E34" s="3" t="s">
        <v>56</v>
      </c>
      <c r="F34" s="3" t="s">
        <v>57</v>
      </c>
      <c r="G34" s="3" t="s">
        <v>58</v>
      </c>
      <c r="H34" s="3" t="s">
        <v>59</v>
      </c>
      <c r="I34" s="3" t="s">
        <v>60</v>
      </c>
      <c r="J34" s="3" t="s">
        <v>61</v>
      </c>
      <c r="K34" s="3" t="s">
        <v>62</v>
      </c>
      <c r="L34" s="3" t="s">
        <v>63</v>
      </c>
      <c r="M34" s="3" t="s">
        <v>153</v>
      </c>
      <c r="N34" s="3" t="s">
        <v>154</v>
      </c>
      <c r="O34" s="3" t="s">
        <v>155</v>
      </c>
      <c r="P34" s="3" t="s">
        <v>156</v>
      </c>
      <c r="Q34" s="3" t="s">
        <v>157</v>
      </c>
      <c r="R34" s="3" t="s">
        <v>158</v>
      </c>
      <c r="S34" s="3" t="s">
        <v>159</v>
      </c>
      <c r="T34" s="3" t="s">
        <v>160</v>
      </c>
      <c r="U34" s="3" t="s">
        <v>54</v>
      </c>
      <c r="V34" s="3" t="s">
        <v>72</v>
      </c>
      <c r="W34" s="3" t="s">
        <v>73</v>
      </c>
      <c r="X34" s="3" t="s">
        <v>74</v>
      </c>
      <c r="Y34" s="3" t="s">
        <v>75</v>
      </c>
      <c r="Z34" s="3" t="s">
        <v>76</v>
      </c>
      <c r="AA34" s="3" t="s">
        <v>167</v>
      </c>
      <c r="AB34" s="4">
        <v>0</v>
      </c>
      <c r="AC34" s="4">
        <v>8147000</v>
      </c>
      <c r="AD34" s="4">
        <v>8148000</v>
      </c>
      <c r="AE34" s="4">
        <v>16295000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16295000</v>
      </c>
      <c r="AR34" s="4">
        <v>14751990</v>
      </c>
      <c r="AS34" s="4">
        <v>14268480</v>
      </c>
      <c r="AT34" s="4">
        <v>0</v>
      </c>
      <c r="AU34" s="4">
        <v>0</v>
      </c>
      <c r="AV34" s="4">
        <v>0</v>
      </c>
      <c r="AW34" s="4">
        <v>0</v>
      </c>
      <c r="AX34" s="4">
        <v>1543010</v>
      </c>
      <c r="AY34" s="4">
        <v>2026520</v>
      </c>
    </row>
    <row r="35" spans="1:51">
      <c r="A35" s="3" t="s">
        <v>52</v>
      </c>
      <c r="B35" s="3" t="s">
        <v>53</v>
      </c>
      <c r="C35" s="3" t="s">
        <v>54</v>
      </c>
      <c r="D35" s="3" t="s">
        <v>55</v>
      </c>
      <c r="E35" s="3" t="s">
        <v>56</v>
      </c>
      <c r="F35" s="3" t="s">
        <v>57</v>
      </c>
      <c r="G35" s="3" t="s">
        <v>58</v>
      </c>
      <c r="H35" s="3" t="s">
        <v>59</v>
      </c>
      <c r="I35" s="3" t="s">
        <v>60</v>
      </c>
      <c r="J35" s="3" t="s">
        <v>61</v>
      </c>
      <c r="K35" s="3" t="s">
        <v>62</v>
      </c>
      <c r="L35" s="3" t="s">
        <v>63</v>
      </c>
      <c r="M35" s="3" t="s">
        <v>153</v>
      </c>
      <c r="N35" s="3" t="s">
        <v>154</v>
      </c>
      <c r="O35" s="3" t="s">
        <v>155</v>
      </c>
      <c r="P35" s="3" t="s">
        <v>156</v>
      </c>
      <c r="Q35" s="3" t="s">
        <v>157</v>
      </c>
      <c r="R35" s="3" t="s">
        <v>158</v>
      </c>
      <c r="S35" s="3" t="s">
        <v>159</v>
      </c>
      <c r="T35" s="3" t="s">
        <v>160</v>
      </c>
      <c r="U35" s="3" t="s">
        <v>54</v>
      </c>
      <c r="V35" s="3" t="s">
        <v>72</v>
      </c>
      <c r="W35" s="3" t="s">
        <v>94</v>
      </c>
      <c r="X35" s="3" t="s">
        <v>95</v>
      </c>
      <c r="Y35" s="3" t="s">
        <v>96</v>
      </c>
      <c r="Z35" s="3" t="s">
        <v>95</v>
      </c>
      <c r="AA35" s="3" t="s">
        <v>168</v>
      </c>
      <c r="AB35" s="4">
        <v>180000</v>
      </c>
      <c r="AC35" s="4">
        <v>0</v>
      </c>
      <c r="AD35" s="4">
        <v>0</v>
      </c>
      <c r="AE35" s="4">
        <v>180000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180000</v>
      </c>
      <c r="AR35" s="4">
        <v>50000</v>
      </c>
      <c r="AS35" s="4">
        <v>50000</v>
      </c>
      <c r="AT35" s="4">
        <v>0</v>
      </c>
      <c r="AU35" s="4">
        <v>0</v>
      </c>
      <c r="AV35" s="4">
        <v>0</v>
      </c>
      <c r="AW35" s="4">
        <v>0</v>
      </c>
      <c r="AX35" s="4">
        <v>130000</v>
      </c>
      <c r="AY35" s="4">
        <v>130000</v>
      </c>
    </row>
    <row r="36" spans="1:51">
      <c r="A36" s="3" t="s">
        <v>52</v>
      </c>
      <c r="B36" s="3" t="s">
        <v>53</v>
      </c>
      <c r="C36" s="3" t="s">
        <v>54</v>
      </c>
      <c r="D36" s="3" t="s">
        <v>55</v>
      </c>
      <c r="E36" s="3" t="s">
        <v>56</v>
      </c>
      <c r="F36" s="3" t="s">
        <v>57</v>
      </c>
      <c r="G36" s="3" t="s">
        <v>58</v>
      </c>
      <c r="H36" s="3" t="s">
        <v>59</v>
      </c>
      <c r="I36" s="3" t="s">
        <v>60</v>
      </c>
      <c r="J36" s="3" t="s">
        <v>61</v>
      </c>
      <c r="K36" s="3" t="s">
        <v>62</v>
      </c>
      <c r="L36" s="3" t="s">
        <v>63</v>
      </c>
      <c r="M36" s="3" t="s">
        <v>153</v>
      </c>
      <c r="N36" s="3" t="s">
        <v>154</v>
      </c>
      <c r="O36" s="3" t="s">
        <v>155</v>
      </c>
      <c r="P36" s="3" t="s">
        <v>156</v>
      </c>
      <c r="Q36" s="3" t="s">
        <v>157</v>
      </c>
      <c r="R36" s="3" t="s">
        <v>158</v>
      </c>
      <c r="S36" s="3" t="s">
        <v>159</v>
      </c>
      <c r="T36" s="3" t="s">
        <v>160</v>
      </c>
      <c r="U36" s="3" t="s">
        <v>86</v>
      </c>
      <c r="V36" s="3" t="s">
        <v>87</v>
      </c>
      <c r="W36" s="3" t="s">
        <v>88</v>
      </c>
      <c r="X36" s="3" t="s">
        <v>89</v>
      </c>
      <c r="Y36" s="3" t="s">
        <v>90</v>
      </c>
      <c r="Z36" s="3" t="s">
        <v>89</v>
      </c>
      <c r="AA36" s="3" t="s">
        <v>169</v>
      </c>
      <c r="AB36" s="4">
        <v>420000</v>
      </c>
      <c r="AC36" s="4">
        <v>0</v>
      </c>
      <c r="AD36" s="4">
        <v>0</v>
      </c>
      <c r="AE36" s="4">
        <v>420000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420000</v>
      </c>
      <c r="AR36" s="4">
        <v>55400</v>
      </c>
      <c r="AS36" s="4">
        <v>55400</v>
      </c>
      <c r="AT36" s="4">
        <v>0</v>
      </c>
      <c r="AU36" s="4">
        <v>0</v>
      </c>
      <c r="AV36" s="4">
        <v>0</v>
      </c>
      <c r="AW36" s="4">
        <v>0</v>
      </c>
      <c r="AX36" s="4">
        <v>364600</v>
      </c>
      <c r="AY36" s="4">
        <v>364600</v>
      </c>
    </row>
    <row r="37" spans="1:51">
      <c r="A37" s="3" t="s">
        <v>52</v>
      </c>
      <c r="B37" s="3" t="s">
        <v>53</v>
      </c>
      <c r="C37" s="3" t="s">
        <v>54</v>
      </c>
      <c r="D37" s="3" t="s">
        <v>55</v>
      </c>
      <c r="E37" s="3" t="s">
        <v>56</v>
      </c>
      <c r="F37" s="3" t="s">
        <v>57</v>
      </c>
      <c r="G37" s="3" t="s">
        <v>58</v>
      </c>
      <c r="H37" s="3" t="s">
        <v>59</v>
      </c>
      <c r="I37" s="3" t="s">
        <v>60</v>
      </c>
      <c r="J37" s="3" t="s">
        <v>61</v>
      </c>
      <c r="K37" s="3" t="s">
        <v>62</v>
      </c>
      <c r="L37" s="3" t="s">
        <v>63</v>
      </c>
      <c r="M37" s="3" t="s">
        <v>153</v>
      </c>
      <c r="N37" s="3" t="s">
        <v>154</v>
      </c>
      <c r="O37" s="3" t="s">
        <v>155</v>
      </c>
      <c r="P37" s="3" t="s">
        <v>156</v>
      </c>
      <c r="Q37" s="3" t="s">
        <v>157</v>
      </c>
      <c r="R37" s="3" t="s">
        <v>158</v>
      </c>
      <c r="S37" s="3" t="s">
        <v>102</v>
      </c>
      <c r="T37" s="3" t="s">
        <v>170</v>
      </c>
      <c r="U37" s="3" t="s">
        <v>54</v>
      </c>
      <c r="V37" s="3" t="s">
        <v>72</v>
      </c>
      <c r="W37" s="3" t="s">
        <v>73</v>
      </c>
      <c r="X37" s="3" t="s">
        <v>74</v>
      </c>
      <c r="Y37" s="3" t="s">
        <v>171</v>
      </c>
      <c r="Z37" s="3" t="s">
        <v>172</v>
      </c>
      <c r="AA37" s="3" t="s">
        <v>170</v>
      </c>
      <c r="AB37" s="4">
        <v>0</v>
      </c>
      <c r="AC37" s="4">
        <v>4208000</v>
      </c>
      <c r="AD37" s="4">
        <v>0</v>
      </c>
      <c r="AE37" s="4">
        <v>4208000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4208000</v>
      </c>
      <c r="AR37" s="4">
        <v>3851610</v>
      </c>
      <c r="AS37" s="4">
        <v>3851610</v>
      </c>
      <c r="AT37" s="4">
        <v>0</v>
      </c>
      <c r="AU37" s="4">
        <v>0</v>
      </c>
      <c r="AV37" s="4">
        <v>0</v>
      </c>
      <c r="AW37" s="4">
        <v>0</v>
      </c>
      <c r="AX37" s="4">
        <v>356390</v>
      </c>
      <c r="AY37" s="4">
        <v>356390</v>
      </c>
    </row>
    <row r="38" spans="1:51">
      <c r="A38" s="3" t="s">
        <v>52</v>
      </c>
      <c r="B38" s="3" t="s">
        <v>53</v>
      </c>
      <c r="C38" s="3" t="s">
        <v>54</v>
      </c>
      <c r="D38" s="3" t="s">
        <v>55</v>
      </c>
      <c r="E38" s="3" t="s">
        <v>56</v>
      </c>
      <c r="F38" s="3" t="s">
        <v>57</v>
      </c>
      <c r="G38" s="3" t="s">
        <v>58</v>
      </c>
      <c r="H38" s="3" t="s">
        <v>59</v>
      </c>
      <c r="I38" s="3" t="s">
        <v>60</v>
      </c>
      <c r="J38" s="3" t="s">
        <v>61</v>
      </c>
      <c r="K38" s="3" t="s">
        <v>62</v>
      </c>
      <c r="L38" s="3" t="s">
        <v>63</v>
      </c>
      <c r="M38" s="3" t="s">
        <v>153</v>
      </c>
      <c r="N38" s="3" t="s">
        <v>154</v>
      </c>
      <c r="O38" s="3" t="s">
        <v>155</v>
      </c>
      <c r="P38" s="3" t="s">
        <v>156</v>
      </c>
      <c r="Q38" s="3" t="s">
        <v>157</v>
      </c>
      <c r="R38" s="3" t="s">
        <v>158</v>
      </c>
      <c r="S38" s="3" t="s">
        <v>128</v>
      </c>
      <c r="T38" s="3" t="s">
        <v>173</v>
      </c>
      <c r="U38" s="3" t="s">
        <v>54</v>
      </c>
      <c r="V38" s="3" t="s">
        <v>72</v>
      </c>
      <c r="W38" s="3" t="s">
        <v>73</v>
      </c>
      <c r="X38" s="3" t="s">
        <v>74</v>
      </c>
      <c r="Y38" s="3" t="s">
        <v>75</v>
      </c>
      <c r="Z38" s="3" t="s">
        <v>76</v>
      </c>
      <c r="AA38" s="3" t="s">
        <v>174</v>
      </c>
      <c r="AB38" s="4">
        <v>4083000</v>
      </c>
      <c r="AC38" s="4">
        <v>0</v>
      </c>
      <c r="AD38" s="4">
        <v>0</v>
      </c>
      <c r="AE38" s="4">
        <v>4083000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4083000</v>
      </c>
      <c r="AR38" s="4">
        <v>1952500</v>
      </c>
      <c r="AS38" s="4">
        <v>1952500</v>
      </c>
      <c r="AT38" s="4">
        <v>0</v>
      </c>
      <c r="AU38" s="4">
        <v>0</v>
      </c>
      <c r="AV38" s="4">
        <v>0</v>
      </c>
      <c r="AW38" s="4">
        <v>0</v>
      </c>
      <c r="AX38" s="4">
        <v>2130500</v>
      </c>
      <c r="AY38" s="4">
        <v>2130500</v>
      </c>
    </row>
    <row r="39" spans="1:51">
      <c r="A39" s="3" t="s">
        <v>52</v>
      </c>
      <c r="B39" s="3" t="s">
        <v>53</v>
      </c>
      <c r="C39" s="3" t="s">
        <v>54</v>
      </c>
      <c r="D39" s="3" t="s">
        <v>55</v>
      </c>
      <c r="E39" s="3" t="s">
        <v>56</v>
      </c>
      <c r="F39" s="3" t="s">
        <v>57</v>
      </c>
      <c r="G39" s="3" t="s">
        <v>58</v>
      </c>
      <c r="H39" s="3" t="s">
        <v>59</v>
      </c>
      <c r="I39" s="3" t="s">
        <v>60</v>
      </c>
      <c r="J39" s="3" t="s">
        <v>61</v>
      </c>
      <c r="K39" s="3" t="s">
        <v>62</v>
      </c>
      <c r="L39" s="3" t="s">
        <v>63</v>
      </c>
      <c r="M39" s="3" t="s">
        <v>153</v>
      </c>
      <c r="N39" s="3" t="s">
        <v>154</v>
      </c>
      <c r="O39" s="3" t="s">
        <v>155</v>
      </c>
      <c r="P39" s="3" t="s">
        <v>156</v>
      </c>
      <c r="Q39" s="3" t="s">
        <v>157</v>
      </c>
      <c r="R39" s="3" t="s">
        <v>158</v>
      </c>
      <c r="S39" s="3" t="s">
        <v>128</v>
      </c>
      <c r="T39" s="3" t="s">
        <v>173</v>
      </c>
      <c r="U39" s="3" t="s">
        <v>54</v>
      </c>
      <c r="V39" s="3" t="s">
        <v>72</v>
      </c>
      <c r="W39" s="3" t="s">
        <v>73</v>
      </c>
      <c r="X39" s="3" t="s">
        <v>74</v>
      </c>
      <c r="Y39" s="3" t="s">
        <v>75</v>
      </c>
      <c r="Z39" s="3" t="s">
        <v>76</v>
      </c>
      <c r="AA39" s="3" t="s">
        <v>175</v>
      </c>
      <c r="AB39" s="4">
        <v>3478000</v>
      </c>
      <c r="AC39" s="4">
        <v>0</v>
      </c>
      <c r="AD39" s="4">
        <v>0</v>
      </c>
      <c r="AE39" s="4">
        <v>3478000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3478000</v>
      </c>
      <c r="AR39" s="4">
        <v>0</v>
      </c>
      <c r="AS39" s="4">
        <v>0</v>
      </c>
      <c r="AT39" s="4">
        <v>0</v>
      </c>
      <c r="AU39" s="4">
        <v>0</v>
      </c>
      <c r="AV39" s="4">
        <v>0</v>
      </c>
      <c r="AW39" s="4">
        <v>0</v>
      </c>
      <c r="AX39" s="4">
        <v>3478000</v>
      </c>
      <c r="AY39" s="4">
        <v>3478000</v>
      </c>
    </row>
    <row r="40" spans="1:51">
      <c r="A40" s="3" t="s">
        <v>52</v>
      </c>
      <c r="B40" s="3" t="s">
        <v>53</v>
      </c>
      <c r="C40" s="3" t="s">
        <v>54</v>
      </c>
      <c r="D40" s="3" t="s">
        <v>55</v>
      </c>
      <c r="E40" s="3" t="s">
        <v>56</v>
      </c>
      <c r="F40" s="3" t="s">
        <v>57</v>
      </c>
      <c r="G40" s="3" t="s">
        <v>58</v>
      </c>
      <c r="H40" s="3" t="s">
        <v>59</v>
      </c>
      <c r="I40" s="3" t="s">
        <v>60</v>
      </c>
      <c r="J40" s="3" t="s">
        <v>61</v>
      </c>
      <c r="K40" s="3" t="s">
        <v>62</v>
      </c>
      <c r="L40" s="3" t="s">
        <v>63</v>
      </c>
      <c r="M40" s="3" t="s">
        <v>153</v>
      </c>
      <c r="N40" s="3" t="s">
        <v>154</v>
      </c>
      <c r="O40" s="3" t="s">
        <v>155</v>
      </c>
      <c r="P40" s="3" t="s">
        <v>156</v>
      </c>
      <c r="Q40" s="3" t="s">
        <v>157</v>
      </c>
      <c r="R40" s="3" t="s">
        <v>158</v>
      </c>
      <c r="S40" s="3" t="s">
        <v>128</v>
      </c>
      <c r="T40" s="3" t="s">
        <v>173</v>
      </c>
      <c r="U40" s="3" t="s">
        <v>54</v>
      </c>
      <c r="V40" s="3" t="s">
        <v>72</v>
      </c>
      <c r="W40" s="3" t="s">
        <v>73</v>
      </c>
      <c r="X40" s="3" t="s">
        <v>74</v>
      </c>
      <c r="Y40" s="3" t="s">
        <v>171</v>
      </c>
      <c r="Z40" s="3" t="s">
        <v>172</v>
      </c>
      <c r="AA40" s="3" t="s">
        <v>176</v>
      </c>
      <c r="AB40" s="4">
        <v>72576000</v>
      </c>
      <c r="AC40" s="4">
        <v>0</v>
      </c>
      <c r="AD40" s="4">
        <v>0</v>
      </c>
      <c r="AE40" s="4">
        <v>72576000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72576000</v>
      </c>
      <c r="AR40" s="4">
        <v>34805380</v>
      </c>
      <c r="AS40" s="4">
        <v>34805380</v>
      </c>
      <c r="AT40" s="4">
        <v>0</v>
      </c>
      <c r="AU40" s="4">
        <v>0</v>
      </c>
      <c r="AV40" s="4">
        <v>0</v>
      </c>
      <c r="AW40" s="4">
        <v>0</v>
      </c>
      <c r="AX40" s="4">
        <v>37770620</v>
      </c>
      <c r="AY40" s="4">
        <v>37770620</v>
      </c>
    </row>
    <row r="41" spans="1:51">
      <c r="A41" s="3" t="s">
        <v>52</v>
      </c>
      <c r="B41" s="3" t="s">
        <v>53</v>
      </c>
      <c r="C41" s="3" t="s">
        <v>54</v>
      </c>
      <c r="D41" s="3" t="s">
        <v>55</v>
      </c>
      <c r="E41" s="3" t="s">
        <v>56</v>
      </c>
      <c r="F41" s="3" t="s">
        <v>57</v>
      </c>
      <c r="G41" s="3" t="s">
        <v>58</v>
      </c>
      <c r="H41" s="3" t="s">
        <v>59</v>
      </c>
      <c r="I41" s="3" t="s">
        <v>60</v>
      </c>
      <c r="J41" s="3" t="s">
        <v>61</v>
      </c>
      <c r="K41" s="3" t="s">
        <v>62</v>
      </c>
      <c r="L41" s="3" t="s">
        <v>63</v>
      </c>
      <c r="M41" s="3" t="s">
        <v>153</v>
      </c>
      <c r="N41" s="3" t="s">
        <v>154</v>
      </c>
      <c r="O41" s="3" t="s">
        <v>155</v>
      </c>
      <c r="P41" s="3" t="s">
        <v>156</v>
      </c>
      <c r="Q41" s="3" t="s">
        <v>157</v>
      </c>
      <c r="R41" s="3" t="s">
        <v>158</v>
      </c>
      <c r="S41" s="3" t="s">
        <v>140</v>
      </c>
      <c r="T41" s="3" t="s">
        <v>177</v>
      </c>
      <c r="U41" s="3" t="s">
        <v>54</v>
      </c>
      <c r="V41" s="3" t="s">
        <v>72</v>
      </c>
      <c r="W41" s="3" t="s">
        <v>73</v>
      </c>
      <c r="X41" s="3" t="s">
        <v>74</v>
      </c>
      <c r="Y41" s="3" t="s">
        <v>75</v>
      </c>
      <c r="Z41" s="3" t="s">
        <v>76</v>
      </c>
      <c r="AA41" s="3" t="s">
        <v>178</v>
      </c>
      <c r="AB41" s="4">
        <v>0</v>
      </c>
      <c r="AC41" s="4">
        <v>1252000</v>
      </c>
      <c r="AD41" s="4">
        <v>0</v>
      </c>
      <c r="AE41" s="4">
        <v>1252000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1252000</v>
      </c>
      <c r="AR41" s="4">
        <v>0</v>
      </c>
      <c r="AS41" s="4">
        <v>0</v>
      </c>
      <c r="AT41" s="4">
        <v>0</v>
      </c>
      <c r="AU41" s="4">
        <v>0</v>
      </c>
      <c r="AV41" s="4">
        <v>0</v>
      </c>
      <c r="AW41" s="4">
        <v>0</v>
      </c>
      <c r="AX41" s="4">
        <v>1252000</v>
      </c>
      <c r="AY41" s="4">
        <v>1252000</v>
      </c>
    </row>
    <row r="42" spans="1:51">
      <c r="A42" s="3" t="s">
        <v>52</v>
      </c>
      <c r="B42" s="3" t="s">
        <v>53</v>
      </c>
      <c r="C42" s="3" t="s">
        <v>54</v>
      </c>
      <c r="D42" s="3" t="s">
        <v>55</v>
      </c>
      <c r="E42" s="3" t="s">
        <v>56</v>
      </c>
      <c r="F42" s="3" t="s">
        <v>57</v>
      </c>
      <c r="G42" s="3" t="s">
        <v>58</v>
      </c>
      <c r="H42" s="3" t="s">
        <v>59</v>
      </c>
      <c r="I42" s="3" t="s">
        <v>60</v>
      </c>
      <c r="J42" s="3" t="s">
        <v>61</v>
      </c>
      <c r="K42" s="3" t="s">
        <v>62</v>
      </c>
      <c r="L42" s="3" t="s">
        <v>63</v>
      </c>
      <c r="M42" s="3" t="s">
        <v>153</v>
      </c>
      <c r="N42" s="3" t="s">
        <v>154</v>
      </c>
      <c r="O42" s="3" t="s">
        <v>155</v>
      </c>
      <c r="P42" s="3" t="s">
        <v>156</v>
      </c>
      <c r="Q42" s="3" t="s">
        <v>157</v>
      </c>
      <c r="R42" s="3" t="s">
        <v>158</v>
      </c>
      <c r="S42" s="3" t="s">
        <v>140</v>
      </c>
      <c r="T42" s="3" t="s">
        <v>177</v>
      </c>
      <c r="U42" s="3" t="s">
        <v>54</v>
      </c>
      <c r="V42" s="3" t="s">
        <v>72</v>
      </c>
      <c r="W42" s="3" t="s">
        <v>73</v>
      </c>
      <c r="X42" s="3" t="s">
        <v>74</v>
      </c>
      <c r="Y42" s="3" t="s">
        <v>171</v>
      </c>
      <c r="Z42" s="3" t="s">
        <v>172</v>
      </c>
      <c r="AA42" s="3" t="s">
        <v>179</v>
      </c>
      <c r="AB42" s="4">
        <v>0</v>
      </c>
      <c r="AC42" s="4">
        <v>27230000</v>
      </c>
      <c r="AD42" s="4">
        <v>0</v>
      </c>
      <c r="AE42" s="4">
        <v>27230000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27230000</v>
      </c>
      <c r="AR42" s="4">
        <v>14489550</v>
      </c>
      <c r="AS42" s="4">
        <v>14489550</v>
      </c>
      <c r="AT42" s="4">
        <v>0</v>
      </c>
      <c r="AU42" s="4">
        <v>0</v>
      </c>
      <c r="AV42" s="4">
        <v>0</v>
      </c>
      <c r="AW42" s="4">
        <v>0</v>
      </c>
      <c r="AX42" s="4">
        <v>12740450</v>
      </c>
      <c r="AY42" s="4">
        <v>12740450</v>
      </c>
    </row>
    <row r="43" spans="1:51">
      <c r="A43" s="3" t="s">
        <v>52</v>
      </c>
      <c r="B43" s="3" t="s">
        <v>53</v>
      </c>
      <c r="C43" s="3" t="s">
        <v>54</v>
      </c>
      <c r="D43" s="3" t="s">
        <v>55</v>
      </c>
      <c r="E43" s="3" t="s">
        <v>56</v>
      </c>
      <c r="F43" s="3" t="s">
        <v>57</v>
      </c>
      <c r="G43" s="3" t="s">
        <v>58</v>
      </c>
      <c r="H43" s="3" t="s">
        <v>59</v>
      </c>
      <c r="I43" s="3" t="s">
        <v>60</v>
      </c>
      <c r="J43" s="3" t="s">
        <v>61</v>
      </c>
      <c r="K43" s="3" t="s">
        <v>62</v>
      </c>
      <c r="L43" s="3" t="s">
        <v>63</v>
      </c>
      <c r="M43" s="3" t="s">
        <v>153</v>
      </c>
      <c r="N43" s="3" t="s">
        <v>154</v>
      </c>
      <c r="O43" s="3" t="s">
        <v>155</v>
      </c>
      <c r="P43" s="3" t="s">
        <v>156</v>
      </c>
      <c r="Q43" s="3" t="s">
        <v>157</v>
      </c>
      <c r="R43" s="3" t="s">
        <v>158</v>
      </c>
      <c r="S43" s="3" t="s">
        <v>140</v>
      </c>
      <c r="T43" s="3" t="s">
        <v>177</v>
      </c>
      <c r="U43" s="3" t="s">
        <v>54</v>
      </c>
      <c r="V43" s="3" t="s">
        <v>72</v>
      </c>
      <c r="W43" s="3" t="s">
        <v>73</v>
      </c>
      <c r="X43" s="3" t="s">
        <v>74</v>
      </c>
      <c r="Y43" s="3" t="s">
        <v>171</v>
      </c>
      <c r="Z43" s="3" t="s">
        <v>172</v>
      </c>
      <c r="AA43" s="3" t="s">
        <v>180</v>
      </c>
      <c r="AB43" s="4">
        <v>0</v>
      </c>
      <c r="AC43" s="4">
        <v>490000</v>
      </c>
      <c r="AD43" s="4">
        <v>0</v>
      </c>
      <c r="AE43" s="4">
        <v>490000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490000</v>
      </c>
      <c r="AR43" s="4">
        <v>329140</v>
      </c>
      <c r="AS43" s="4">
        <v>329140</v>
      </c>
      <c r="AT43" s="4">
        <v>0</v>
      </c>
      <c r="AU43" s="4">
        <v>0</v>
      </c>
      <c r="AV43" s="4">
        <v>0</v>
      </c>
      <c r="AW43" s="4">
        <v>0</v>
      </c>
      <c r="AX43" s="4">
        <v>160860</v>
      </c>
      <c r="AY43" s="4">
        <v>160860</v>
      </c>
    </row>
    <row r="44" spans="1:51">
      <c r="A44" s="3" t="s">
        <v>52</v>
      </c>
      <c r="B44" s="3" t="s">
        <v>53</v>
      </c>
      <c r="C44" s="3" t="s">
        <v>54</v>
      </c>
      <c r="D44" s="3" t="s">
        <v>55</v>
      </c>
      <c r="E44" s="3" t="s">
        <v>56</v>
      </c>
      <c r="F44" s="3" t="s">
        <v>57</v>
      </c>
      <c r="G44" s="3" t="s">
        <v>58</v>
      </c>
      <c r="H44" s="3" t="s">
        <v>59</v>
      </c>
      <c r="I44" s="3" t="s">
        <v>60</v>
      </c>
      <c r="J44" s="3" t="s">
        <v>61</v>
      </c>
      <c r="K44" s="3" t="s">
        <v>62</v>
      </c>
      <c r="L44" s="3" t="s">
        <v>63</v>
      </c>
      <c r="M44" s="3" t="s">
        <v>153</v>
      </c>
      <c r="N44" s="3" t="s">
        <v>154</v>
      </c>
      <c r="O44" s="3" t="s">
        <v>155</v>
      </c>
      <c r="P44" s="3" t="s">
        <v>156</v>
      </c>
      <c r="Q44" s="3" t="s">
        <v>157</v>
      </c>
      <c r="R44" s="3" t="s">
        <v>158</v>
      </c>
      <c r="S44" s="3" t="s">
        <v>146</v>
      </c>
      <c r="T44" s="3" t="s">
        <v>181</v>
      </c>
      <c r="U44" s="3" t="s">
        <v>54</v>
      </c>
      <c r="V44" s="3" t="s">
        <v>72</v>
      </c>
      <c r="W44" s="3" t="s">
        <v>73</v>
      </c>
      <c r="X44" s="3" t="s">
        <v>74</v>
      </c>
      <c r="Y44" s="3" t="s">
        <v>75</v>
      </c>
      <c r="Z44" s="3" t="s">
        <v>76</v>
      </c>
      <c r="AA44" s="3" t="s">
        <v>182</v>
      </c>
      <c r="AB44" s="4">
        <v>0</v>
      </c>
      <c r="AC44" s="4">
        <v>3210000</v>
      </c>
      <c r="AD44" s="4">
        <v>3210000</v>
      </c>
      <c r="AE44" s="4">
        <v>6420000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6420000</v>
      </c>
      <c r="AR44" s="4">
        <v>4615140</v>
      </c>
      <c r="AS44" s="4">
        <v>4615140</v>
      </c>
      <c r="AT44" s="4">
        <v>0</v>
      </c>
      <c r="AU44" s="4">
        <v>0</v>
      </c>
      <c r="AV44" s="4">
        <v>0</v>
      </c>
      <c r="AW44" s="4">
        <v>0</v>
      </c>
      <c r="AX44" s="4">
        <v>1804860</v>
      </c>
      <c r="AY44" s="4">
        <v>1804860</v>
      </c>
    </row>
    <row r="45" spans="1:51">
      <c r="A45" s="3" t="s">
        <v>52</v>
      </c>
      <c r="B45" s="3" t="s">
        <v>53</v>
      </c>
      <c r="C45" s="3" t="s">
        <v>54</v>
      </c>
      <c r="D45" s="3" t="s">
        <v>55</v>
      </c>
      <c r="E45" s="3" t="s">
        <v>56</v>
      </c>
      <c r="F45" s="3" t="s">
        <v>57</v>
      </c>
      <c r="G45" s="3" t="s">
        <v>58</v>
      </c>
      <c r="H45" s="3" t="s">
        <v>59</v>
      </c>
      <c r="I45" s="3" t="s">
        <v>60</v>
      </c>
      <c r="J45" s="3" t="s">
        <v>61</v>
      </c>
      <c r="K45" s="3" t="s">
        <v>62</v>
      </c>
      <c r="L45" s="3" t="s">
        <v>63</v>
      </c>
      <c r="M45" s="3" t="s">
        <v>153</v>
      </c>
      <c r="N45" s="3" t="s">
        <v>154</v>
      </c>
      <c r="O45" s="3" t="s">
        <v>155</v>
      </c>
      <c r="P45" s="3" t="s">
        <v>156</v>
      </c>
      <c r="Q45" s="3" t="s">
        <v>157</v>
      </c>
      <c r="R45" s="3" t="s">
        <v>158</v>
      </c>
      <c r="S45" s="3" t="s">
        <v>146</v>
      </c>
      <c r="T45" s="3" t="s">
        <v>181</v>
      </c>
      <c r="U45" s="3" t="s">
        <v>54</v>
      </c>
      <c r="V45" s="3" t="s">
        <v>72</v>
      </c>
      <c r="W45" s="3" t="s">
        <v>73</v>
      </c>
      <c r="X45" s="3" t="s">
        <v>74</v>
      </c>
      <c r="Y45" s="3" t="s">
        <v>171</v>
      </c>
      <c r="Z45" s="3" t="s">
        <v>172</v>
      </c>
      <c r="AA45" s="3" t="s">
        <v>183</v>
      </c>
      <c r="AB45" s="4">
        <v>0</v>
      </c>
      <c r="AC45" s="4">
        <v>124373000</v>
      </c>
      <c r="AD45" s="4">
        <v>124362000</v>
      </c>
      <c r="AE45" s="4">
        <v>248735000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248735000</v>
      </c>
      <c r="AR45" s="4">
        <v>218302760</v>
      </c>
      <c r="AS45" s="4">
        <v>218302760</v>
      </c>
      <c r="AT45" s="4">
        <v>0</v>
      </c>
      <c r="AU45" s="4">
        <v>0</v>
      </c>
      <c r="AV45" s="4">
        <v>0</v>
      </c>
      <c r="AW45" s="4">
        <v>0</v>
      </c>
      <c r="AX45" s="4">
        <v>30432240</v>
      </c>
      <c r="AY45" s="4">
        <v>30432240</v>
      </c>
    </row>
    <row r="46" spans="1:51">
      <c r="A46" s="3" t="s">
        <v>52</v>
      </c>
      <c r="B46" s="3" t="s">
        <v>53</v>
      </c>
      <c r="C46" s="3" t="s">
        <v>54</v>
      </c>
      <c r="D46" s="3" t="s">
        <v>55</v>
      </c>
      <c r="E46" s="3" t="s">
        <v>56</v>
      </c>
      <c r="F46" s="3" t="s">
        <v>57</v>
      </c>
      <c r="G46" s="3" t="s">
        <v>58</v>
      </c>
      <c r="H46" s="3" t="s">
        <v>59</v>
      </c>
      <c r="I46" s="3" t="s">
        <v>60</v>
      </c>
      <c r="J46" s="3" t="s">
        <v>61</v>
      </c>
      <c r="K46" s="3" t="s">
        <v>62</v>
      </c>
      <c r="L46" s="3" t="s">
        <v>63</v>
      </c>
      <c r="M46" s="3" t="s">
        <v>153</v>
      </c>
      <c r="N46" s="3" t="s">
        <v>154</v>
      </c>
      <c r="O46" s="3" t="s">
        <v>155</v>
      </c>
      <c r="P46" s="3" t="s">
        <v>156</v>
      </c>
      <c r="Q46" s="3" t="s">
        <v>157</v>
      </c>
      <c r="R46" s="3" t="s">
        <v>158</v>
      </c>
      <c r="S46" s="3" t="s">
        <v>146</v>
      </c>
      <c r="T46" s="3" t="s">
        <v>181</v>
      </c>
      <c r="U46" s="3" t="s">
        <v>54</v>
      </c>
      <c r="V46" s="3" t="s">
        <v>72</v>
      </c>
      <c r="W46" s="3" t="s">
        <v>73</v>
      </c>
      <c r="X46" s="3" t="s">
        <v>74</v>
      </c>
      <c r="Y46" s="3" t="s">
        <v>171</v>
      </c>
      <c r="Z46" s="3" t="s">
        <v>172</v>
      </c>
      <c r="AA46" s="3" t="s">
        <v>184</v>
      </c>
      <c r="AB46" s="4">
        <v>0</v>
      </c>
      <c r="AC46" s="4">
        <v>2669000</v>
      </c>
      <c r="AD46" s="4">
        <v>664000</v>
      </c>
      <c r="AE46" s="4">
        <v>3333000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3333000</v>
      </c>
      <c r="AR46" s="4">
        <v>3028000</v>
      </c>
      <c r="AS46" s="4">
        <v>3028000</v>
      </c>
      <c r="AT46" s="4">
        <v>0</v>
      </c>
      <c r="AU46" s="4">
        <v>0</v>
      </c>
      <c r="AV46" s="4">
        <v>0</v>
      </c>
      <c r="AW46" s="4">
        <v>0</v>
      </c>
      <c r="AX46" s="4">
        <v>305000</v>
      </c>
      <c r="AY46" s="4">
        <v>305000</v>
      </c>
    </row>
    <row r="47" spans="1:51">
      <c r="A47" s="3" t="s">
        <v>52</v>
      </c>
      <c r="B47" s="3" t="s">
        <v>53</v>
      </c>
      <c r="C47" s="3" t="s">
        <v>54</v>
      </c>
      <c r="D47" s="3" t="s">
        <v>55</v>
      </c>
      <c r="E47" s="3" t="s">
        <v>56</v>
      </c>
      <c r="F47" s="3" t="s">
        <v>57</v>
      </c>
      <c r="G47" s="3" t="s">
        <v>58</v>
      </c>
      <c r="H47" s="3" t="s">
        <v>59</v>
      </c>
      <c r="I47" s="3" t="s">
        <v>60</v>
      </c>
      <c r="J47" s="3" t="s">
        <v>61</v>
      </c>
      <c r="K47" s="3" t="s">
        <v>62</v>
      </c>
      <c r="L47" s="3" t="s">
        <v>63</v>
      </c>
      <c r="M47" s="3" t="s">
        <v>153</v>
      </c>
      <c r="N47" s="3" t="s">
        <v>154</v>
      </c>
      <c r="O47" s="3" t="s">
        <v>155</v>
      </c>
      <c r="P47" s="3" t="s">
        <v>156</v>
      </c>
      <c r="Q47" s="3" t="s">
        <v>157</v>
      </c>
      <c r="R47" s="3" t="s">
        <v>158</v>
      </c>
      <c r="S47" s="3" t="s">
        <v>185</v>
      </c>
      <c r="T47" s="3" t="s">
        <v>186</v>
      </c>
      <c r="U47" s="3" t="s">
        <v>54</v>
      </c>
      <c r="V47" s="3" t="s">
        <v>72</v>
      </c>
      <c r="W47" s="3" t="s">
        <v>94</v>
      </c>
      <c r="X47" s="3" t="s">
        <v>95</v>
      </c>
      <c r="Y47" s="3" t="s">
        <v>187</v>
      </c>
      <c r="Z47" s="3" t="s">
        <v>188</v>
      </c>
      <c r="AA47" s="3" t="s">
        <v>186</v>
      </c>
      <c r="AB47" s="4">
        <v>0</v>
      </c>
      <c r="AC47" s="4">
        <v>0</v>
      </c>
      <c r="AD47" s="4">
        <v>10000</v>
      </c>
      <c r="AE47" s="4">
        <v>10000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10000</v>
      </c>
      <c r="AR47" s="4">
        <v>10000</v>
      </c>
      <c r="AS47" s="4">
        <v>10000</v>
      </c>
      <c r="AT47" s="4">
        <v>0</v>
      </c>
      <c r="AU47" s="4">
        <v>0</v>
      </c>
      <c r="AV47" s="4">
        <v>0</v>
      </c>
      <c r="AW47" s="4">
        <v>0</v>
      </c>
      <c r="AX47" s="4">
        <v>0</v>
      </c>
      <c r="AY47" s="4">
        <v>0</v>
      </c>
    </row>
    <row r="48" spans="1:51">
      <c r="A48" s="3" t="s">
        <v>52</v>
      </c>
      <c r="B48" s="3" t="s">
        <v>53</v>
      </c>
      <c r="C48" s="3" t="s">
        <v>54</v>
      </c>
      <c r="D48" s="3" t="s">
        <v>55</v>
      </c>
      <c r="E48" s="3" t="s">
        <v>56</v>
      </c>
      <c r="F48" s="3" t="s">
        <v>57</v>
      </c>
      <c r="G48" s="3" t="s">
        <v>58</v>
      </c>
      <c r="H48" s="3" t="s">
        <v>59</v>
      </c>
      <c r="I48" s="3" t="s">
        <v>60</v>
      </c>
      <c r="J48" s="3" t="s">
        <v>61</v>
      </c>
      <c r="K48" s="3" t="s">
        <v>62</v>
      </c>
      <c r="L48" s="3" t="s">
        <v>63</v>
      </c>
      <c r="M48" s="3" t="s">
        <v>153</v>
      </c>
      <c r="N48" s="3" t="s">
        <v>154</v>
      </c>
      <c r="O48" s="3" t="s">
        <v>155</v>
      </c>
      <c r="P48" s="3" t="s">
        <v>156</v>
      </c>
      <c r="Q48" s="3" t="s">
        <v>157</v>
      </c>
      <c r="R48" s="3" t="s">
        <v>158</v>
      </c>
      <c r="S48" s="3" t="s">
        <v>189</v>
      </c>
      <c r="T48" s="3" t="s">
        <v>190</v>
      </c>
      <c r="U48" s="3" t="s">
        <v>191</v>
      </c>
      <c r="V48" s="3" t="s">
        <v>192</v>
      </c>
      <c r="W48" s="3" t="s">
        <v>193</v>
      </c>
      <c r="X48" s="3" t="s">
        <v>192</v>
      </c>
      <c r="Y48" s="3" t="s">
        <v>194</v>
      </c>
      <c r="Z48" s="3" t="s">
        <v>192</v>
      </c>
      <c r="AA48" s="3" t="s">
        <v>190</v>
      </c>
      <c r="AB48" s="4">
        <v>0</v>
      </c>
      <c r="AC48" s="4">
        <v>0</v>
      </c>
      <c r="AD48" s="4">
        <v>62650000</v>
      </c>
      <c r="AE48" s="4">
        <v>62650000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62650000</v>
      </c>
      <c r="AR48" s="4">
        <v>62650000</v>
      </c>
      <c r="AS48" s="4">
        <v>0</v>
      </c>
      <c r="AT48" s="4">
        <v>0</v>
      </c>
      <c r="AU48" s="4">
        <v>0</v>
      </c>
      <c r="AV48" s="4">
        <v>0</v>
      </c>
      <c r="AW48" s="4">
        <v>0</v>
      </c>
      <c r="AX48" s="4">
        <v>0</v>
      </c>
      <c r="AY48" s="4">
        <v>62650000</v>
      </c>
    </row>
    <row r="49" spans="1:51">
      <c r="A49" s="3" t="s">
        <v>52</v>
      </c>
      <c r="B49" s="3" t="s">
        <v>53</v>
      </c>
      <c r="C49" s="3" t="s">
        <v>54</v>
      </c>
      <c r="D49" s="3" t="s">
        <v>55</v>
      </c>
      <c r="E49" s="3" t="s">
        <v>56</v>
      </c>
      <c r="F49" s="3" t="s">
        <v>57</v>
      </c>
      <c r="G49" s="3" t="s">
        <v>58</v>
      </c>
      <c r="H49" s="3" t="s">
        <v>59</v>
      </c>
      <c r="I49" s="3" t="s">
        <v>60</v>
      </c>
      <c r="J49" s="3" t="s">
        <v>61</v>
      </c>
      <c r="K49" s="3" t="s">
        <v>62</v>
      </c>
      <c r="L49" s="3" t="s">
        <v>63</v>
      </c>
      <c r="M49" s="3" t="s">
        <v>153</v>
      </c>
      <c r="N49" s="3" t="s">
        <v>154</v>
      </c>
      <c r="O49" s="3" t="s">
        <v>195</v>
      </c>
      <c r="P49" s="3" t="s">
        <v>196</v>
      </c>
      <c r="Q49" s="3" t="s">
        <v>197</v>
      </c>
      <c r="R49" s="3" t="s">
        <v>198</v>
      </c>
      <c r="S49" s="3" t="s">
        <v>199</v>
      </c>
      <c r="T49" s="3" t="s">
        <v>200</v>
      </c>
      <c r="U49" s="3" t="s">
        <v>54</v>
      </c>
      <c r="V49" s="3" t="s">
        <v>72</v>
      </c>
      <c r="W49" s="3" t="s">
        <v>73</v>
      </c>
      <c r="X49" s="3" t="s">
        <v>74</v>
      </c>
      <c r="Y49" s="3" t="s">
        <v>75</v>
      </c>
      <c r="Z49" s="3" t="s">
        <v>76</v>
      </c>
      <c r="AA49" s="3" t="s">
        <v>201</v>
      </c>
      <c r="AB49" s="4">
        <v>200000</v>
      </c>
      <c r="AC49" s="4">
        <v>0</v>
      </c>
      <c r="AD49" s="4">
        <v>0</v>
      </c>
      <c r="AE49" s="4">
        <v>200000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200000</v>
      </c>
      <c r="AR49" s="4">
        <v>0</v>
      </c>
      <c r="AS49" s="4">
        <v>0</v>
      </c>
      <c r="AT49" s="4">
        <v>0</v>
      </c>
      <c r="AU49" s="4">
        <v>0</v>
      </c>
      <c r="AV49" s="4">
        <v>0</v>
      </c>
      <c r="AW49" s="4">
        <v>0</v>
      </c>
      <c r="AX49" s="4">
        <v>200000</v>
      </c>
      <c r="AY49" s="4">
        <v>200000</v>
      </c>
    </row>
    <row r="50" spans="1:51">
      <c r="A50" s="3" t="s">
        <v>52</v>
      </c>
      <c r="B50" s="3" t="s">
        <v>53</v>
      </c>
      <c r="C50" s="3" t="s">
        <v>54</v>
      </c>
      <c r="D50" s="3" t="s">
        <v>55</v>
      </c>
      <c r="E50" s="3" t="s">
        <v>56</v>
      </c>
      <c r="F50" s="3" t="s">
        <v>57</v>
      </c>
      <c r="G50" s="3" t="s">
        <v>58</v>
      </c>
      <c r="H50" s="3" t="s">
        <v>59</v>
      </c>
      <c r="I50" s="3" t="s">
        <v>60</v>
      </c>
      <c r="J50" s="3" t="s">
        <v>61</v>
      </c>
      <c r="K50" s="3" t="s">
        <v>62</v>
      </c>
      <c r="L50" s="3" t="s">
        <v>63</v>
      </c>
      <c r="M50" s="3" t="s">
        <v>153</v>
      </c>
      <c r="N50" s="3" t="s">
        <v>154</v>
      </c>
      <c r="O50" s="3" t="s">
        <v>195</v>
      </c>
      <c r="P50" s="3" t="s">
        <v>196</v>
      </c>
      <c r="Q50" s="3" t="s">
        <v>197</v>
      </c>
      <c r="R50" s="3" t="s">
        <v>198</v>
      </c>
      <c r="S50" s="3" t="s">
        <v>150</v>
      </c>
      <c r="T50" s="3" t="s">
        <v>202</v>
      </c>
      <c r="U50" s="3" t="s">
        <v>54</v>
      </c>
      <c r="V50" s="3" t="s">
        <v>72</v>
      </c>
      <c r="W50" s="3" t="s">
        <v>94</v>
      </c>
      <c r="X50" s="3" t="s">
        <v>95</v>
      </c>
      <c r="Y50" s="3" t="s">
        <v>96</v>
      </c>
      <c r="Z50" s="3" t="s">
        <v>95</v>
      </c>
      <c r="AA50" s="3" t="s">
        <v>203</v>
      </c>
      <c r="AB50" s="4">
        <v>400000</v>
      </c>
      <c r="AC50" s="4">
        <v>0</v>
      </c>
      <c r="AD50" s="4">
        <v>0</v>
      </c>
      <c r="AE50" s="4">
        <v>400000</v>
      </c>
      <c r="AF50" s="4">
        <v>0</v>
      </c>
      <c r="AG50" s="4">
        <v>0</v>
      </c>
      <c r="AH50" s="4">
        <v>0</v>
      </c>
      <c r="AI50" s="4">
        <v>0</v>
      </c>
      <c r="AJ50" s="4">
        <v>0</v>
      </c>
      <c r="AK50" s="4">
        <v>0</v>
      </c>
      <c r="AL50" s="4">
        <v>0</v>
      </c>
      <c r="AM50" s="4">
        <v>0</v>
      </c>
      <c r="AN50" s="4">
        <v>0</v>
      </c>
      <c r="AO50" s="4">
        <v>0</v>
      </c>
      <c r="AP50" s="4">
        <v>0</v>
      </c>
      <c r="AQ50" s="4">
        <v>400000</v>
      </c>
      <c r="AR50" s="4">
        <v>349470</v>
      </c>
      <c r="AS50" s="4">
        <v>349470</v>
      </c>
      <c r="AT50" s="4">
        <v>0</v>
      </c>
      <c r="AU50" s="4">
        <v>0</v>
      </c>
      <c r="AV50" s="4">
        <v>0</v>
      </c>
      <c r="AW50" s="4">
        <v>0</v>
      </c>
      <c r="AX50" s="4">
        <v>50530</v>
      </c>
      <c r="AY50" s="4">
        <v>50530</v>
      </c>
    </row>
    <row r="51" spans="1:51">
      <c r="A51" s="3" t="s">
        <v>52</v>
      </c>
      <c r="B51" s="3" t="s">
        <v>53</v>
      </c>
      <c r="C51" s="3" t="s">
        <v>54</v>
      </c>
      <c r="D51" s="3" t="s">
        <v>55</v>
      </c>
      <c r="E51" s="3" t="s">
        <v>56</v>
      </c>
      <c r="F51" s="3" t="s">
        <v>57</v>
      </c>
      <c r="G51" s="3" t="s">
        <v>58</v>
      </c>
      <c r="H51" s="3" t="s">
        <v>59</v>
      </c>
      <c r="I51" s="3" t="s">
        <v>60</v>
      </c>
      <c r="J51" s="3" t="s">
        <v>61</v>
      </c>
      <c r="K51" s="3" t="s">
        <v>62</v>
      </c>
      <c r="L51" s="3" t="s">
        <v>63</v>
      </c>
      <c r="M51" s="3" t="s">
        <v>153</v>
      </c>
      <c r="N51" s="3" t="s">
        <v>154</v>
      </c>
      <c r="O51" s="3" t="s">
        <v>195</v>
      </c>
      <c r="P51" s="3" t="s">
        <v>196</v>
      </c>
      <c r="Q51" s="3" t="s">
        <v>197</v>
      </c>
      <c r="R51" s="3" t="s">
        <v>198</v>
      </c>
      <c r="S51" s="3" t="s">
        <v>150</v>
      </c>
      <c r="T51" s="3" t="s">
        <v>202</v>
      </c>
      <c r="U51" s="3" t="s">
        <v>54</v>
      </c>
      <c r="V51" s="3" t="s">
        <v>72</v>
      </c>
      <c r="W51" s="3" t="s">
        <v>94</v>
      </c>
      <c r="X51" s="3" t="s">
        <v>95</v>
      </c>
      <c r="Y51" s="3" t="s">
        <v>96</v>
      </c>
      <c r="Z51" s="3" t="s">
        <v>95</v>
      </c>
      <c r="AA51" s="3" t="s">
        <v>204</v>
      </c>
      <c r="AB51" s="4">
        <v>2870000</v>
      </c>
      <c r="AC51" s="4">
        <v>0</v>
      </c>
      <c r="AD51" s="4">
        <v>0</v>
      </c>
      <c r="AE51" s="4">
        <v>2870000</v>
      </c>
      <c r="AF51" s="4">
        <v>0</v>
      </c>
      <c r="AG51" s="4">
        <v>0</v>
      </c>
      <c r="AH51" s="4">
        <v>0</v>
      </c>
      <c r="AI51" s="4">
        <v>0</v>
      </c>
      <c r="AJ51" s="4">
        <v>0</v>
      </c>
      <c r="AK51" s="4">
        <v>0</v>
      </c>
      <c r="AL51" s="4">
        <v>0</v>
      </c>
      <c r="AM51" s="4">
        <v>0</v>
      </c>
      <c r="AN51" s="4">
        <v>0</v>
      </c>
      <c r="AO51" s="4">
        <v>0</v>
      </c>
      <c r="AP51" s="4">
        <v>0</v>
      </c>
      <c r="AQ51" s="4">
        <v>2870000</v>
      </c>
      <c r="AR51" s="4">
        <v>1982280</v>
      </c>
      <c r="AS51" s="4">
        <v>1982280</v>
      </c>
      <c r="AT51" s="4">
        <v>0</v>
      </c>
      <c r="AU51" s="4">
        <v>0</v>
      </c>
      <c r="AV51" s="4">
        <v>0</v>
      </c>
      <c r="AW51" s="4">
        <v>0</v>
      </c>
      <c r="AX51" s="4">
        <v>887720</v>
      </c>
      <c r="AY51" s="4">
        <v>887720</v>
      </c>
    </row>
    <row r="52" spans="1:51">
      <c r="A52" s="3" t="s">
        <v>52</v>
      </c>
      <c r="B52" s="3" t="s">
        <v>53</v>
      </c>
      <c r="C52" s="3" t="s">
        <v>54</v>
      </c>
      <c r="D52" s="3" t="s">
        <v>55</v>
      </c>
      <c r="E52" s="3" t="s">
        <v>56</v>
      </c>
      <c r="F52" s="3" t="s">
        <v>57</v>
      </c>
      <c r="G52" s="3" t="s">
        <v>58</v>
      </c>
      <c r="H52" s="3" t="s">
        <v>59</v>
      </c>
      <c r="I52" s="3" t="s">
        <v>60</v>
      </c>
      <c r="J52" s="3" t="s">
        <v>61</v>
      </c>
      <c r="K52" s="3" t="s">
        <v>62</v>
      </c>
      <c r="L52" s="3" t="s">
        <v>63</v>
      </c>
      <c r="M52" s="3" t="s">
        <v>153</v>
      </c>
      <c r="N52" s="3" t="s">
        <v>154</v>
      </c>
      <c r="O52" s="3" t="s">
        <v>195</v>
      </c>
      <c r="P52" s="3" t="s">
        <v>196</v>
      </c>
      <c r="Q52" s="3" t="s">
        <v>197</v>
      </c>
      <c r="R52" s="3" t="s">
        <v>198</v>
      </c>
      <c r="S52" s="3" t="s">
        <v>150</v>
      </c>
      <c r="T52" s="3" t="s">
        <v>202</v>
      </c>
      <c r="U52" s="3" t="s">
        <v>54</v>
      </c>
      <c r="V52" s="3" t="s">
        <v>72</v>
      </c>
      <c r="W52" s="3" t="s">
        <v>94</v>
      </c>
      <c r="X52" s="3" t="s">
        <v>95</v>
      </c>
      <c r="Y52" s="3" t="s">
        <v>187</v>
      </c>
      <c r="Z52" s="3" t="s">
        <v>188</v>
      </c>
      <c r="AA52" s="3" t="s">
        <v>205</v>
      </c>
      <c r="AB52" s="4">
        <v>4838000</v>
      </c>
      <c r="AC52" s="4">
        <v>0</v>
      </c>
      <c r="AD52" s="4">
        <v>0</v>
      </c>
      <c r="AE52" s="4">
        <v>4838000</v>
      </c>
      <c r="AF52" s="4">
        <v>0</v>
      </c>
      <c r="AG52" s="4">
        <v>0</v>
      </c>
      <c r="AH52" s="4">
        <v>0</v>
      </c>
      <c r="AI52" s="4">
        <v>0</v>
      </c>
      <c r="AJ52" s="4">
        <v>0</v>
      </c>
      <c r="AK52" s="4">
        <v>0</v>
      </c>
      <c r="AL52" s="4">
        <v>0</v>
      </c>
      <c r="AM52" s="4">
        <v>0</v>
      </c>
      <c r="AN52" s="4">
        <v>0</v>
      </c>
      <c r="AO52" s="4">
        <v>0</v>
      </c>
      <c r="AP52" s="4">
        <v>0</v>
      </c>
      <c r="AQ52" s="4">
        <v>4838000</v>
      </c>
      <c r="AR52" s="4">
        <v>4125100</v>
      </c>
      <c r="AS52" s="4">
        <v>4125100</v>
      </c>
      <c r="AT52" s="4">
        <v>0</v>
      </c>
      <c r="AU52" s="4">
        <v>0</v>
      </c>
      <c r="AV52" s="4">
        <v>0</v>
      </c>
      <c r="AW52" s="4">
        <v>0</v>
      </c>
      <c r="AX52" s="4">
        <v>712900</v>
      </c>
      <c r="AY52" s="4">
        <v>712900</v>
      </c>
    </row>
    <row r="53" spans="1:51">
      <c r="A53" s="3" t="s">
        <v>52</v>
      </c>
      <c r="B53" s="3" t="s">
        <v>53</v>
      </c>
      <c r="C53" s="3" t="s">
        <v>54</v>
      </c>
      <c r="D53" s="3" t="s">
        <v>55</v>
      </c>
      <c r="E53" s="3" t="s">
        <v>56</v>
      </c>
      <c r="F53" s="3" t="s">
        <v>57</v>
      </c>
      <c r="G53" s="3" t="s">
        <v>58</v>
      </c>
      <c r="H53" s="3" t="s">
        <v>59</v>
      </c>
      <c r="I53" s="3" t="s">
        <v>60</v>
      </c>
      <c r="J53" s="3" t="s">
        <v>61</v>
      </c>
      <c r="K53" s="3" t="s">
        <v>62</v>
      </c>
      <c r="L53" s="3" t="s">
        <v>63</v>
      </c>
      <c r="M53" s="3" t="s">
        <v>153</v>
      </c>
      <c r="N53" s="3" t="s">
        <v>154</v>
      </c>
      <c r="O53" s="3" t="s">
        <v>195</v>
      </c>
      <c r="P53" s="3" t="s">
        <v>196</v>
      </c>
      <c r="Q53" s="3" t="s">
        <v>197</v>
      </c>
      <c r="R53" s="3" t="s">
        <v>198</v>
      </c>
      <c r="S53" s="3" t="s">
        <v>206</v>
      </c>
      <c r="T53" s="3" t="s">
        <v>207</v>
      </c>
      <c r="U53" s="3" t="s">
        <v>54</v>
      </c>
      <c r="V53" s="3" t="s">
        <v>72</v>
      </c>
      <c r="W53" s="3" t="s">
        <v>73</v>
      </c>
      <c r="X53" s="3" t="s">
        <v>74</v>
      </c>
      <c r="Y53" s="3" t="s">
        <v>75</v>
      </c>
      <c r="Z53" s="3" t="s">
        <v>76</v>
      </c>
      <c r="AA53" s="3" t="s">
        <v>208</v>
      </c>
      <c r="AB53" s="4">
        <v>1000000</v>
      </c>
      <c r="AC53" s="4">
        <v>0</v>
      </c>
      <c r="AD53" s="4">
        <v>0</v>
      </c>
      <c r="AE53" s="4">
        <v>1000000</v>
      </c>
      <c r="AF53" s="4">
        <v>0</v>
      </c>
      <c r="AG53" s="4">
        <v>0</v>
      </c>
      <c r="AH53" s="4">
        <v>0</v>
      </c>
      <c r="AI53" s="4">
        <v>0</v>
      </c>
      <c r="AJ53" s="4">
        <v>0</v>
      </c>
      <c r="AK53" s="4">
        <v>0</v>
      </c>
      <c r="AL53" s="4">
        <v>0</v>
      </c>
      <c r="AM53" s="4">
        <v>0</v>
      </c>
      <c r="AN53" s="4">
        <v>0</v>
      </c>
      <c r="AO53" s="4">
        <v>0</v>
      </c>
      <c r="AP53" s="4">
        <v>0</v>
      </c>
      <c r="AQ53" s="4">
        <v>1000000</v>
      </c>
      <c r="AR53" s="4">
        <v>442270</v>
      </c>
      <c r="AS53" s="4">
        <v>442270</v>
      </c>
      <c r="AT53" s="4">
        <v>0</v>
      </c>
      <c r="AU53" s="4">
        <v>0</v>
      </c>
      <c r="AV53" s="4">
        <v>0</v>
      </c>
      <c r="AW53" s="4">
        <v>0</v>
      </c>
      <c r="AX53" s="4">
        <v>557730</v>
      </c>
      <c r="AY53" s="4">
        <v>557730</v>
      </c>
    </row>
    <row r="54" spans="1:51">
      <c r="A54" s="3" t="s">
        <v>52</v>
      </c>
      <c r="B54" s="3" t="s">
        <v>53</v>
      </c>
      <c r="C54" s="3" t="s">
        <v>54</v>
      </c>
      <c r="D54" s="3" t="s">
        <v>55</v>
      </c>
      <c r="E54" s="3" t="s">
        <v>56</v>
      </c>
      <c r="F54" s="3" t="s">
        <v>57</v>
      </c>
      <c r="G54" s="3" t="s">
        <v>58</v>
      </c>
      <c r="H54" s="3" t="s">
        <v>59</v>
      </c>
      <c r="I54" s="3" t="s">
        <v>60</v>
      </c>
      <c r="J54" s="3" t="s">
        <v>61</v>
      </c>
      <c r="K54" s="3" t="s">
        <v>62</v>
      </c>
      <c r="L54" s="3" t="s">
        <v>63</v>
      </c>
      <c r="M54" s="3" t="s">
        <v>153</v>
      </c>
      <c r="N54" s="3" t="s">
        <v>154</v>
      </c>
      <c r="O54" s="3" t="s">
        <v>195</v>
      </c>
      <c r="P54" s="3" t="s">
        <v>196</v>
      </c>
      <c r="Q54" s="3" t="s">
        <v>197</v>
      </c>
      <c r="R54" s="3" t="s">
        <v>198</v>
      </c>
      <c r="S54" s="3" t="s">
        <v>206</v>
      </c>
      <c r="T54" s="3" t="s">
        <v>207</v>
      </c>
      <c r="U54" s="3" t="s">
        <v>54</v>
      </c>
      <c r="V54" s="3" t="s">
        <v>72</v>
      </c>
      <c r="W54" s="3" t="s">
        <v>73</v>
      </c>
      <c r="X54" s="3" t="s">
        <v>74</v>
      </c>
      <c r="Y54" s="3" t="s">
        <v>75</v>
      </c>
      <c r="Z54" s="3" t="s">
        <v>76</v>
      </c>
      <c r="AA54" s="3" t="s">
        <v>209</v>
      </c>
      <c r="AB54" s="4">
        <v>600000</v>
      </c>
      <c r="AC54" s="4">
        <v>0</v>
      </c>
      <c r="AD54" s="4">
        <v>0</v>
      </c>
      <c r="AE54" s="4">
        <v>600000</v>
      </c>
      <c r="AF54" s="4">
        <v>0</v>
      </c>
      <c r="AG54" s="4">
        <v>0</v>
      </c>
      <c r="AH54" s="4">
        <v>0</v>
      </c>
      <c r="AI54" s="4">
        <v>0</v>
      </c>
      <c r="AJ54" s="4">
        <v>0</v>
      </c>
      <c r="AK54" s="4">
        <v>0</v>
      </c>
      <c r="AL54" s="4">
        <v>0</v>
      </c>
      <c r="AM54" s="4">
        <v>0</v>
      </c>
      <c r="AN54" s="4">
        <v>0</v>
      </c>
      <c r="AO54" s="4">
        <v>0</v>
      </c>
      <c r="AP54" s="4">
        <v>0</v>
      </c>
      <c r="AQ54" s="4">
        <v>600000</v>
      </c>
      <c r="AR54" s="4">
        <v>299800</v>
      </c>
      <c r="AS54" s="4">
        <v>299800</v>
      </c>
      <c r="AT54" s="4">
        <v>0</v>
      </c>
      <c r="AU54" s="4">
        <v>0</v>
      </c>
      <c r="AV54" s="4">
        <v>0</v>
      </c>
      <c r="AW54" s="4">
        <v>0</v>
      </c>
      <c r="AX54" s="4">
        <v>300200</v>
      </c>
      <c r="AY54" s="4">
        <v>300200</v>
      </c>
    </row>
    <row r="55" spans="1:51">
      <c r="A55" s="3" t="s">
        <v>52</v>
      </c>
      <c r="B55" s="3" t="s">
        <v>53</v>
      </c>
      <c r="C55" s="3" t="s">
        <v>54</v>
      </c>
      <c r="D55" s="3" t="s">
        <v>55</v>
      </c>
      <c r="E55" s="3" t="s">
        <v>56</v>
      </c>
      <c r="F55" s="3" t="s">
        <v>57</v>
      </c>
      <c r="G55" s="3" t="s">
        <v>58</v>
      </c>
      <c r="H55" s="3" t="s">
        <v>59</v>
      </c>
      <c r="I55" s="3" t="s">
        <v>60</v>
      </c>
      <c r="J55" s="3" t="s">
        <v>61</v>
      </c>
      <c r="K55" s="3" t="s">
        <v>62</v>
      </c>
      <c r="L55" s="3" t="s">
        <v>63</v>
      </c>
      <c r="M55" s="3" t="s">
        <v>153</v>
      </c>
      <c r="N55" s="3" t="s">
        <v>154</v>
      </c>
      <c r="O55" s="3" t="s">
        <v>195</v>
      </c>
      <c r="P55" s="3" t="s">
        <v>196</v>
      </c>
      <c r="Q55" s="3" t="s">
        <v>197</v>
      </c>
      <c r="R55" s="3" t="s">
        <v>198</v>
      </c>
      <c r="S55" s="3" t="s">
        <v>206</v>
      </c>
      <c r="T55" s="3" t="s">
        <v>207</v>
      </c>
      <c r="U55" s="3" t="s">
        <v>54</v>
      </c>
      <c r="V55" s="3" t="s">
        <v>72</v>
      </c>
      <c r="W55" s="3" t="s">
        <v>73</v>
      </c>
      <c r="X55" s="3" t="s">
        <v>74</v>
      </c>
      <c r="Y55" s="3" t="s">
        <v>75</v>
      </c>
      <c r="Z55" s="3" t="s">
        <v>76</v>
      </c>
      <c r="AA55" s="3" t="s">
        <v>210</v>
      </c>
      <c r="AB55" s="4">
        <v>1450000</v>
      </c>
      <c r="AC55" s="4">
        <v>0</v>
      </c>
      <c r="AD55" s="4">
        <v>0</v>
      </c>
      <c r="AE55" s="4">
        <v>1450000</v>
      </c>
      <c r="AF55" s="4">
        <v>0</v>
      </c>
      <c r="AG55" s="4">
        <v>0</v>
      </c>
      <c r="AH55" s="4">
        <v>0</v>
      </c>
      <c r="AI55" s="4">
        <v>0</v>
      </c>
      <c r="AJ55" s="4">
        <v>0</v>
      </c>
      <c r="AK55" s="4">
        <v>0</v>
      </c>
      <c r="AL55" s="4">
        <v>0</v>
      </c>
      <c r="AM55" s="4">
        <v>0</v>
      </c>
      <c r="AN55" s="4">
        <v>0</v>
      </c>
      <c r="AO55" s="4">
        <v>0</v>
      </c>
      <c r="AP55" s="4">
        <v>0</v>
      </c>
      <c r="AQ55" s="4">
        <v>1450000</v>
      </c>
      <c r="AR55" s="4">
        <v>1310400</v>
      </c>
      <c r="AS55" s="4">
        <v>1310400</v>
      </c>
      <c r="AT55" s="4">
        <v>0</v>
      </c>
      <c r="AU55" s="4">
        <v>0</v>
      </c>
      <c r="AV55" s="4">
        <v>0</v>
      </c>
      <c r="AW55" s="4">
        <v>0</v>
      </c>
      <c r="AX55" s="4">
        <v>139600</v>
      </c>
      <c r="AY55" s="4">
        <v>139600</v>
      </c>
    </row>
    <row r="56" spans="1:51">
      <c r="A56" s="3" t="s">
        <v>52</v>
      </c>
      <c r="B56" s="3" t="s">
        <v>53</v>
      </c>
      <c r="C56" s="3" t="s">
        <v>54</v>
      </c>
      <c r="D56" s="3" t="s">
        <v>55</v>
      </c>
      <c r="E56" s="3" t="s">
        <v>56</v>
      </c>
      <c r="F56" s="3" t="s">
        <v>57</v>
      </c>
      <c r="G56" s="3" t="s">
        <v>58</v>
      </c>
      <c r="H56" s="3" t="s">
        <v>59</v>
      </c>
      <c r="I56" s="3" t="s">
        <v>60</v>
      </c>
      <c r="J56" s="3" t="s">
        <v>61</v>
      </c>
      <c r="K56" s="3" t="s">
        <v>62</v>
      </c>
      <c r="L56" s="3" t="s">
        <v>63</v>
      </c>
      <c r="M56" s="3" t="s">
        <v>153</v>
      </c>
      <c r="N56" s="3" t="s">
        <v>154</v>
      </c>
      <c r="O56" s="3" t="s">
        <v>195</v>
      </c>
      <c r="P56" s="3" t="s">
        <v>196</v>
      </c>
      <c r="Q56" s="3" t="s">
        <v>197</v>
      </c>
      <c r="R56" s="3" t="s">
        <v>198</v>
      </c>
      <c r="S56" s="3" t="s">
        <v>206</v>
      </c>
      <c r="T56" s="3" t="s">
        <v>207</v>
      </c>
      <c r="U56" s="3" t="s">
        <v>54</v>
      </c>
      <c r="V56" s="3" t="s">
        <v>72</v>
      </c>
      <c r="W56" s="3" t="s">
        <v>73</v>
      </c>
      <c r="X56" s="3" t="s">
        <v>74</v>
      </c>
      <c r="Y56" s="3" t="s">
        <v>78</v>
      </c>
      <c r="Z56" s="3" t="s">
        <v>79</v>
      </c>
      <c r="AA56" s="3" t="s">
        <v>211</v>
      </c>
      <c r="AB56" s="4">
        <v>1000000</v>
      </c>
      <c r="AC56" s="4">
        <v>0</v>
      </c>
      <c r="AD56" s="4">
        <v>0</v>
      </c>
      <c r="AE56" s="4">
        <v>1000000</v>
      </c>
      <c r="AF56" s="4">
        <v>0</v>
      </c>
      <c r="AG56" s="4">
        <v>0</v>
      </c>
      <c r="AH56" s="4">
        <v>0</v>
      </c>
      <c r="AI56" s="4">
        <v>0</v>
      </c>
      <c r="AJ56" s="4">
        <v>0</v>
      </c>
      <c r="AK56" s="4">
        <v>0</v>
      </c>
      <c r="AL56" s="4">
        <v>0</v>
      </c>
      <c r="AM56" s="4">
        <v>0</v>
      </c>
      <c r="AN56" s="4">
        <v>0</v>
      </c>
      <c r="AO56" s="4">
        <v>0</v>
      </c>
      <c r="AP56" s="4">
        <v>0</v>
      </c>
      <c r="AQ56" s="4">
        <v>1000000</v>
      </c>
      <c r="AR56" s="4">
        <v>0</v>
      </c>
      <c r="AS56" s="4">
        <v>0</v>
      </c>
      <c r="AT56" s="4">
        <v>0</v>
      </c>
      <c r="AU56" s="4">
        <v>0</v>
      </c>
      <c r="AV56" s="4">
        <v>0</v>
      </c>
      <c r="AW56" s="4">
        <v>0</v>
      </c>
      <c r="AX56" s="4">
        <v>1000000</v>
      </c>
      <c r="AY56" s="4">
        <v>1000000</v>
      </c>
    </row>
    <row r="57" spans="1:51">
      <c r="A57" s="3" t="s">
        <v>52</v>
      </c>
      <c r="B57" s="3" t="s">
        <v>53</v>
      </c>
      <c r="C57" s="3" t="s">
        <v>54</v>
      </c>
      <c r="D57" s="3" t="s">
        <v>55</v>
      </c>
      <c r="E57" s="3" t="s">
        <v>56</v>
      </c>
      <c r="F57" s="3" t="s">
        <v>57</v>
      </c>
      <c r="G57" s="3" t="s">
        <v>58</v>
      </c>
      <c r="H57" s="3" t="s">
        <v>59</v>
      </c>
      <c r="I57" s="3" t="s">
        <v>60</v>
      </c>
      <c r="J57" s="3" t="s">
        <v>61</v>
      </c>
      <c r="K57" s="3" t="s">
        <v>62</v>
      </c>
      <c r="L57" s="3" t="s">
        <v>63</v>
      </c>
      <c r="M57" s="3" t="s">
        <v>153</v>
      </c>
      <c r="N57" s="3" t="s">
        <v>154</v>
      </c>
      <c r="O57" s="3" t="s">
        <v>195</v>
      </c>
      <c r="P57" s="3" t="s">
        <v>196</v>
      </c>
      <c r="Q57" s="3" t="s">
        <v>197</v>
      </c>
      <c r="R57" s="3" t="s">
        <v>198</v>
      </c>
      <c r="S57" s="3" t="s">
        <v>206</v>
      </c>
      <c r="T57" s="3" t="s">
        <v>207</v>
      </c>
      <c r="U57" s="3" t="s">
        <v>54</v>
      </c>
      <c r="V57" s="3" t="s">
        <v>72</v>
      </c>
      <c r="W57" s="3" t="s">
        <v>73</v>
      </c>
      <c r="X57" s="3" t="s">
        <v>74</v>
      </c>
      <c r="Y57" s="3" t="s">
        <v>81</v>
      </c>
      <c r="Z57" s="3" t="s">
        <v>82</v>
      </c>
      <c r="AA57" s="3" t="s">
        <v>212</v>
      </c>
      <c r="AB57" s="4">
        <v>400000</v>
      </c>
      <c r="AC57" s="4">
        <v>0</v>
      </c>
      <c r="AD57" s="4">
        <v>0</v>
      </c>
      <c r="AE57" s="4">
        <v>400000</v>
      </c>
      <c r="AF57" s="4">
        <v>0</v>
      </c>
      <c r="AG57" s="4">
        <v>0</v>
      </c>
      <c r="AH57" s="4">
        <v>0</v>
      </c>
      <c r="AI57" s="4">
        <v>0</v>
      </c>
      <c r="AJ57" s="4">
        <v>0</v>
      </c>
      <c r="AK57" s="4">
        <v>0</v>
      </c>
      <c r="AL57" s="4">
        <v>0</v>
      </c>
      <c r="AM57" s="4">
        <v>0</v>
      </c>
      <c r="AN57" s="4">
        <v>0</v>
      </c>
      <c r="AO57" s="4">
        <v>0</v>
      </c>
      <c r="AP57" s="4">
        <v>0</v>
      </c>
      <c r="AQ57" s="4">
        <v>400000</v>
      </c>
      <c r="AR57" s="4">
        <v>160000</v>
      </c>
      <c r="AS57" s="4">
        <v>160000</v>
      </c>
      <c r="AT57" s="4">
        <v>0</v>
      </c>
      <c r="AU57" s="4">
        <v>0</v>
      </c>
      <c r="AV57" s="4">
        <v>0</v>
      </c>
      <c r="AW57" s="4">
        <v>0</v>
      </c>
      <c r="AX57" s="4">
        <v>240000</v>
      </c>
      <c r="AY57" s="4">
        <v>240000</v>
      </c>
    </row>
    <row r="58" spans="1:51">
      <c r="A58" s="3" t="s">
        <v>52</v>
      </c>
      <c r="B58" s="3" t="s">
        <v>53</v>
      </c>
      <c r="C58" s="3" t="s">
        <v>54</v>
      </c>
      <c r="D58" s="3" t="s">
        <v>55</v>
      </c>
      <c r="E58" s="3" t="s">
        <v>56</v>
      </c>
      <c r="F58" s="3" t="s">
        <v>57</v>
      </c>
      <c r="G58" s="3" t="s">
        <v>58</v>
      </c>
      <c r="H58" s="3" t="s">
        <v>59</v>
      </c>
      <c r="I58" s="3" t="s">
        <v>60</v>
      </c>
      <c r="J58" s="3" t="s">
        <v>61</v>
      </c>
      <c r="K58" s="3" t="s">
        <v>62</v>
      </c>
      <c r="L58" s="3" t="s">
        <v>63</v>
      </c>
      <c r="M58" s="3" t="s">
        <v>153</v>
      </c>
      <c r="N58" s="3" t="s">
        <v>154</v>
      </c>
      <c r="O58" s="3" t="s">
        <v>195</v>
      </c>
      <c r="P58" s="3" t="s">
        <v>196</v>
      </c>
      <c r="Q58" s="3" t="s">
        <v>197</v>
      </c>
      <c r="R58" s="3" t="s">
        <v>198</v>
      </c>
      <c r="S58" s="3" t="s">
        <v>206</v>
      </c>
      <c r="T58" s="3" t="s">
        <v>207</v>
      </c>
      <c r="U58" s="3" t="s">
        <v>54</v>
      </c>
      <c r="V58" s="3" t="s">
        <v>72</v>
      </c>
      <c r="W58" s="3" t="s">
        <v>94</v>
      </c>
      <c r="X58" s="3" t="s">
        <v>95</v>
      </c>
      <c r="Y58" s="3" t="s">
        <v>96</v>
      </c>
      <c r="Z58" s="3" t="s">
        <v>95</v>
      </c>
      <c r="AA58" s="3" t="s">
        <v>213</v>
      </c>
      <c r="AB58" s="4">
        <v>108000</v>
      </c>
      <c r="AC58" s="4">
        <v>0</v>
      </c>
      <c r="AD58" s="4">
        <v>0</v>
      </c>
      <c r="AE58" s="4">
        <v>108000</v>
      </c>
      <c r="AF58" s="4">
        <v>0</v>
      </c>
      <c r="AG58" s="4">
        <v>0</v>
      </c>
      <c r="AH58" s="4">
        <v>0</v>
      </c>
      <c r="AI58" s="4">
        <v>0</v>
      </c>
      <c r="AJ58" s="4">
        <v>0</v>
      </c>
      <c r="AK58" s="4">
        <v>0</v>
      </c>
      <c r="AL58" s="4">
        <v>0</v>
      </c>
      <c r="AM58" s="4">
        <v>0</v>
      </c>
      <c r="AN58" s="4">
        <v>0</v>
      </c>
      <c r="AO58" s="4">
        <v>0</v>
      </c>
      <c r="AP58" s="4">
        <v>0</v>
      </c>
      <c r="AQ58" s="4">
        <v>108000</v>
      </c>
      <c r="AR58" s="4">
        <v>100000</v>
      </c>
      <c r="AS58" s="4">
        <v>100000</v>
      </c>
      <c r="AT58" s="4">
        <v>0</v>
      </c>
      <c r="AU58" s="4">
        <v>0</v>
      </c>
      <c r="AV58" s="4">
        <v>0</v>
      </c>
      <c r="AW58" s="4">
        <v>0</v>
      </c>
      <c r="AX58" s="4">
        <v>8000</v>
      </c>
      <c r="AY58" s="4">
        <v>8000</v>
      </c>
    </row>
    <row r="59" spans="1:51">
      <c r="A59" s="3" t="s">
        <v>52</v>
      </c>
      <c r="B59" s="3" t="s">
        <v>53</v>
      </c>
      <c r="C59" s="3" t="s">
        <v>54</v>
      </c>
      <c r="D59" s="3" t="s">
        <v>55</v>
      </c>
      <c r="E59" s="3" t="s">
        <v>56</v>
      </c>
      <c r="F59" s="3" t="s">
        <v>57</v>
      </c>
      <c r="G59" s="3" t="s">
        <v>58</v>
      </c>
      <c r="H59" s="3" t="s">
        <v>59</v>
      </c>
      <c r="I59" s="3" t="s">
        <v>60</v>
      </c>
      <c r="J59" s="3" t="s">
        <v>61</v>
      </c>
      <c r="K59" s="3" t="s">
        <v>62</v>
      </c>
      <c r="L59" s="3" t="s">
        <v>63</v>
      </c>
      <c r="M59" s="3" t="s">
        <v>153</v>
      </c>
      <c r="N59" s="3" t="s">
        <v>154</v>
      </c>
      <c r="O59" s="3" t="s">
        <v>195</v>
      </c>
      <c r="P59" s="3" t="s">
        <v>196</v>
      </c>
      <c r="Q59" s="3" t="s">
        <v>197</v>
      </c>
      <c r="R59" s="3" t="s">
        <v>198</v>
      </c>
      <c r="S59" s="3" t="s">
        <v>206</v>
      </c>
      <c r="T59" s="3" t="s">
        <v>207</v>
      </c>
      <c r="U59" s="3" t="s">
        <v>54</v>
      </c>
      <c r="V59" s="3" t="s">
        <v>72</v>
      </c>
      <c r="W59" s="3" t="s">
        <v>94</v>
      </c>
      <c r="X59" s="3" t="s">
        <v>95</v>
      </c>
      <c r="Y59" s="3" t="s">
        <v>187</v>
      </c>
      <c r="Z59" s="3" t="s">
        <v>188</v>
      </c>
      <c r="AA59" s="3" t="s">
        <v>214</v>
      </c>
      <c r="AB59" s="4">
        <v>3500000</v>
      </c>
      <c r="AC59" s="4">
        <v>0</v>
      </c>
      <c r="AD59" s="4">
        <v>0</v>
      </c>
      <c r="AE59" s="4">
        <v>3500000</v>
      </c>
      <c r="AF59" s="4">
        <v>0</v>
      </c>
      <c r="AG59" s="4">
        <v>0</v>
      </c>
      <c r="AH59" s="4">
        <v>0</v>
      </c>
      <c r="AI59" s="4">
        <v>0</v>
      </c>
      <c r="AJ59" s="4">
        <v>0</v>
      </c>
      <c r="AK59" s="4">
        <v>0</v>
      </c>
      <c r="AL59" s="4">
        <v>0</v>
      </c>
      <c r="AM59" s="4">
        <v>0</v>
      </c>
      <c r="AN59" s="4">
        <v>0</v>
      </c>
      <c r="AO59" s="4">
        <v>0</v>
      </c>
      <c r="AP59" s="4">
        <v>0</v>
      </c>
      <c r="AQ59" s="4">
        <v>3500000</v>
      </c>
      <c r="AR59" s="4">
        <v>3284260</v>
      </c>
      <c r="AS59" s="4">
        <v>3284260</v>
      </c>
      <c r="AT59" s="4">
        <v>0</v>
      </c>
      <c r="AU59" s="4">
        <v>0</v>
      </c>
      <c r="AV59" s="4">
        <v>0</v>
      </c>
      <c r="AW59" s="4">
        <v>0</v>
      </c>
      <c r="AX59" s="4">
        <v>215740</v>
      </c>
      <c r="AY59" s="4">
        <v>215740</v>
      </c>
    </row>
    <row r="60" spans="1:51">
      <c r="A60" s="3" t="s">
        <v>52</v>
      </c>
      <c r="B60" s="3" t="s">
        <v>53</v>
      </c>
      <c r="C60" s="3" t="s">
        <v>54</v>
      </c>
      <c r="D60" s="3" t="s">
        <v>55</v>
      </c>
      <c r="E60" s="3" t="s">
        <v>56</v>
      </c>
      <c r="F60" s="3" t="s">
        <v>57</v>
      </c>
      <c r="G60" s="3" t="s">
        <v>58</v>
      </c>
      <c r="H60" s="3" t="s">
        <v>59</v>
      </c>
      <c r="I60" s="3" t="s">
        <v>60</v>
      </c>
      <c r="J60" s="3" t="s">
        <v>61</v>
      </c>
      <c r="K60" s="3" t="s">
        <v>62</v>
      </c>
      <c r="L60" s="3" t="s">
        <v>63</v>
      </c>
      <c r="M60" s="3" t="s">
        <v>153</v>
      </c>
      <c r="N60" s="3" t="s">
        <v>154</v>
      </c>
      <c r="O60" s="3" t="s">
        <v>195</v>
      </c>
      <c r="P60" s="3" t="s">
        <v>196</v>
      </c>
      <c r="Q60" s="3" t="s">
        <v>197</v>
      </c>
      <c r="R60" s="3" t="s">
        <v>198</v>
      </c>
      <c r="S60" s="3" t="s">
        <v>215</v>
      </c>
      <c r="T60" s="3" t="s">
        <v>216</v>
      </c>
      <c r="U60" s="3" t="s">
        <v>54</v>
      </c>
      <c r="V60" s="3" t="s">
        <v>72</v>
      </c>
      <c r="W60" s="3" t="s">
        <v>73</v>
      </c>
      <c r="X60" s="3" t="s">
        <v>74</v>
      </c>
      <c r="Y60" s="3" t="s">
        <v>75</v>
      </c>
      <c r="Z60" s="3" t="s">
        <v>76</v>
      </c>
      <c r="AA60" s="3" t="s">
        <v>217</v>
      </c>
      <c r="AB60" s="4">
        <v>2000000</v>
      </c>
      <c r="AC60" s="4">
        <v>0</v>
      </c>
      <c r="AD60" s="4">
        <v>0</v>
      </c>
      <c r="AE60" s="4">
        <v>2000000</v>
      </c>
      <c r="AF60" s="4">
        <v>0</v>
      </c>
      <c r="AG60" s="4">
        <v>0</v>
      </c>
      <c r="AH60" s="4">
        <v>0</v>
      </c>
      <c r="AI60" s="4">
        <v>0</v>
      </c>
      <c r="AJ60" s="4">
        <v>0</v>
      </c>
      <c r="AK60" s="4">
        <v>0</v>
      </c>
      <c r="AL60" s="4">
        <v>0</v>
      </c>
      <c r="AM60" s="4">
        <v>0</v>
      </c>
      <c r="AN60" s="4">
        <v>0</v>
      </c>
      <c r="AO60" s="4">
        <v>0</v>
      </c>
      <c r="AP60" s="4">
        <v>0</v>
      </c>
      <c r="AQ60" s="4">
        <v>2000000</v>
      </c>
      <c r="AR60" s="4">
        <v>1045720</v>
      </c>
      <c r="AS60" s="4">
        <v>1045720</v>
      </c>
      <c r="AT60" s="4">
        <v>0</v>
      </c>
      <c r="AU60" s="4">
        <v>0</v>
      </c>
      <c r="AV60" s="4">
        <v>0</v>
      </c>
      <c r="AW60" s="4">
        <v>0</v>
      </c>
      <c r="AX60" s="4">
        <v>954280</v>
      </c>
      <c r="AY60" s="4">
        <v>954280</v>
      </c>
    </row>
    <row r="61" spans="1:51">
      <c r="A61" s="3" t="s">
        <v>52</v>
      </c>
      <c r="B61" s="3" t="s">
        <v>53</v>
      </c>
      <c r="C61" s="3" t="s">
        <v>54</v>
      </c>
      <c r="D61" s="3" t="s">
        <v>55</v>
      </c>
      <c r="E61" s="3" t="s">
        <v>56</v>
      </c>
      <c r="F61" s="3" t="s">
        <v>57</v>
      </c>
      <c r="G61" s="3" t="s">
        <v>58</v>
      </c>
      <c r="H61" s="3" t="s">
        <v>59</v>
      </c>
      <c r="I61" s="3" t="s">
        <v>60</v>
      </c>
      <c r="J61" s="3" t="s">
        <v>61</v>
      </c>
      <c r="K61" s="3" t="s">
        <v>62</v>
      </c>
      <c r="L61" s="3" t="s">
        <v>63</v>
      </c>
      <c r="M61" s="3" t="s">
        <v>153</v>
      </c>
      <c r="N61" s="3" t="s">
        <v>154</v>
      </c>
      <c r="O61" s="3" t="s">
        <v>195</v>
      </c>
      <c r="P61" s="3" t="s">
        <v>196</v>
      </c>
      <c r="Q61" s="3" t="s">
        <v>197</v>
      </c>
      <c r="R61" s="3" t="s">
        <v>198</v>
      </c>
      <c r="S61" s="3" t="s">
        <v>102</v>
      </c>
      <c r="T61" s="3" t="s">
        <v>218</v>
      </c>
      <c r="U61" s="3" t="s">
        <v>54</v>
      </c>
      <c r="V61" s="3" t="s">
        <v>72</v>
      </c>
      <c r="W61" s="3" t="s">
        <v>94</v>
      </c>
      <c r="X61" s="3" t="s">
        <v>95</v>
      </c>
      <c r="Y61" s="3" t="s">
        <v>96</v>
      </c>
      <c r="Z61" s="3" t="s">
        <v>95</v>
      </c>
      <c r="AA61" s="3" t="s">
        <v>219</v>
      </c>
      <c r="AB61" s="4">
        <v>0</v>
      </c>
      <c r="AC61" s="4">
        <v>360000</v>
      </c>
      <c r="AD61" s="4">
        <v>0</v>
      </c>
      <c r="AE61" s="4">
        <v>360000</v>
      </c>
      <c r="AF61" s="4">
        <v>0</v>
      </c>
      <c r="AG61" s="4">
        <v>0</v>
      </c>
      <c r="AH61" s="4">
        <v>0</v>
      </c>
      <c r="AI61" s="4">
        <v>0</v>
      </c>
      <c r="AJ61" s="4">
        <v>0</v>
      </c>
      <c r="AK61" s="4">
        <v>0</v>
      </c>
      <c r="AL61" s="4">
        <v>0</v>
      </c>
      <c r="AM61" s="4">
        <v>0</v>
      </c>
      <c r="AN61" s="4">
        <v>0</v>
      </c>
      <c r="AO61" s="4">
        <v>0</v>
      </c>
      <c r="AP61" s="4">
        <v>0</v>
      </c>
      <c r="AQ61" s="4">
        <v>360000</v>
      </c>
      <c r="AR61" s="4">
        <v>360000</v>
      </c>
      <c r="AS61" s="4">
        <v>360000</v>
      </c>
      <c r="AT61" s="4">
        <v>0</v>
      </c>
      <c r="AU61" s="4">
        <v>0</v>
      </c>
      <c r="AV61" s="4">
        <v>0</v>
      </c>
      <c r="AW61" s="4">
        <v>0</v>
      </c>
      <c r="AX61" s="4">
        <v>0</v>
      </c>
      <c r="AY61" s="4">
        <v>0</v>
      </c>
    </row>
    <row r="62" spans="1:51">
      <c r="A62" s="3" t="s">
        <v>52</v>
      </c>
      <c r="B62" s="3" t="s">
        <v>53</v>
      </c>
      <c r="C62" s="3" t="s">
        <v>54</v>
      </c>
      <c r="D62" s="3" t="s">
        <v>55</v>
      </c>
      <c r="E62" s="3" t="s">
        <v>56</v>
      </c>
      <c r="F62" s="3" t="s">
        <v>57</v>
      </c>
      <c r="G62" s="3" t="s">
        <v>58</v>
      </c>
      <c r="H62" s="3" t="s">
        <v>59</v>
      </c>
      <c r="I62" s="3" t="s">
        <v>60</v>
      </c>
      <c r="J62" s="3" t="s">
        <v>61</v>
      </c>
      <c r="K62" s="3" t="s">
        <v>62</v>
      </c>
      <c r="L62" s="3" t="s">
        <v>63</v>
      </c>
      <c r="M62" s="3" t="s">
        <v>153</v>
      </c>
      <c r="N62" s="3" t="s">
        <v>154</v>
      </c>
      <c r="O62" s="3" t="s">
        <v>195</v>
      </c>
      <c r="P62" s="3" t="s">
        <v>196</v>
      </c>
      <c r="Q62" s="3" t="s">
        <v>197</v>
      </c>
      <c r="R62" s="3" t="s">
        <v>198</v>
      </c>
      <c r="S62" s="3" t="s">
        <v>128</v>
      </c>
      <c r="T62" s="3" t="s">
        <v>220</v>
      </c>
      <c r="U62" s="3" t="s">
        <v>54</v>
      </c>
      <c r="V62" s="3" t="s">
        <v>72</v>
      </c>
      <c r="W62" s="3" t="s">
        <v>94</v>
      </c>
      <c r="X62" s="3" t="s">
        <v>95</v>
      </c>
      <c r="Y62" s="3" t="s">
        <v>96</v>
      </c>
      <c r="Z62" s="3" t="s">
        <v>95</v>
      </c>
      <c r="AA62" s="3" t="s">
        <v>221</v>
      </c>
      <c r="AB62" s="4">
        <v>0</v>
      </c>
      <c r="AC62" s="4">
        <v>800000</v>
      </c>
      <c r="AD62" s="4">
        <v>0</v>
      </c>
      <c r="AE62" s="4">
        <v>800000</v>
      </c>
      <c r="AF62" s="4">
        <v>0</v>
      </c>
      <c r="AG62" s="4">
        <v>0</v>
      </c>
      <c r="AH62" s="4">
        <v>0</v>
      </c>
      <c r="AI62" s="4">
        <v>0</v>
      </c>
      <c r="AJ62" s="4">
        <v>0</v>
      </c>
      <c r="AK62" s="4">
        <v>0</v>
      </c>
      <c r="AL62" s="4">
        <v>0</v>
      </c>
      <c r="AM62" s="4">
        <v>0</v>
      </c>
      <c r="AN62" s="4">
        <v>0</v>
      </c>
      <c r="AO62" s="4">
        <v>0</v>
      </c>
      <c r="AP62" s="4">
        <v>0</v>
      </c>
      <c r="AQ62" s="4">
        <v>800000</v>
      </c>
      <c r="AR62" s="4">
        <v>800000</v>
      </c>
      <c r="AS62" s="4">
        <v>800000</v>
      </c>
      <c r="AT62" s="4">
        <v>0</v>
      </c>
      <c r="AU62" s="4">
        <v>0</v>
      </c>
      <c r="AV62" s="4">
        <v>0</v>
      </c>
      <c r="AW62" s="4">
        <v>0</v>
      </c>
      <c r="AX62" s="4">
        <v>0</v>
      </c>
      <c r="AY62" s="4">
        <v>0</v>
      </c>
    </row>
    <row r="63" spans="1:51">
      <c r="A63" s="3" t="s">
        <v>52</v>
      </c>
      <c r="B63" s="3" t="s">
        <v>53</v>
      </c>
      <c r="C63" s="3" t="s">
        <v>54</v>
      </c>
      <c r="D63" s="3" t="s">
        <v>55</v>
      </c>
      <c r="E63" s="3" t="s">
        <v>56</v>
      </c>
      <c r="F63" s="3" t="s">
        <v>57</v>
      </c>
      <c r="G63" s="3" t="s">
        <v>58</v>
      </c>
      <c r="H63" s="3" t="s">
        <v>59</v>
      </c>
      <c r="I63" s="3" t="s">
        <v>60</v>
      </c>
      <c r="J63" s="3" t="s">
        <v>61</v>
      </c>
      <c r="K63" s="3" t="s">
        <v>62</v>
      </c>
      <c r="L63" s="3" t="s">
        <v>63</v>
      </c>
      <c r="M63" s="3" t="s">
        <v>153</v>
      </c>
      <c r="N63" s="3" t="s">
        <v>154</v>
      </c>
      <c r="O63" s="3" t="s">
        <v>195</v>
      </c>
      <c r="P63" s="3" t="s">
        <v>196</v>
      </c>
      <c r="Q63" s="3" t="s">
        <v>222</v>
      </c>
      <c r="R63" s="3" t="s">
        <v>223</v>
      </c>
      <c r="S63" s="3" t="s">
        <v>199</v>
      </c>
      <c r="T63" s="3" t="s">
        <v>224</v>
      </c>
      <c r="U63" s="3" t="s">
        <v>54</v>
      </c>
      <c r="V63" s="3" t="s">
        <v>72</v>
      </c>
      <c r="W63" s="3" t="s">
        <v>73</v>
      </c>
      <c r="X63" s="3" t="s">
        <v>74</v>
      </c>
      <c r="Y63" s="3" t="s">
        <v>75</v>
      </c>
      <c r="Z63" s="3" t="s">
        <v>76</v>
      </c>
      <c r="AA63" s="3" t="s">
        <v>225</v>
      </c>
      <c r="AB63" s="4">
        <v>200000</v>
      </c>
      <c r="AC63" s="4">
        <v>0</v>
      </c>
      <c r="AD63" s="4">
        <v>0</v>
      </c>
      <c r="AE63" s="4">
        <v>200000</v>
      </c>
      <c r="AF63" s="4">
        <v>0</v>
      </c>
      <c r="AG63" s="4">
        <v>0</v>
      </c>
      <c r="AH63" s="4">
        <v>0</v>
      </c>
      <c r="AI63" s="4">
        <v>0</v>
      </c>
      <c r="AJ63" s="4">
        <v>0</v>
      </c>
      <c r="AK63" s="4">
        <v>0</v>
      </c>
      <c r="AL63" s="4">
        <v>0</v>
      </c>
      <c r="AM63" s="4">
        <v>0</v>
      </c>
      <c r="AN63" s="4">
        <v>0</v>
      </c>
      <c r="AO63" s="4">
        <v>0</v>
      </c>
      <c r="AP63" s="4">
        <v>0</v>
      </c>
      <c r="AQ63" s="4">
        <v>200000</v>
      </c>
      <c r="AR63" s="4">
        <v>0</v>
      </c>
      <c r="AS63" s="4">
        <v>0</v>
      </c>
      <c r="AT63" s="4">
        <v>0</v>
      </c>
      <c r="AU63" s="4">
        <v>0</v>
      </c>
      <c r="AV63" s="4">
        <v>0</v>
      </c>
      <c r="AW63" s="4">
        <v>0</v>
      </c>
      <c r="AX63" s="4">
        <v>200000</v>
      </c>
      <c r="AY63" s="4">
        <v>200000</v>
      </c>
    </row>
    <row r="64" spans="1:51">
      <c r="A64" s="3" t="s">
        <v>52</v>
      </c>
      <c r="B64" s="3" t="s">
        <v>53</v>
      </c>
      <c r="C64" s="3" t="s">
        <v>54</v>
      </c>
      <c r="D64" s="3" t="s">
        <v>55</v>
      </c>
      <c r="E64" s="3" t="s">
        <v>56</v>
      </c>
      <c r="F64" s="3" t="s">
        <v>57</v>
      </c>
      <c r="G64" s="3" t="s">
        <v>58</v>
      </c>
      <c r="H64" s="3" t="s">
        <v>59</v>
      </c>
      <c r="I64" s="3" t="s">
        <v>60</v>
      </c>
      <c r="J64" s="3" t="s">
        <v>61</v>
      </c>
      <c r="K64" s="3" t="s">
        <v>62</v>
      </c>
      <c r="L64" s="3" t="s">
        <v>63</v>
      </c>
      <c r="M64" s="3" t="s">
        <v>153</v>
      </c>
      <c r="N64" s="3" t="s">
        <v>154</v>
      </c>
      <c r="O64" s="3" t="s">
        <v>195</v>
      </c>
      <c r="P64" s="3" t="s">
        <v>196</v>
      </c>
      <c r="Q64" s="3" t="s">
        <v>222</v>
      </c>
      <c r="R64" s="3" t="s">
        <v>223</v>
      </c>
      <c r="S64" s="3" t="s">
        <v>199</v>
      </c>
      <c r="T64" s="3" t="s">
        <v>224</v>
      </c>
      <c r="U64" s="3" t="s">
        <v>54</v>
      </c>
      <c r="V64" s="3" t="s">
        <v>72</v>
      </c>
      <c r="W64" s="3" t="s">
        <v>73</v>
      </c>
      <c r="X64" s="3" t="s">
        <v>74</v>
      </c>
      <c r="Y64" s="3" t="s">
        <v>75</v>
      </c>
      <c r="Z64" s="3" t="s">
        <v>76</v>
      </c>
      <c r="AA64" s="3" t="s">
        <v>226</v>
      </c>
      <c r="AB64" s="4">
        <v>840000</v>
      </c>
      <c r="AC64" s="4">
        <v>0</v>
      </c>
      <c r="AD64" s="4">
        <v>0</v>
      </c>
      <c r="AE64" s="4">
        <v>840000</v>
      </c>
      <c r="AF64" s="4">
        <v>0</v>
      </c>
      <c r="AG64" s="4">
        <v>0</v>
      </c>
      <c r="AH64" s="4">
        <v>0</v>
      </c>
      <c r="AI64" s="4">
        <v>0</v>
      </c>
      <c r="AJ64" s="4">
        <v>0</v>
      </c>
      <c r="AK64" s="4">
        <v>0</v>
      </c>
      <c r="AL64" s="4">
        <v>0</v>
      </c>
      <c r="AM64" s="4">
        <v>0</v>
      </c>
      <c r="AN64" s="4">
        <v>0</v>
      </c>
      <c r="AO64" s="4">
        <v>0</v>
      </c>
      <c r="AP64" s="4">
        <v>0</v>
      </c>
      <c r="AQ64" s="4">
        <v>840000</v>
      </c>
      <c r="AR64" s="4">
        <v>0</v>
      </c>
      <c r="AS64" s="4">
        <v>0</v>
      </c>
      <c r="AT64" s="4">
        <v>0</v>
      </c>
      <c r="AU64" s="4">
        <v>0</v>
      </c>
      <c r="AV64" s="4">
        <v>0</v>
      </c>
      <c r="AW64" s="4">
        <v>0</v>
      </c>
      <c r="AX64" s="4">
        <v>840000</v>
      </c>
      <c r="AY64" s="4">
        <v>840000</v>
      </c>
    </row>
    <row r="65" spans="1:51">
      <c r="A65" s="3" t="s">
        <v>52</v>
      </c>
      <c r="B65" s="3" t="s">
        <v>53</v>
      </c>
      <c r="C65" s="3" t="s">
        <v>54</v>
      </c>
      <c r="D65" s="3" t="s">
        <v>55</v>
      </c>
      <c r="E65" s="3" t="s">
        <v>56</v>
      </c>
      <c r="F65" s="3" t="s">
        <v>57</v>
      </c>
      <c r="G65" s="3" t="s">
        <v>58</v>
      </c>
      <c r="H65" s="3" t="s">
        <v>59</v>
      </c>
      <c r="I65" s="3" t="s">
        <v>60</v>
      </c>
      <c r="J65" s="3" t="s">
        <v>61</v>
      </c>
      <c r="K65" s="3" t="s">
        <v>62</v>
      </c>
      <c r="L65" s="3" t="s">
        <v>63</v>
      </c>
      <c r="M65" s="3" t="s">
        <v>153</v>
      </c>
      <c r="N65" s="3" t="s">
        <v>154</v>
      </c>
      <c r="O65" s="3" t="s">
        <v>195</v>
      </c>
      <c r="P65" s="3" t="s">
        <v>196</v>
      </c>
      <c r="Q65" s="3" t="s">
        <v>222</v>
      </c>
      <c r="R65" s="3" t="s">
        <v>223</v>
      </c>
      <c r="S65" s="3" t="s">
        <v>206</v>
      </c>
      <c r="T65" s="3" t="s">
        <v>227</v>
      </c>
      <c r="U65" s="3" t="s">
        <v>54</v>
      </c>
      <c r="V65" s="3" t="s">
        <v>72</v>
      </c>
      <c r="W65" s="3" t="s">
        <v>73</v>
      </c>
      <c r="X65" s="3" t="s">
        <v>74</v>
      </c>
      <c r="Y65" s="3" t="s">
        <v>75</v>
      </c>
      <c r="Z65" s="3" t="s">
        <v>76</v>
      </c>
      <c r="AA65" s="3" t="s">
        <v>228</v>
      </c>
      <c r="AB65" s="4">
        <v>1500000</v>
      </c>
      <c r="AC65" s="4">
        <v>0</v>
      </c>
      <c r="AD65" s="4">
        <v>0</v>
      </c>
      <c r="AE65" s="4">
        <v>1500000</v>
      </c>
      <c r="AF65" s="4">
        <v>0</v>
      </c>
      <c r="AG65" s="4">
        <v>0</v>
      </c>
      <c r="AH65" s="4">
        <v>0</v>
      </c>
      <c r="AI65" s="4">
        <v>0</v>
      </c>
      <c r="AJ65" s="4">
        <v>0</v>
      </c>
      <c r="AK65" s="4">
        <v>0</v>
      </c>
      <c r="AL65" s="4">
        <v>0</v>
      </c>
      <c r="AM65" s="4">
        <v>0</v>
      </c>
      <c r="AN65" s="4">
        <v>0</v>
      </c>
      <c r="AO65" s="4">
        <v>0</v>
      </c>
      <c r="AP65" s="4">
        <v>0</v>
      </c>
      <c r="AQ65" s="4">
        <v>1500000</v>
      </c>
      <c r="AR65" s="4">
        <v>0</v>
      </c>
      <c r="AS65" s="4">
        <v>0</v>
      </c>
      <c r="AT65" s="4">
        <v>0</v>
      </c>
      <c r="AU65" s="4">
        <v>0</v>
      </c>
      <c r="AV65" s="4">
        <v>0</v>
      </c>
      <c r="AW65" s="4">
        <v>0</v>
      </c>
      <c r="AX65" s="4">
        <v>1500000</v>
      </c>
      <c r="AY65" s="4">
        <v>1500000</v>
      </c>
    </row>
    <row r="66" spans="1:51">
      <c r="A66" s="3" t="s">
        <v>52</v>
      </c>
      <c r="B66" s="3" t="s">
        <v>53</v>
      </c>
      <c r="C66" s="3" t="s">
        <v>54</v>
      </c>
      <c r="D66" s="3" t="s">
        <v>55</v>
      </c>
      <c r="E66" s="3" t="s">
        <v>56</v>
      </c>
      <c r="F66" s="3" t="s">
        <v>57</v>
      </c>
      <c r="G66" s="3" t="s">
        <v>58</v>
      </c>
      <c r="H66" s="3" t="s">
        <v>59</v>
      </c>
      <c r="I66" s="3" t="s">
        <v>60</v>
      </c>
      <c r="J66" s="3" t="s">
        <v>61</v>
      </c>
      <c r="K66" s="3" t="s">
        <v>62</v>
      </c>
      <c r="L66" s="3" t="s">
        <v>63</v>
      </c>
      <c r="M66" s="3" t="s">
        <v>153</v>
      </c>
      <c r="N66" s="3" t="s">
        <v>154</v>
      </c>
      <c r="O66" s="3" t="s">
        <v>229</v>
      </c>
      <c r="P66" s="3" t="s">
        <v>230</v>
      </c>
      <c r="Q66" s="3" t="s">
        <v>231</v>
      </c>
      <c r="R66" s="3" t="s">
        <v>232</v>
      </c>
      <c r="S66" s="3" t="s">
        <v>102</v>
      </c>
      <c r="T66" s="3" t="s">
        <v>233</v>
      </c>
      <c r="U66" s="3" t="s">
        <v>130</v>
      </c>
      <c r="V66" s="3" t="s">
        <v>131</v>
      </c>
      <c r="W66" s="3" t="s">
        <v>234</v>
      </c>
      <c r="X66" s="3" t="s">
        <v>149</v>
      </c>
      <c r="Y66" s="3" t="s">
        <v>235</v>
      </c>
      <c r="Z66" s="3" t="s">
        <v>149</v>
      </c>
      <c r="AA66" s="3" t="s">
        <v>236</v>
      </c>
      <c r="AB66" s="4">
        <v>0</v>
      </c>
      <c r="AC66" s="4">
        <v>1850000</v>
      </c>
      <c r="AD66" s="4">
        <v>0</v>
      </c>
      <c r="AE66" s="4">
        <v>1850000</v>
      </c>
      <c r="AF66" s="4">
        <v>0</v>
      </c>
      <c r="AG66" s="4">
        <v>0</v>
      </c>
      <c r="AH66" s="4">
        <v>0</v>
      </c>
      <c r="AI66" s="4">
        <v>0</v>
      </c>
      <c r="AJ66" s="4">
        <v>0</v>
      </c>
      <c r="AK66" s="4">
        <v>0</v>
      </c>
      <c r="AL66" s="4">
        <v>0</v>
      </c>
      <c r="AM66" s="4">
        <v>0</v>
      </c>
      <c r="AN66" s="4">
        <v>0</v>
      </c>
      <c r="AO66" s="4">
        <v>0</v>
      </c>
      <c r="AP66" s="4">
        <v>0</v>
      </c>
      <c r="AQ66" s="4">
        <v>1850000</v>
      </c>
      <c r="AR66" s="4">
        <v>750000</v>
      </c>
      <c r="AS66" s="4">
        <v>750000</v>
      </c>
      <c r="AT66" s="4">
        <v>0</v>
      </c>
      <c r="AU66" s="4">
        <v>0</v>
      </c>
      <c r="AV66" s="4">
        <v>0</v>
      </c>
      <c r="AW66" s="4">
        <v>0</v>
      </c>
      <c r="AX66" s="4">
        <v>1100000</v>
      </c>
      <c r="AY66" s="4">
        <v>1100000</v>
      </c>
    </row>
    <row r="67" spans="1:51">
      <c r="A67" s="3" t="s">
        <v>52</v>
      </c>
      <c r="B67" s="3" t="s">
        <v>53</v>
      </c>
      <c r="C67" s="3" t="s">
        <v>54</v>
      </c>
      <c r="D67" s="3" t="s">
        <v>55</v>
      </c>
      <c r="E67" s="3" t="s">
        <v>56</v>
      </c>
      <c r="F67" s="3" t="s">
        <v>57</v>
      </c>
      <c r="G67" s="3" t="s">
        <v>58</v>
      </c>
      <c r="H67" s="3" t="s">
        <v>59</v>
      </c>
      <c r="I67" s="3" t="s">
        <v>60</v>
      </c>
      <c r="J67" s="3" t="s">
        <v>61</v>
      </c>
      <c r="K67" s="3" t="s">
        <v>62</v>
      </c>
      <c r="L67" s="3" t="s">
        <v>63</v>
      </c>
      <c r="M67" s="3" t="s">
        <v>153</v>
      </c>
      <c r="N67" s="3" t="s">
        <v>154</v>
      </c>
      <c r="O67" s="3" t="s">
        <v>229</v>
      </c>
      <c r="P67" s="3" t="s">
        <v>230</v>
      </c>
      <c r="Q67" s="3" t="s">
        <v>231</v>
      </c>
      <c r="R67" s="3" t="s">
        <v>232</v>
      </c>
      <c r="S67" s="3" t="s">
        <v>102</v>
      </c>
      <c r="T67" s="3" t="s">
        <v>233</v>
      </c>
      <c r="U67" s="3" t="s">
        <v>54</v>
      </c>
      <c r="V67" s="3" t="s">
        <v>72</v>
      </c>
      <c r="W67" s="3" t="s">
        <v>73</v>
      </c>
      <c r="X67" s="3" t="s">
        <v>74</v>
      </c>
      <c r="Y67" s="3" t="s">
        <v>78</v>
      </c>
      <c r="Z67" s="3" t="s">
        <v>79</v>
      </c>
      <c r="AA67" s="3" t="s">
        <v>237</v>
      </c>
      <c r="AB67" s="4">
        <v>0</v>
      </c>
      <c r="AC67" s="4">
        <v>12000000</v>
      </c>
      <c r="AD67" s="4">
        <v>0</v>
      </c>
      <c r="AE67" s="4">
        <v>12000000</v>
      </c>
      <c r="AF67" s="4">
        <v>0</v>
      </c>
      <c r="AG67" s="4">
        <v>0</v>
      </c>
      <c r="AH67" s="4">
        <v>0</v>
      </c>
      <c r="AI67" s="4">
        <v>0</v>
      </c>
      <c r="AJ67" s="4">
        <v>0</v>
      </c>
      <c r="AK67" s="4">
        <v>0</v>
      </c>
      <c r="AL67" s="4">
        <v>0</v>
      </c>
      <c r="AM67" s="4">
        <v>0</v>
      </c>
      <c r="AN67" s="4">
        <v>0</v>
      </c>
      <c r="AO67" s="4">
        <v>0</v>
      </c>
      <c r="AP67" s="4">
        <v>0</v>
      </c>
      <c r="AQ67" s="4">
        <v>12000000</v>
      </c>
      <c r="AR67" s="4">
        <v>5895000</v>
      </c>
      <c r="AS67" s="4">
        <v>5895000</v>
      </c>
      <c r="AT67" s="4">
        <v>0</v>
      </c>
      <c r="AU67" s="4">
        <v>0</v>
      </c>
      <c r="AV67" s="4">
        <v>0</v>
      </c>
      <c r="AW67" s="4">
        <v>0</v>
      </c>
      <c r="AX67" s="4">
        <v>6105000</v>
      </c>
      <c r="AY67" s="4">
        <v>6105000</v>
      </c>
    </row>
    <row r="68" spans="1:51">
      <c r="A68" s="3" t="s">
        <v>52</v>
      </c>
      <c r="B68" s="3" t="s">
        <v>53</v>
      </c>
      <c r="C68" s="3" t="s">
        <v>54</v>
      </c>
      <c r="D68" s="3" t="s">
        <v>55</v>
      </c>
      <c r="E68" s="3" t="s">
        <v>56</v>
      </c>
      <c r="F68" s="3" t="s">
        <v>57</v>
      </c>
      <c r="G68" s="3" t="s">
        <v>58</v>
      </c>
      <c r="H68" s="3" t="s">
        <v>59</v>
      </c>
      <c r="I68" s="3" t="s">
        <v>60</v>
      </c>
      <c r="J68" s="3" t="s">
        <v>61</v>
      </c>
      <c r="K68" s="3" t="s">
        <v>62</v>
      </c>
      <c r="L68" s="3" t="s">
        <v>63</v>
      </c>
      <c r="M68" s="3" t="s">
        <v>153</v>
      </c>
      <c r="N68" s="3" t="s">
        <v>154</v>
      </c>
      <c r="O68" s="3" t="s">
        <v>229</v>
      </c>
      <c r="P68" s="3" t="s">
        <v>230</v>
      </c>
      <c r="Q68" s="3" t="s">
        <v>231</v>
      </c>
      <c r="R68" s="3" t="s">
        <v>232</v>
      </c>
      <c r="S68" s="3" t="s">
        <v>102</v>
      </c>
      <c r="T68" s="3" t="s">
        <v>233</v>
      </c>
      <c r="U68" s="3" t="s">
        <v>54</v>
      </c>
      <c r="V68" s="3" t="s">
        <v>72</v>
      </c>
      <c r="W68" s="3" t="s">
        <v>94</v>
      </c>
      <c r="X68" s="3" t="s">
        <v>95</v>
      </c>
      <c r="Y68" s="3" t="s">
        <v>96</v>
      </c>
      <c r="Z68" s="3" t="s">
        <v>95</v>
      </c>
      <c r="AA68" s="3" t="s">
        <v>238</v>
      </c>
      <c r="AB68" s="4">
        <v>0</v>
      </c>
      <c r="AC68" s="4">
        <v>576000</v>
      </c>
      <c r="AD68" s="4">
        <v>0</v>
      </c>
      <c r="AE68" s="4">
        <v>576000</v>
      </c>
      <c r="AF68" s="4">
        <v>0</v>
      </c>
      <c r="AG68" s="4">
        <v>0</v>
      </c>
      <c r="AH68" s="4">
        <v>0</v>
      </c>
      <c r="AI68" s="4">
        <v>0</v>
      </c>
      <c r="AJ68" s="4">
        <v>0</v>
      </c>
      <c r="AK68" s="4">
        <v>0</v>
      </c>
      <c r="AL68" s="4">
        <v>0</v>
      </c>
      <c r="AM68" s="4">
        <v>0</v>
      </c>
      <c r="AN68" s="4">
        <v>0</v>
      </c>
      <c r="AO68" s="4">
        <v>0</v>
      </c>
      <c r="AP68" s="4">
        <v>0</v>
      </c>
      <c r="AQ68" s="4">
        <v>576000</v>
      </c>
      <c r="AR68" s="4">
        <v>352640</v>
      </c>
      <c r="AS68" s="4">
        <v>352640</v>
      </c>
      <c r="AT68" s="4">
        <v>0</v>
      </c>
      <c r="AU68" s="4">
        <v>0</v>
      </c>
      <c r="AV68" s="4">
        <v>0</v>
      </c>
      <c r="AW68" s="4">
        <v>0</v>
      </c>
      <c r="AX68" s="4">
        <v>223360</v>
      </c>
      <c r="AY68" s="4">
        <v>223360</v>
      </c>
    </row>
    <row r="69" spans="1:51">
      <c r="A69" s="3" t="s">
        <v>52</v>
      </c>
      <c r="B69" s="3" t="s">
        <v>53</v>
      </c>
      <c r="C69" s="3" t="s">
        <v>54</v>
      </c>
      <c r="D69" s="3" t="s">
        <v>55</v>
      </c>
      <c r="E69" s="3" t="s">
        <v>56</v>
      </c>
      <c r="F69" s="3" t="s">
        <v>57</v>
      </c>
      <c r="G69" s="3" t="s">
        <v>58</v>
      </c>
      <c r="H69" s="3" t="s">
        <v>59</v>
      </c>
      <c r="I69" s="3" t="s">
        <v>60</v>
      </c>
      <c r="J69" s="3" t="s">
        <v>61</v>
      </c>
      <c r="K69" s="3" t="s">
        <v>62</v>
      </c>
      <c r="L69" s="3" t="s">
        <v>63</v>
      </c>
      <c r="M69" s="3" t="s">
        <v>153</v>
      </c>
      <c r="N69" s="3" t="s">
        <v>154</v>
      </c>
      <c r="O69" s="3" t="s">
        <v>229</v>
      </c>
      <c r="P69" s="3" t="s">
        <v>230</v>
      </c>
      <c r="Q69" s="3" t="s">
        <v>231</v>
      </c>
      <c r="R69" s="3" t="s">
        <v>232</v>
      </c>
      <c r="S69" s="3" t="s">
        <v>102</v>
      </c>
      <c r="T69" s="3" t="s">
        <v>233</v>
      </c>
      <c r="U69" s="3" t="s">
        <v>54</v>
      </c>
      <c r="V69" s="3" t="s">
        <v>72</v>
      </c>
      <c r="W69" s="3" t="s">
        <v>123</v>
      </c>
      <c r="X69" s="3" t="s">
        <v>124</v>
      </c>
      <c r="Y69" s="3" t="s">
        <v>137</v>
      </c>
      <c r="Z69" s="3" t="s">
        <v>138</v>
      </c>
      <c r="AA69" s="3" t="s">
        <v>239</v>
      </c>
      <c r="AB69" s="4">
        <v>0</v>
      </c>
      <c r="AC69" s="4">
        <v>324000</v>
      </c>
      <c r="AD69" s="4">
        <v>0</v>
      </c>
      <c r="AE69" s="4">
        <v>324000</v>
      </c>
      <c r="AF69" s="4">
        <v>0</v>
      </c>
      <c r="AG69" s="4">
        <v>0</v>
      </c>
      <c r="AH69" s="4">
        <v>0</v>
      </c>
      <c r="AI69" s="4">
        <v>0</v>
      </c>
      <c r="AJ69" s="4">
        <v>0</v>
      </c>
      <c r="AK69" s="4">
        <v>0</v>
      </c>
      <c r="AL69" s="4">
        <v>0</v>
      </c>
      <c r="AM69" s="4">
        <v>0</v>
      </c>
      <c r="AN69" s="4">
        <v>0</v>
      </c>
      <c r="AO69" s="4">
        <v>0</v>
      </c>
      <c r="AP69" s="4">
        <v>0</v>
      </c>
      <c r="AQ69" s="4">
        <v>324000</v>
      </c>
      <c r="AR69" s="4">
        <v>150840</v>
      </c>
      <c r="AS69" s="4">
        <v>150840</v>
      </c>
      <c r="AT69" s="4">
        <v>0</v>
      </c>
      <c r="AU69" s="4">
        <v>0</v>
      </c>
      <c r="AV69" s="4">
        <v>0</v>
      </c>
      <c r="AW69" s="4">
        <v>0</v>
      </c>
      <c r="AX69" s="4">
        <v>173160</v>
      </c>
      <c r="AY69" s="4">
        <v>173160</v>
      </c>
    </row>
    <row r="70" spans="1:51">
      <c r="A70" s="3" t="s">
        <v>52</v>
      </c>
      <c r="B70" s="3" t="s">
        <v>53</v>
      </c>
      <c r="C70" s="3" t="s">
        <v>54</v>
      </c>
      <c r="D70" s="3" t="s">
        <v>55</v>
      </c>
      <c r="E70" s="3" t="s">
        <v>56</v>
      </c>
      <c r="F70" s="3" t="s">
        <v>57</v>
      </c>
      <c r="G70" s="3" t="s">
        <v>58</v>
      </c>
      <c r="H70" s="3" t="s">
        <v>59</v>
      </c>
      <c r="I70" s="3" t="s">
        <v>60</v>
      </c>
      <c r="J70" s="3" t="s">
        <v>61</v>
      </c>
      <c r="K70" s="3" t="s">
        <v>62</v>
      </c>
      <c r="L70" s="3" t="s">
        <v>63</v>
      </c>
      <c r="M70" s="3" t="s">
        <v>153</v>
      </c>
      <c r="N70" s="3" t="s">
        <v>154</v>
      </c>
      <c r="O70" s="3" t="s">
        <v>229</v>
      </c>
      <c r="P70" s="3" t="s">
        <v>230</v>
      </c>
      <c r="Q70" s="3" t="s">
        <v>231</v>
      </c>
      <c r="R70" s="3" t="s">
        <v>232</v>
      </c>
      <c r="S70" s="3" t="s">
        <v>102</v>
      </c>
      <c r="T70" s="3" t="s">
        <v>233</v>
      </c>
      <c r="U70" s="3" t="s">
        <v>86</v>
      </c>
      <c r="V70" s="3" t="s">
        <v>87</v>
      </c>
      <c r="W70" s="3" t="s">
        <v>88</v>
      </c>
      <c r="X70" s="3" t="s">
        <v>89</v>
      </c>
      <c r="Y70" s="3" t="s">
        <v>105</v>
      </c>
      <c r="Z70" s="3" t="s">
        <v>106</v>
      </c>
      <c r="AA70" s="3" t="s">
        <v>240</v>
      </c>
      <c r="AB70" s="4">
        <v>0</v>
      </c>
      <c r="AC70" s="4">
        <v>250000</v>
      </c>
      <c r="AD70" s="4">
        <v>0</v>
      </c>
      <c r="AE70" s="4">
        <v>250000</v>
      </c>
      <c r="AF70" s="4">
        <v>0</v>
      </c>
      <c r="AG70" s="4">
        <v>0</v>
      </c>
      <c r="AH70" s="4">
        <v>0</v>
      </c>
      <c r="AI70" s="4">
        <v>0</v>
      </c>
      <c r="AJ70" s="4">
        <v>0</v>
      </c>
      <c r="AK70" s="4">
        <v>0</v>
      </c>
      <c r="AL70" s="4">
        <v>0</v>
      </c>
      <c r="AM70" s="4">
        <v>0</v>
      </c>
      <c r="AN70" s="4">
        <v>0</v>
      </c>
      <c r="AO70" s="4">
        <v>0</v>
      </c>
      <c r="AP70" s="4">
        <v>0</v>
      </c>
      <c r="AQ70" s="4">
        <v>250000</v>
      </c>
      <c r="AR70" s="4">
        <v>97400</v>
      </c>
      <c r="AS70" s="4">
        <v>97400</v>
      </c>
      <c r="AT70" s="4">
        <v>0</v>
      </c>
      <c r="AU70" s="4">
        <v>0</v>
      </c>
      <c r="AV70" s="4">
        <v>0</v>
      </c>
      <c r="AW70" s="4">
        <v>0</v>
      </c>
      <c r="AX70" s="4">
        <v>152600</v>
      </c>
      <c r="AY70" s="4">
        <v>152600</v>
      </c>
    </row>
    <row r="71" spans="1:51">
      <c r="A71" s="3" t="s">
        <v>52</v>
      </c>
      <c r="B71" s="3" t="s">
        <v>53</v>
      </c>
      <c r="C71" s="3" t="s">
        <v>54</v>
      </c>
      <c r="D71" s="3" t="s">
        <v>55</v>
      </c>
      <c r="E71" s="3" t="s">
        <v>56</v>
      </c>
      <c r="F71" s="3" t="s">
        <v>57</v>
      </c>
      <c r="G71" s="3" t="s">
        <v>58</v>
      </c>
      <c r="H71" s="3" t="s">
        <v>59</v>
      </c>
      <c r="I71" s="3" t="s">
        <v>60</v>
      </c>
      <c r="J71" s="3" t="s">
        <v>61</v>
      </c>
      <c r="K71" s="3" t="s">
        <v>62</v>
      </c>
      <c r="L71" s="3" t="s">
        <v>63</v>
      </c>
      <c r="M71" s="3" t="s">
        <v>153</v>
      </c>
      <c r="N71" s="3" t="s">
        <v>154</v>
      </c>
      <c r="O71" s="3" t="s">
        <v>229</v>
      </c>
      <c r="P71" s="3" t="s">
        <v>230</v>
      </c>
      <c r="Q71" s="3" t="s">
        <v>231</v>
      </c>
      <c r="R71" s="3" t="s">
        <v>232</v>
      </c>
      <c r="S71" s="3" t="s">
        <v>128</v>
      </c>
      <c r="T71" s="3" t="s">
        <v>241</v>
      </c>
      <c r="U71" s="3" t="s">
        <v>54</v>
      </c>
      <c r="V71" s="3" t="s">
        <v>72</v>
      </c>
      <c r="W71" s="3" t="s">
        <v>73</v>
      </c>
      <c r="X71" s="3" t="s">
        <v>74</v>
      </c>
      <c r="Y71" s="3" t="s">
        <v>75</v>
      </c>
      <c r="Z71" s="3" t="s">
        <v>76</v>
      </c>
      <c r="AA71" s="3" t="s">
        <v>242</v>
      </c>
      <c r="AB71" s="4">
        <v>0</v>
      </c>
      <c r="AC71" s="4">
        <v>13375000</v>
      </c>
      <c r="AD71" s="4">
        <v>0</v>
      </c>
      <c r="AE71" s="4">
        <v>13375000</v>
      </c>
      <c r="AF71" s="4">
        <v>0</v>
      </c>
      <c r="AG71" s="4">
        <v>0</v>
      </c>
      <c r="AH71" s="4">
        <v>0</v>
      </c>
      <c r="AI71" s="4">
        <v>0</v>
      </c>
      <c r="AJ71" s="4">
        <v>0</v>
      </c>
      <c r="AK71" s="4">
        <v>0</v>
      </c>
      <c r="AL71" s="4">
        <v>0</v>
      </c>
      <c r="AM71" s="4">
        <v>0</v>
      </c>
      <c r="AN71" s="4">
        <v>0</v>
      </c>
      <c r="AO71" s="4">
        <v>0</v>
      </c>
      <c r="AP71" s="4">
        <v>0</v>
      </c>
      <c r="AQ71" s="4">
        <v>13375000</v>
      </c>
      <c r="AR71" s="4">
        <v>5819910</v>
      </c>
      <c r="AS71" s="4">
        <v>5819910</v>
      </c>
      <c r="AT71" s="4">
        <v>0</v>
      </c>
      <c r="AU71" s="4">
        <v>0</v>
      </c>
      <c r="AV71" s="4">
        <v>0</v>
      </c>
      <c r="AW71" s="4">
        <v>0</v>
      </c>
      <c r="AX71" s="4">
        <v>7555090</v>
      </c>
      <c r="AY71" s="4">
        <v>7555090</v>
      </c>
    </row>
    <row r="72" spans="1:51">
      <c r="A72" s="3" t="s">
        <v>52</v>
      </c>
      <c r="B72" s="3" t="s">
        <v>53</v>
      </c>
      <c r="C72" s="3" t="s">
        <v>54</v>
      </c>
      <c r="D72" s="3" t="s">
        <v>55</v>
      </c>
      <c r="E72" s="3" t="s">
        <v>56</v>
      </c>
      <c r="F72" s="3" t="s">
        <v>57</v>
      </c>
      <c r="G72" s="3" t="s">
        <v>58</v>
      </c>
      <c r="H72" s="3" t="s">
        <v>59</v>
      </c>
      <c r="I72" s="3" t="s">
        <v>60</v>
      </c>
      <c r="J72" s="3" t="s">
        <v>61</v>
      </c>
      <c r="K72" s="3" t="s">
        <v>62</v>
      </c>
      <c r="L72" s="3" t="s">
        <v>63</v>
      </c>
      <c r="M72" s="3" t="s">
        <v>153</v>
      </c>
      <c r="N72" s="3" t="s">
        <v>154</v>
      </c>
      <c r="O72" s="3" t="s">
        <v>229</v>
      </c>
      <c r="P72" s="3" t="s">
        <v>230</v>
      </c>
      <c r="Q72" s="3" t="s">
        <v>231</v>
      </c>
      <c r="R72" s="3" t="s">
        <v>232</v>
      </c>
      <c r="S72" s="3" t="s">
        <v>140</v>
      </c>
      <c r="T72" s="3" t="s">
        <v>243</v>
      </c>
      <c r="U72" s="3" t="s">
        <v>54</v>
      </c>
      <c r="V72" s="3" t="s">
        <v>72</v>
      </c>
      <c r="W72" s="3" t="s">
        <v>73</v>
      </c>
      <c r="X72" s="3" t="s">
        <v>74</v>
      </c>
      <c r="Y72" s="3" t="s">
        <v>78</v>
      </c>
      <c r="Z72" s="3" t="s">
        <v>79</v>
      </c>
      <c r="AA72" s="3" t="s">
        <v>244</v>
      </c>
      <c r="AB72" s="4">
        <v>0</v>
      </c>
      <c r="AC72" s="4">
        <v>0</v>
      </c>
      <c r="AD72" s="4">
        <v>8000000</v>
      </c>
      <c r="AE72" s="4">
        <v>8000000</v>
      </c>
      <c r="AF72" s="4">
        <v>0</v>
      </c>
      <c r="AG72" s="4">
        <v>0</v>
      </c>
      <c r="AH72" s="4">
        <v>0</v>
      </c>
      <c r="AI72" s="4">
        <v>0</v>
      </c>
      <c r="AJ72" s="4">
        <v>0</v>
      </c>
      <c r="AK72" s="4">
        <v>0</v>
      </c>
      <c r="AL72" s="4">
        <v>0</v>
      </c>
      <c r="AM72" s="4">
        <v>0</v>
      </c>
      <c r="AN72" s="4">
        <v>0</v>
      </c>
      <c r="AO72" s="4">
        <v>0</v>
      </c>
      <c r="AP72" s="4">
        <v>0</v>
      </c>
      <c r="AQ72" s="4">
        <v>8000000</v>
      </c>
      <c r="AR72" s="4">
        <v>1650000</v>
      </c>
      <c r="AS72" s="4">
        <v>1650000</v>
      </c>
      <c r="AT72" s="4">
        <v>0</v>
      </c>
      <c r="AU72" s="4">
        <v>0</v>
      </c>
      <c r="AV72" s="4">
        <v>0</v>
      </c>
      <c r="AW72" s="4">
        <v>0</v>
      </c>
      <c r="AX72" s="4">
        <v>6350000</v>
      </c>
      <c r="AY72" s="4">
        <v>6350000</v>
      </c>
    </row>
    <row r="73" spans="1:51">
      <c r="A73" s="3" t="s">
        <v>52</v>
      </c>
      <c r="B73" s="3" t="s">
        <v>53</v>
      </c>
      <c r="C73" s="3" t="s">
        <v>54</v>
      </c>
      <c r="D73" s="3" t="s">
        <v>55</v>
      </c>
      <c r="E73" s="3" t="s">
        <v>56</v>
      </c>
      <c r="F73" s="3" t="s">
        <v>57</v>
      </c>
      <c r="G73" s="3" t="s">
        <v>58</v>
      </c>
      <c r="H73" s="3" t="s">
        <v>59</v>
      </c>
      <c r="I73" s="3" t="s">
        <v>60</v>
      </c>
      <c r="J73" s="3" t="s">
        <v>61</v>
      </c>
      <c r="K73" s="3" t="s">
        <v>62</v>
      </c>
      <c r="L73" s="3" t="s">
        <v>63</v>
      </c>
      <c r="M73" s="3" t="s">
        <v>153</v>
      </c>
      <c r="N73" s="3" t="s">
        <v>154</v>
      </c>
      <c r="O73" s="3" t="s">
        <v>245</v>
      </c>
      <c r="P73" s="3" t="s">
        <v>246</v>
      </c>
      <c r="Q73" s="3" t="s">
        <v>247</v>
      </c>
      <c r="R73" s="3" t="s">
        <v>248</v>
      </c>
      <c r="S73" s="3" t="s">
        <v>150</v>
      </c>
      <c r="T73" s="3" t="s">
        <v>249</v>
      </c>
      <c r="U73" s="3" t="s">
        <v>54</v>
      </c>
      <c r="V73" s="3" t="s">
        <v>72</v>
      </c>
      <c r="W73" s="3" t="s">
        <v>94</v>
      </c>
      <c r="X73" s="3" t="s">
        <v>95</v>
      </c>
      <c r="Y73" s="3" t="s">
        <v>96</v>
      </c>
      <c r="Z73" s="3" t="s">
        <v>95</v>
      </c>
      <c r="AA73" s="3" t="s">
        <v>250</v>
      </c>
      <c r="AB73" s="4">
        <v>1940000</v>
      </c>
      <c r="AC73" s="4">
        <v>60000</v>
      </c>
      <c r="AD73" s="4">
        <v>0</v>
      </c>
      <c r="AE73" s="4">
        <v>2000000</v>
      </c>
      <c r="AF73" s="4">
        <v>0</v>
      </c>
      <c r="AG73" s="4">
        <v>0</v>
      </c>
      <c r="AH73" s="4">
        <v>0</v>
      </c>
      <c r="AI73" s="4">
        <v>0</v>
      </c>
      <c r="AJ73" s="4">
        <v>0</v>
      </c>
      <c r="AK73" s="4">
        <v>0</v>
      </c>
      <c r="AL73" s="4">
        <v>0</v>
      </c>
      <c r="AM73" s="4">
        <v>0</v>
      </c>
      <c r="AN73" s="4">
        <v>0</v>
      </c>
      <c r="AO73" s="4">
        <v>0</v>
      </c>
      <c r="AP73" s="4">
        <v>0</v>
      </c>
      <c r="AQ73" s="4">
        <v>2000000</v>
      </c>
      <c r="AR73" s="4">
        <v>990340</v>
      </c>
      <c r="AS73" s="4">
        <v>990340</v>
      </c>
      <c r="AT73" s="4">
        <v>0</v>
      </c>
      <c r="AU73" s="4">
        <v>0</v>
      </c>
      <c r="AV73" s="4">
        <v>0</v>
      </c>
      <c r="AW73" s="4">
        <v>0</v>
      </c>
      <c r="AX73" s="4">
        <v>1009660</v>
      </c>
      <c r="AY73" s="4">
        <v>1009660</v>
      </c>
    </row>
    <row r="74" spans="1:51">
      <c r="A74" s="3" t="s">
        <v>52</v>
      </c>
      <c r="B74" s="3" t="s">
        <v>53</v>
      </c>
      <c r="C74" s="3" t="s">
        <v>54</v>
      </c>
      <c r="D74" s="3" t="s">
        <v>55</v>
      </c>
      <c r="E74" s="3" t="s">
        <v>56</v>
      </c>
      <c r="F74" s="3" t="s">
        <v>57</v>
      </c>
      <c r="G74" s="3" t="s">
        <v>58</v>
      </c>
      <c r="H74" s="3" t="s">
        <v>59</v>
      </c>
      <c r="I74" s="3" t="s">
        <v>60</v>
      </c>
      <c r="J74" s="3" t="s">
        <v>61</v>
      </c>
      <c r="K74" s="3" t="s">
        <v>62</v>
      </c>
      <c r="L74" s="3" t="s">
        <v>63</v>
      </c>
      <c r="M74" s="3" t="s">
        <v>153</v>
      </c>
      <c r="N74" s="3" t="s">
        <v>154</v>
      </c>
      <c r="O74" s="3" t="s">
        <v>245</v>
      </c>
      <c r="P74" s="3" t="s">
        <v>246</v>
      </c>
      <c r="Q74" s="3" t="s">
        <v>247</v>
      </c>
      <c r="R74" s="3" t="s">
        <v>248</v>
      </c>
      <c r="S74" s="3" t="s">
        <v>150</v>
      </c>
      <c r="T74" s="3" t="s">
        <v>249</v>
      </c>
      <c r="U74" s="3" t="s">
        <v>86</v>
      </c>
      <c r="V74" s="3" t="s">
        <v>87</v>
      </c>
      <c r="W74" s="3" t="s">
        <v>88</v>
      </c>
      <c r="X74" s="3" t="s">
        <v>89</v>
      </c>
      <c r="Y74" s="3" t="s">
        <v>90</v>
      </c>
      <c r="Z74" s="3" t="s">
        <v>89</v>
      </c>
      <c r="AA74" s="3" t="s">
        <v>251</v>
      </c>
      <c r="AB74" s="4">
        <v>60000</v>
      </c>
      <c r="AC74" s="4">
        <v>-60000</v>
      </c>
      <c r="AD74" s="4">
        <v>0</v>
      </c>
      <c r="AE74" s="4">
        <v>0</v>
      </c>
      <c r="AF74" s="4">
        <v>0</v>
      </c>
      <c r="AG74" s="4">
        <v>0</v>
      </c>
      <c r="AH74" s="4">
        <v>0</v>
      </c>
      <c r="AI74" s="4">
        <v>0</v>
      </c>
      <c r="AJ74" s="4">
        <v>0</v>
      </c>
      <c r="AK74" s="4">
        <v>0</v>
      </c>
      <c r="AL74" s="4">
        <v>0</v>
      </c>
      <c r="AM74" s="4">
        <v>0</v>
      </c>
      <c r="AN74" s="4">
        <v>0</v>
      </c>
      <c r="AO74" s="4">
        <v>0</v>
      </c>
      <c r="AP74" s="4">
        <v>0</v>
      </c>
      <c r="AQ74" s="4">
        <v>0</v>
      </c>
      <c r="AR74" s="4">
        <v>0</v>
      </c>
      <c r="AS74" s="4">
        <v>0</v>
      </c>
      <c r="AT74" s="4">
        <v>0</v>
      </c>
      <c r="AU74" s="4">
        <v>0</v>
      </c>
      <c r="AV74" s="4">
        <v>0</v>
      </c>
      <c r="AW74" s="4">
        <v>0</v>
      </c>
      <c r="AX74" s="4">
        <v>0</v>
      </c>
      <c r="AY74" s="4">
        <v>0</v>
      </c>
    </row>
    <row r="75" spans="1:51">
      <c r="A75" s="3" t="s">
        <v>52</v>
      </c>
      <c r="B75" s="3" t="s">
        <v>53</v>
      </c>
      <c r="C75" s="3" t="s">
        <v>54</v>
      </c>
      <c r="D75" s="3" t="s">
        <v>55</v>
      </c>
      <c r="E75" s="3" t="s">
        <v>56</v>
      </c>
      <c r="F75" s="3" t="s">
        <v>57</v>
      </c>
      <c r="G75" s="3" t="s">
        <v>58</v>
      </c>
      <c r="H75" s="3" t="s">
        <v>59</v>
      </c>
      <c r="I75" s="3" t="s">
        <v>60</v>
      </c>
      <c r="J75" s="3" t="s">
        <v>61</v>
      </c>
      <c r="K75" s="3" t="s">
        <v>62</v>
      </c>
      <c r="L75" s="3" t="s">
        <v>63</v>
      </c>
      <c r="M75" s="3" t="s">
        <v>153</v>
      </c>
      <c r="N75" s="3" t="s">
        <v>154</v>
      </c>
      <c r="O75" s="3" t="s">
        <v>245</v>
      </c>
      <c r="P75" s="3" t="s">
        <v>246</v>
      </c>
      <c r="Q75" s="3" t="s">
        <v>247</v>
      </c>
      <c r="R75" s="3" t="s">
        <v>248</v>
      </c>
      <c r="S75" s="3" t="s">
        <v>206</v>
      </c>
      <c r="T75" s="3" t="s">
        <v>252</v>
      </c>
      <c r="U75" s="3" t="s">
        <v>54</v>
      </c>
      <c r="V75" s="3" t="s">
        <v>72</v>
      </c>
      <c r="W75" s="3" t="s">
        <v>73</v>
      </c>
      <c r="X75" s="3" t="s">
        <v>74</v>
      </c>
      <c r="Y75" s="3" t="s">
        <v>78</v>
      </c>
      <c r="Z75" s="3" t="s">
        <v>79</v>
      </c>
      <c r="AA75" s="3" t="s">
        <v>253</v>
      </c>
      <c r="AB75" s="4">
        <v>1000000</v>
      </c>
      <c r="AC75" s="4">
        <v>0</v>
      </c>
      <c r="AD75" s="4">
        <v>0</v>
      </c>
      <c r="AE75" s="4">
        <v>1000000</v>
      </c>
      <c r="AF75" s="4">
        <v>0</v>
      </c>
      <c r="AG75" s="4">
        <v>0</v>
      </c>
      <c r="AH75" s="4">
        <v>0</v>
      </c>
      <c r="AI75" s="4">
        <v>0</v>
      </c>
      <c r="AJ75" s="4">
        <v>0</v>
      </c>
      <c r="AK75" s="4">
        <v>0</v>
      </c>
      <c r="AL75" s="4">
        <v>0</v>
      </c>
      <c r="AM75" s="4">
        <v>0</v>
      </c>
      <c r="AN75" s="4">
        <v>0</v>
      </c>
      <c r="AO75" s="4">
        <v>0</v>
      </c>
      <c r="AP75" s="4">
        <v>0</v>
      </c>
      <c r="AQ75" s="4">
        <v>1000000</v>
      </c>
      <c r="AR75" s="4">
        <v>0</v>
      </c>
      <c r="AS75" s="4">
        <v>0</v>
      </c>
      <c r="AT75" s="4">
        <v>0</v>
      </c>
      <c r="AU75" s="4">
        <v>0</v>
      </c>
      <c r="AV75" s="4">
        <v>0</v>
      </c>
      <c r="AW75" s="4">
        <v>0</v>
      </c>
      <c r="AX75" s="4">
        <v>1000000</v>
      </c>
      <c r="AY75" s="4">
        <v>1000000</v>
      </c>
    </row>
    <row r="76" spans="1:51">
      <c r="A76" s="3" t="s">
        <v>52</v>
      </c>
      <c r="B76" s="3" t="s">
        <v>53</v>
      </c>
      <c r="C76" s="3" t="s">
        <v>54</v>
      </c>
      <c r="D76" s="3" t="s">
        <v>55</v>
      </c>
      <c r="E76" s="3" t="s">
        <v>56</v>
      </c>
      <c r="F76" s="3" t="s">
        <v>57</v>
      </c>
      <c r="G76" s="3" t="s">
        <v>58</v>
      </c>
      <c r="H76" s="3" t="s">
        <v>59</v>
      </c>
      <c r="I76" s="3" t="s">
        <v>60</v>
      </c>
      <c r="J76" s="3" t="s">
        <v>61</v>
      </c>
      <c r="K76" s="3" t="s">
        <v>62</v>
      </c>
      <c r="L76" s="3" t="s">
        <v>63</v>
      </c>
      <c r="M76" s="3" t="s">
        <v>153</v>
      </c>
      <c r="N76" s="3" t="s">
        <v>154</v>
      </c>
      <c r="O76" s="3" t="s">
        <v>245</v>
      </c>
      <c r="P76" s="3" t="s">
        <v>246</v>
      </c>
      <c r="Q76" s="3" t="s">
        <v>247</v>
      </c>
      <c r="R76" s="3" t="s">
        <v>248</v>
      </c>
      <c r="S76" s="3" t="s">
        <v>206</v>
      </c>
      <c r="T76" s="3" t="s">
        <v>252</v>
      </c>
      <c r="U76" s="3" t="s">
        <v>54</v>
      </c>
      <c r="V76" s="3" t="s">
        <v>72</v>
      </c>
      <c r="W76" s="3" t="s">
        <v>94</v>
      </c>
      <c r="X76" s="3" t="s">
        <v>95</v>
      </c>
      <c r="Y76" s="3" t="s">
        <v>96</v>
      </c>
      <c r="Z76" s="3" t="s">
        <v>95</v>
      </c>
      <c r="AA76" s="3" t="s">
        <v>254</v>
      </c>
      <c r="AB76" s="4">
        <v>1350000</v>
      </c>
      <c r="AC76" s="4">
        <v>0</v>
      </c>
      <c r="AD76" s="4">
        <v>0</v>
      </c>
      <c r="AE76" s="4">
        <v>1350000</v>
      </c>
      <c r="AF76" s="4">
        <v>0</v>
      </c>
      <c r="AG76" s="4">
        <v>0</v>
      </c>
      <c r="AH76" s="4">
        <v>0</v>
      </c>
      <c r="AI76" s="4">
        <v>0</v>
      </c>
      <c r="AJ76" s="4">
        <v>0</v>
      </c>
      <c r="AK76" s="4">
        <v>0</v>
      </c>
      <c r="AL76" s="4">
        <v>0</v>
      </c>
      <c r="AM76" s="4">
        <v>0</v>
      </c>
      <c r="AN76" s="4">
        <v>0</v>
      </c>
      <c r="AO76" s="4">
        <v>0</v>
      </c>
      <c r="AP76" s="4">
        <v>0</v>
      </c>
      <c r="AQ76" s="4">
        <v>1350000</v>
      </c>
      <c r="AR76" s="4">
        <v>200000</v>
      </c>
      <c r="AS76" s="4">
        <v>200000</v>
      </c>
      <c r="AT76" s="4">
        <v>0</v>
      </c>
      <c r="AU76" s="4">
        <v>0</v>
      </c>
      <c r="AV76" s="4">
        <v>0</v>
      </c>
      <c r="AW76" s="4">
        <v>0</v>
      </c>
      <c r="AX76" s="4">
        <v>1150000</v>
      </c>
      <c r="AY76" s="4">
        <v>1150000</v>
      </c>
    </row>
    <row r="77" spans="1:51">
      <c r="A77" s="3" t="s">
        <v>52</v>
      </c>
      <c r="B77" s="3" t="s">
        <v>53</v>
      </c>
      <c r="C77" s="3" t="s">
        <v>54</v>
      </c>
      <c r="D77" s="3" t="s">
        <v>55</v>
      </c>
      <c r="E77" s="3" t="s">
        <v>56</v>
      </c>
      <c r="F77" s="3" t="s">
        <v>57</v>
      </c>
      <c r="G77" s="3" t="s">
        <v>58</v>
      </c>
      <c r="H77" s="3" t="s">
        <v>59</v>
      </c>
      <c r="I77" s="3" t="s">
        <v>60</v>
      </c>
      <c r="J77" s="3" t="s">
        <v>61</v>
      </c>
      <c r="K77" s="3" t="s">
        <v>62</v>
      </c>
      <c r="L77" s="3" t="s">
        <v>63</v>
      </c>
      <c r="M77" s="3" t="s">
        <v>153</v>
      </c>
      <c r="N77" s="3" t="s">
        <v>154</v>
      </c>
      <c r="O77" s="3" t="s">
        <v>245</v>
      </c>
      <c r="P77" s="3" t="s">
        <v>246</v>
      </c>
      <c r="Q77" s="3" t="s">
        <v>247</v>
      </c>
      <c r="R77" s="3" t="s">
        <v>248</v>
      </c>
      <c r="S77" s="3" t="s">
        <v>206</v>
      </c>
      <c r="T77" s="3" t="s">
        <v>252</v>
      </c>
      <c r="U77" s="3" t="s">
        <v>54</v>
      </c>
      <c r="V77" s="3" t="s">
        <v>72</v>
      </c>
      <c r="W77" s="3" t="s">
        <v>94</v>
      </c>
      <c r="X77" s="3" t="s">
        <v>95</v>
      </c>
      <c r="Y77" s="3" t="s">
        <v>187</v>
      </c>
      <c r="Z77" s="3" t="s">
        <v>188</v>
      </c>
      <c r="AA77" s="3" t="s">
        <v>255</v>
      </c>
      <c r="AB77" s="4">
        <v>500000</v>
      </c>
      <c r="AC77" s="4">
        <v>0</v>
      </c>
      <c r="AD77" s="4">
        <v>0</v>
      </c>
      <c r="AE77" s="4">
        <v>500000</v>
      </c>
      <c r="AF77" s="4">
        <v>0</v>
      </c>
      <c r="AG77" s="4">
        <v>0</v>
      </c>
      <c r="AH77" s="4">
        <v>0</v>
      </c>
      <c r="AI77" s="4">
        <v>0</v>
      </c>
      <c r="AJ77" s="4">
        <v>0</v>
      </c>
      <c r="AK77" s="4">
        <v>0</v>
      </c>
      <c r="AL77" s="4">
        <v>0</v>
      </c>
      <c r="AM77" s="4">
        <v>0</v>
      </c>
      <c r="AN77" s="4">
        <v>0</v>
      </c>
      <c r="AO77" s="4">
        <v>0</v>
      </c>
      <c r="AP77" s="4">
        <v>0</v>
      </c>
      <c r="AQ77" s="4">
        <v>500000</v>
      </c>
      <c r="AR77" s="4">
        <v>0</v>
      </c>
      <c r="AS77" s="4">
        <v>0</v>
      </c>
      <c r="AT77" s="4">
        <v>0</v>
      </c>
      <c r="AU77" s="4">
        <v>0</v>
      </c>
      <c r="AV77" s="4">
        <v>0</v>
      </c>
      <c r="AW77" s="4">
        <v>0</v>
      </c>
      <c r="AX77" s="4">
        <v>500000</v>
      </c>
      <c r="AY77" s="4">
        <v>500000</v>
      </c>
    </row>
    <row r="78" spans="1:51">
      <c r="A78" s="3" t="s">
        <v>52</v>
      </c>
      <c r="B78" s="3" t="s">
        <v>53</v>
      </c>
      <c r="C78" s="3" t="s">
        <v>54</v>
      </c>
      <c r="D78" s="3" t="s">
        <v>55</v>
      </c>
      <c r="E78" s="3" t="s">
        <v>56</v>
      </c>
      <c r="F78" s="3" t="s">
        <v>57</v>
      </c>
      <c r="G78" s="3" t="s">
        <v>58</v>
      </c>
      <c r="H78" s="3" t="s">
        <v>59</v>
      </c>
      <c r="I78" s="3" t="s">
        <v>60</v>
      </c>
      <c r="J78" s="3" t="s">
        <v>61</v>
      </c>
      <c r="K78" s="3" t="s">
        <v>62</v>
      </c>
      <c r="L78" s="3" t="s">
        <v>63</v>
      </c>
      <c r="M78" s="3" t="s">
        <v>153</v>
      </c>
      <c r="N78" s="3" t="s">
        <v>154</v>
      </c>
      <c r="O78" s="3" t="s">
        <v>245</v>
      </c>
      <c r="P78" s="3" t="s">
        <v>246</v>
      </c>
      <c r="Q78" s="3" t="s">
        <v>247</v>
      </c>
      <c r="R78" s="3" t="s">
        <v>248</v>
      </c>
      <c r="S78" s="3" t="s">
        <v>206</v>
      </c>
      <c r="T78" s="3" t="s">
        <v>252</v>
      </c>
      <c r="U78" s="3" t="s">
        <v>86</v>
      </c>
      <c r="V78" s="3" t="s">
        <v>87</v>
      </c>
      <c r="W78" s="3" t="s">
        <v>88</v>
      </c>
      <c r="X78" s="3" t="s">
        <v>89</v>
      </c>
      <c r="Y78" s="3" t="s">
        <v>90</v>
      </c>
      <c r="Z78" s="3" t="s">
        <v>89</v>
      </c>
      <c r="AA78" s="3" t="s">
        <v>256</v>
      </c>
      <c r="AB78" s="4">
        <v>150000</v>
      </c>
      <c r="AC78" s="4">
        <v>0</v>
      </c>
      <c r="AD78" s="4">
        <v>0</v>
      </c>
      <c r="AE78" s="4">
        <v>150000</v>
      </c>
      <c r="AF78" s="4">
        <v>0</v>
      </c>
      <c r="AG78" s="4">
        <v>0</v>
      </c>
      <c r="AH78" s="4">
        <v>0</v>
      </c>
      <c r="AI78" s="4">
        <v>0</v>
      </c>
      <c r="AJ78" s="4">
        <v>0</v>
      </c>
      <c r="AK78" s="4">
        <v>0</v>
      </c>
      <c r="AL78" s="4">
        <v>0</v>
      </c>
      <c r="AM78" s="4">
        <v>0</v>
      </c>
      <c r="AN78" s="4">
        <v>0</v>
      </c>
      <c r="AO78" s="4">
        <v>0</v>
      </c>
      <c r="AP78" s="4">
        <v>0</v>
      </c>
      <c r="AQ78" s="4">
        <v>150000</v>
      </c>
      <c r="AR78" s="4">
        <v>0</v>
      </c>
      <c r="AS78" s="4">
        <v>0</v>
      </c>
      <c r="AT78" s="4">
        <v>0</v>
      </c>
      <c r="AU78" s="4">
        <v>0</v>
      </c>
      <c r="AV78" s="4">
        <v>0</v>
      </c>
      <c r="AW78" s="4">
        <v>0</v>
      </c>
      <c r="AX78" s="4">
        <v>150000</v>
      </c>
      <c r="AY78" s="4">
        <v>150000</v>
      </c>
    </row>
    <row r="79" spans="1:51">
      <c r="A79" s="3" t="s">
        <v>52</v>
      </c>
      <c r="B79" s="3" t="s">
        <v>53</v>
      </c>
      <c r="C79" s="3" t="s">
        <v>54</v>
      </c>
      <c r="D79" s="3" t="s">
        <v>55</v>
      </c>
      <c r="E79" s="3" t="s">
        <v>56</v>
      </c>
      <c r="F79" s="3" t="s">
        <v>57</v>
      </c>
      <c r="G79" s="3" t="s">
        <v>58</v>
      </c>
      <c r="H79" s="3" t="s">
        <v>59</v>
      </c>
      <c r="I79" s="3" t="s">
        <v>60</v>
      </c>
      <c r="J79" s="3" t="s">
        <v>61</v>
      </c>
      <c r="K79" s="3" t="s">
        <v>62</v>
      </c>
      <c r="L79" s="3" t="s">
        <v>63</v>
      </c>
      <c r="M79" s="3" t="s">
        <v>153</v>
      </c>
      <c r="N79" s="3" t="s">
        <v>154</v>
      </c>
      <c r="O79" s="3" t="s">
        <v>245</v>
      </c>
      <c r="P79" s="3" t="s">
        <v>246</v>
      </c>
      <c r="Q79" s="3" t="s">
        <v>247</v>
      </c>
      <c r="R79" s="3" t="s">
        <v>248</v>
      </c>
      <c r="S79" s="3" t="s">
        <v>102</v>
      </c>
      <c r="T79" s="3" t="s">
        <v>257</v>
      </c>
      <c r="U79" s="3" t="s">
        <v>54</v>
      </c>
      <c r="V79" s="3" t="s">
        <v>72</v>
      </c>
      <c r="W79" s="3" t="s">
        <v>94</v>
      </c>
      <c r="X79" s="3" t="s">
        <v>95</v>
      </c>
      <c r="Y79" s="3" t="s">
        <v>96</v>
      </c>
      <c r="Z79" s="3" t="s">
        <v>95</v>
      </c>
      <c r="AA79" s="3" t="s">
        <v>258</v>
      </c>
      <c r="AB79" s="4">
        <v>0</v>
      </c>
      <c r="AC79" s="4">
        <v>1320000</v>
      </c>
      <c r="AD79" s="4">
        <v>0</v>
      </c>
      <c r="AE79" s="4">
        <v>1320000</v>
      </c>
      <c r="AF79" s="4">
        <v>0</v>
      </c>
      <c r="AG79" s="4">
        <v>0</v>
      </c>
      <c r="AH79" s="4">
        <v>0</v>
      </c>
      <c r="AI79" s="4">
        <v>0</v>
      </c>
      <c r="AJ79" s="4">
        <v>0</v>
      </c>
      <c r="AK79" s="4">
        <v>0</v>
      </c>
      <c r="AL79" s="4">
        <v>0</v>
      </c>
      <c r="AM79" s="4">
        <v>0</v>
      </c>
      <c r="AN79" s="4">
        <v>0</v>
      </c>
      <c r="AO79" s="4">
        <v>0</v>
      </c>
      <c r="AP79" s="4">
        <v>0</v>
      </c>
      <c r="AQ79" s="4">
        <v>1320000</v>
      </c>
      <c r="AR79" s="4">
        <v>1320000</v>
      </c>
      <c r="AS79" s="4">
        <v>1320000</v>
      </c>
      <c r="AT79" s="4">
        <v>0</v>
      </c>
      <c r="AU79" s="4">
        <v>0</v>
      </c>
      <c r="AV79" s="4">
        <v>0</v>
      </c>
      <c r="AW79" s="4">
        <v>0</v>
      </c>
      <c r="AX79" s="4">
        <v>0</v>
      </c>
      <c r="AY79" s="4">
        <v>0</v>
      </c>
    </row>
    <row r="80" spans="1:51">
      <c r="A80" s="3" t="s">
        <v>52</v>
      </c>
      <c r="B80" s="3" t="s">
        <v>53</v>
      </c>
      <c r="C80" s="3" t="s">
        <v>54</v>
      </c>
      <c r="D80" s="3" t="s">
        <v>55</v>
      </c>
      <c r="E80" s="3" t="s">
        <v>56</v>
      </c>
      <c r="F80" s="3" t="s">
        <v>57</v>
      </c>
      <c r="G80" s="3" t="s">
        <v>58</v>
      </c>
      <c r="H80" s="3" t="s">
        <v>59</v>
      </c>
      <c r="I80" s="3" t="s">
        <v>60</v>
      </c>
      <c r="J80" s="3" t="s">
        <v>61</v>
      </c>
      <c r="K80" s="3" t="s">
        <v>62</v>
      </c>
      <c r="L80" s="3" t="s">
        <v>63</v>
      </c>
      <c r="M80" s="3" t="s">
        <v>153</v>
      </c>
      <c r="N80" s="3" t="s">
        <v>154</v>
      </c>
      <c r="O80" s="3" t="s">
        <v>245</v>
      </c>
      <c r="P80" s="3" t="s">
        <v>246</v>
      </c>
      <c r="Q80" s="3" t="s">
        <v>259</v>
      </c>
      <c r="R80" s="3" t="s">
        <v>260</v>
      </c>
      <c r="S80" s="3" t="s">
        <v>199</v>
      </c>
      <c r="T80" s="3" t="s">
        <v>261</v>
      </c>
      <c r="U80" s="3" t="s">
        <v>54</v>
      </c>
      <c r="V80" s="3" t="s">
        <v>72</v>
      </c>
      <c r="W80" s="3" t="s">
        <v>94</v>
      </c>
      <c r="X80" s="3" t="s">
        <v>95</v>
      </c>
      <c r="Y80" s="3" t="s">
        <v>187</v>
      </c>
      <c r="Z80" s="3" t="s">
        <v>188</v>
      </c>
      <c r="AA80" s="3" t="s">
        <v>262</v>
      </c>
      <c r="AB80" s="4">
        <v>140000</v>
      </c>
      <c r="AC80" s="4">
        <v>0</v>
      </c>
      <c r="AD80" s="4">
        <v>0</v>
      </c>
      <c r="AE80" s="4">
        <v>140000</v>
      </c>
      <c r="AF80" s="4">
        <v>0</v>
      </c>
      <c r="AG80" s="4">
        <v>0</v>
      </c>
      <c r="AH80" s="4">
        <v>0</v>
      </c>
      <c r="AI80" s="4">
        <v>0</v>
      </c>
      <c r="AJ80" s="4">
        <v>0</v>
      </c>
      <c r="AK80" s="4">
        <v>0</v>
      </c>
      <c r="AL80" s="4">
        <v>0</v>
      </c>
      <c r="AM80" s="4">
        <v>0</v>
      </c>
      <c r="AN80" s="4">
        <v>0</v>
      </c>
      <c r="AO80" s="4">
        <v>0</v>
      </c>
      <c r="AP80" s="4">
        <v>0</v>
      </c>
      <c r="AQ80" s="4">
        <v>140000</v>
      </c>
      <c r="AR80" s="4">
        <v>128000</v>
      </c>
      <c r="AS80" s="4">
        <v>0</v>
      </c>
      <c r="AT80" s="4">
        <v>0</v>
      </c>
      <c r="AU80" s="4">
        <v>0</v>
      </c>
      <c r="AV80" s="4">
        <v>0</v>
      </c>
      <c r="AW80" s="4">
        <v>0</v>
      </c>
      <c r="AX80" s="4">
        <v>12000</v>
      </c>
      <c r="AY80" s="4">
        <v>140000</v>
      </c>
    </row>
    <row r="81" spans="1:51">
      <c r="A81" s="3" t="s">
        <v>52</v>
      </c>
      <c r="B81" s="3" t="s">
        <v>53</v>
      </c>
      <c r="C81" s="3" t="s">
        <v>54</v>
      </c>
      <c r="D81" s="3" t="s">
        <v>55</v>
      </c>
      <c r="E81" s="3" t="s">
        <v>56</v>
      </c>
      <c r="F81" s="3" t="s">
        <v>57</v>
      </c>
      <c r="G81" s="3" t="s">
        <v>58</v>
      </c>
      <c r="H81" s="3" t="s">
        <v>59</v>
      </c>
      <c r="I81" s="3" t="s">
        <v>60</v>
      </c>
      <c r="J81" s="3" t="s">
        <v>61</v>
      </c>
      <c r="K81" s="3" t="s">
        <v>62</v>
      </c>
      <c r="L81" s="3" t="s">
        <v>63</v>
      </c>
      <c r="M81" s="3" t="s">
        <v>153</v>
      </c>
      <c r="N81" s="3" t="s">
        <v>154</v>
      </c>
      <c r="O81" s="3" t="s">
        <v>245</v>
      </c>
      <c r="P81" s="3" t="s">
        <v>246</v>
      </c>
      <c r="Q81" s="3" t="s">
        <v>259</v>
      </c>
      <c r="R81" s="3" t="s">
        <v>260</v>
      </c>
      <c r="S81" s="3" t="s">
        <v>199</v>
      </c>
      <c r="T81" s="3" t="s">
        <v>261</v>
      </c>
      <c r="U81" s="3" t="s">
        <v>54</v>
      </c>
      <c r="V81" s="3" t="s">
        <v>72</v>
      </c>
      <c r="W81" s="3" t="s">
        <v>94</v>
      </c>
      <c r="X81" s="3" t="s">
        <v>95</v>
      </c>
      <c r="Y81" s="3" t="s">
        <v>187</v>
      </c>
      <c r="Z81" s="3" t="s">
        <v>188</v>
      </c>
      <c r="AA81" s="3" t="s">
        <v>263</v>
      </c>
      <c r="AB81" s="4">
        <v>6370000</v>
      </c>
      <c r="AC81" s="4">
        <v>0</v>
      </c>
      <c r="AD81" s="4">
        <v>0</v>
      </c>
      <c r="AE81" s="4">
        <v>6370000</v>
      </c>
      <c r="AF81" s="4">
        <v>0</v>
      </c>
      <c r="AG81" s="4">
        <v>0</v>
      </c>
      <c r="AH81" s="4">
        <v>0</v>
      </c>
      <c r="AI81" s="4">
        <v>0</v>
      </c>
      <c r="AJ81" s="4">
        <v>0</v>
      </c>
      <c r="AK81" s="4">
        <v>0</v>
      </c>
      <c r="AL81" s="4">
        <v>0</v>
      </c>
      <c r="AM81" s="4">
        <v>0</v>
      </c>
      <c r="AN81" s="4">
        <v>0</v>
      </c>
      <c r="AO81" s="4">
        <v>0</v>
      </c>
      <c r="AP81" s="4">
        <v>0</v>
      </c>
      <c r="AQ81" s="4">
        <v>6370000</v>
      </c>
      <c r="AR81" s="4">
        <v>5504000</v>
      </c>
      <c r="AS81" s="4">
        <v>0</v>
      </c>
      <c r="AT81" s="4">
        <v>0</v>
      </c>
      <c r="AU81" s="4">
        <v>0</v>
      </c>
      <c r="AV81" s="4">
        <v>0</v>
      </c>
      <c r="AW81" s="4">
        <v>0</v>
      </c>
      <c r="AX81" s="4">
        <v>866000</v>
      </c>
      <c r="AY81" s="4">
        <v>6370000</v>
      </c>
    </row>
    <row r="82" spans="1:51">
      <c r="A82" s="3" t="s">
        <v>52</v>
      </c>
      <c r="B82" s="3" t="s">
        <v>53</v>
      </c>
      <c r="C82" s="3" t="s">
        <v>54</v>
      </c>
      <c r="D82" s="3" t="s">
        <v>55</v>
      </c>
      <c r="E82" s="3" t="s">
        <v>56</v>
      </c>
      <c r="F82" s="3" t="s">
        <v>57</v>
      </c>
      <c r="G82" s="3" t="s">
        <v>58</v>
      </c>
      <c r="H82" s="3" t="s">
        <v>59</v>
      </c>
      <c r="I82" s="3" t="s">
        <v>60</v>
      </c>
      <c r="J82" s="3" t="s">
        <v>61</v>
      </c>
      <c r="K82" s="3" t="s">
        <v>62</v>
      </c>
      <c r="L82" s="3" t="s">
        <v>63</v>
      </c>
      <c r="M82" s="3" t="s">
        <v>264</v>
      </c>
      <c r="N82" s="3" t="s">
        <v>265</v>
      </c>
      <c r="O82" s="3" t="s">
        <v>266</v>
      </c>
      <c r="P82" s="3" t="s">
        <v>267</v>
      </c>
      <c r="Q82" s="3" t="s">
        <v>268</v>
      </c>
      <c r="R82" s="3" t="s">
        <v>269</v>
      </c>
      <c r="S82" s="3" t="s">
        <v>199</v>
      </c>
      <c r="T82" s="3" t="s">
        <v>270</v>
      </c>
      <c r="U82" s="3" t="s">
        <v>54</v>
      </c>
      <c r="V82" s="3" t="s">
        <v>72</v>
      </c>
      <c r="W82" s="3" t="s">
        <v>73</v>
      </c>
      <c r="X82" s="3" t="s">
        <v>74</v>
      </c>
      <c r="Y82" s="3" t="s">
        <v>78</v>
      </c>
      <c r="Z82" s="3" t="s">
        <v>79</v>
      </c>
      <c r="AA82" s="3" t="s">
        <v>271</v>
      </c>
      <c r="AB82" s="4">
        <v>14079000</v>
      </c>
      <c r="AC82" s="4">
        <v>0</v>
      </c>
      <c r="AD82" s="4">
        <v>0</v>
      </c>
      <c r="AE82" s="4">
        <v>14079000</v>
      </c>
      <c r="AF82" s="4">
        <v>0</v>
      </c>
      <c r="AG82" s="4">
        <v>0</v>
      </c>
      <c r="AH82" s="4">
        <v>0</v>
      </c>
      <c r="AI82" s="4">
        <v>0</v>
      </c>
      <c r="AJ82" s="4">
        <v>0</v>
      </c>
      <c r="AK82" s="4">
        <v>0</v>
      </c>
      <c r="AL82" s="4">
        <v>0</v>
      </c>
      <c r="AM82" s="4">
        <v>0</v>
      </c>
      <c r="AN82" s="4">
        <v>0</v>
      </c>
      <c r="AO82" s="4">
        <v>0</v>
      </c>
      <c r="AP82" s="4">
        <v>0</v>
      </c>
      <c r="AQ82" s="4">
        <v>14079000</v>
      </c>
      <c r="AR82" s="4">
        <v>6737520</v>
      </c>
      <c r="AS82" s="4">
        <v>6737520</v>
      </c>
      <c r="AT82" s="4">
        <v>0</v>
      </c>
      <c r="AU82" s="4">
        <v>0</v>
      </c>
      <c r="AV82" s="4">
        <v>0</v>
      </c>
      <c r="AW82" s="4">
        <v>0</v>
      </c>
      <c r="AX82" s="4">
        <v>7341480</v>
      </c>
      <c r="AY82" s="4">
        <v>7341480</v>
      </c>
    </row>
    <row r="83" spans="1:51">
      <c r="A83" s="3" t="s">
        <v>52</v>
      </c>
      <c r="B83" s="3" t="s">
        <v>53</v>
      </c>
      <c r="C83" s="3" t="s">
        <v>54</v>
      </c>
      <c r="D83" s="3" t="s">
        <v>55</v>
      </c>
      <c r="E83" s="3" t="s">
        <v>56</v>
      </c>
      <c r="F83" s="3" t="s">
        <v>57</v>
      </c>
      <c r="G83" s="3" t="s">
        <v>58</v>
      </c>
      <c r="H83" s="3" t="s">
        <v>59</v>
      </c>
      <c r="I83" s="3" t="s">
        <v>60</v>
      </c>
      <c r="J83" s="3" t="s">
        <v>61</v>
      </c>
      <c r="K83" s="3" t="s">
        <v>62</v>
      </c>
      <c r="L83" s="3" t="s">
        <v>63</v>
      </c>
      <c r="M83" s="3" t="s">
        <v>264</v>
      </c>
      <c r="N83" s="3" t="s">
        <v>265</v>
      </c>
      <c r="O83" s="3" t="s">
        <v>266</v>
      </c>
      <c r="P83" s="3" t="s">
        <v>267</v>
      </c>
      <c r="Q83" s="3" t="s">
        <v>268</v>
      </c>
      <c r="R83" s="3" t="s">
        <v>269</v>
      </c>
      <c r="S83" s="3" t="s">
        <v>199</v>
      </c>
      <c r="T83" s="3" t="s">
        <v>270</v>
      </c>
      <c r="U83" s="3" t="s">
        <v>54</v>
      </c>
      <c r="V83" s="3" t="s">
        <v>72</v>
      </c>
      <c r="W83" s="3" t="s">
        <v>94</v>
      </c>
      <c r="X83" s="3" t="s">
        <v>95</v>
      </c>
      <c r="Y83" s="3" t="s">
        <v>272</v>
      </c>
      <c r="Z83" s="3" t="s">
        <v>273</v>
      </c>
      <c r="AA83" s="3" t="s">
        <v>274</v>
      </c>
      <c r="AB83" s="4">
        <v>3000000</v>
      </c>
      <c r="AC83" s="4">
        <v>0</v>
      </c>
      <c r="AD83" s="4">
        <v>0</v>
      </c>
      <c r="AE83" s="4">
        <v>3000000</v>
      </c>
      <c r="AF83" s="4">
        <v>0</v>
      </c>
      <c r="AG83" s="4">
        <v>0</v>
      </c>
      <c r="AH83" s="4">
        <v>0</v>
      </c>
      <c r="AI83" s="4">
        <v>0</v>
      </c>
      <c r="AJ83" s="4">
        <v>0</v>
      </c>
      <c r="AK83" s="4">
        <v>0</v>
      </c>
      <c r="AL83" s="4">
        <v>0</v>
      </c>
      <c r="AM83" s="4">
        <v>0</v>
      </c>
      <c r="AN83" s="4">
        <v>0</v>
      </c>
      <c r="AO83" s="4">
        <v>0</v>
      </c>
      <c r="AP83" s="4">
        <v>0</v>
      </c>
      <c r="AQ83" s="4">
        <v>3000000</v>
      </c>
      <c r="AR83" s="4">
        <v>1072410</v>
      </c>
      <c r="AS83" s="4">
        <v>1072410</v>
      </c>
      <c r="AT83" s="4">
        <v>0</v>
      </c>
      <c r="AU83" s="4">
        <v>0</v>
      </c>
      <c r="AV83" s="4">
        <v>0</v>
      </c>
      <c r="AW83" s="4">
        <v>0</v>
      </c>
      <c r="AX83" s="4">
        <v>1927590</v>
      </c>
      <c r="AY83" s="4">
        <v>1927590</v>
      </c>
    </row>
    <row r="84" spans="1:51">
      <c r="A84" s="3" t="s">
        <v>52</v>
      </c>
      <c r="B84" s="3" t="s">
        <v>53</v>
      </c>
      <c r="C84" s="3" t="s">
        <v>54</v>
      </c>
      <c r="D84" s="3" t="s">
        <v>55</v>
      </c>
      <c r="E84" s="3" t="s">
        <v>56</v>
      </c>
      <c r="F84" s="3" t="s">
        <v>57</v>
      </c>
      <c r="G84" s="3" t="s">
        <v>58</v>
      </c>
      <c r="H84" s="3" t="s">
        <v>59</v>
      </c>
      <c r="I84" s="3" t="s">
        <v>60</v>
      </c>
      <c r="J84" s="3" t="s">
        <v>61</v>
      </c>
      <c r="K84" s="3" t="s">
        <v>62</v>
      </c>
      <c r="L84" s="3" t="s">
        <v>63</v>
      </c>
      <c r="M84" s="3" t="s">
        <v>264</v>
      </c>
      <c r="N84" s="3" t="s">
        <v>265</v>
      </c>
      <c r="O84" s="3" t="s">
        <v>266</v>
      </c>
      <c r="P84" s="3" t="s">
        <v>267</v>
      </c>
      <c r="Q84" s="3" t="s">
        <v>268</v>
      </c>
      <c r="R84" s="3" t="s">
        <v>269</v>
      </c>
      <c r="S84" s="3" t="s">
        <v>199</v>
      </c>
      <c r="T84" s="3" t="s">
        <v>270</v>
      </c>
      <c r="U84" s="3" t="s">
        <v>54</v>
      </c>
      <c r="V84" s="3" t="s">
        <v>72</v>
      </c>
      <c r="W84" s="3" t="s">
        <v>94</v>
      </c>
      <c r="X84" s="3" t="s">
        <v>95</v>
      </c>
      <c r="Y84" s="3" t="s">
        <v>272</v>
      </c>
      <c r="Z84" s="3" t="s">
        <v>273</v>
      </c>
      <c r="AA84" s="3" t="s">
        <v>275</v>
      </c>
      <c r="AB84" s="4">
        <v>18000000</v>
      </c>
      <c r="AC84" s="4">
        <v>0</v>
      </c>
      <c r="AD84" s="4">
        <v>0</v>
      </c>
      <c r="AE84" s="4">
        <v>18000000</v>
      </c>
      <c r="AF84" s="4">
        <v>0</v>
      </c>
      <c r="AG84" s="4">
        <v>0</v>
      </c>
      <c r="AH84" s="4">
        <v>0</v>
      </c>
      <c r="AI84" s="4">
        <v>0</v>
      </c>
      <c r="AJ84" s="4">
        <v>0</v>
      </c>
      <c r="AK84" s="4">
        <v>0</v>
      </c>
      <c r="AL84" s="4">
        <v>0</v>
      </c>
      <c r="AM84" s="4">
        <v>0</v>
      </c>
      <c r="AN84" s="4">
        <v>0</v>
      </c>
      <c r="AO84" s="4">
        <v>0</v>
      </c>
      <c r="AP84" s="4">
        <v>0</v>
      </c>
      <c r="AQ84" s="4">
        <v>18000000</v>
      </c>
      <c r="AR84" s="4">
        <v>9368640</v>
      </c>
      <c r="AS84" s="4">
        <v>9368640</v>
      </c>
      <c r="AT84" s="4">
        <v>0</v>
      </c>
      <c r="AU84" s="4">
        <v>0</v>
      </c>
      <c r="AV84" s="4">
        <v>0</v>
      </c>
      <c r="AW84" s="4">
        <v>0</v>
      </c>
      <c r="AX84" s="4">
        <v>8631360</v>
      </c>
      <c r="AY84" s="4">
        <v>8631360</v>
      </c>
    </row>
    <row r="85" spans="1:51">
      <c r="A85" s="3" t="s">
        <v>52</v>
      </c>
      <c r="B85" s="3" t="s">
        <v>53</v>
      </c>
      <c r="C85" s="3" t="s">
        <v>54</v>
      </c>
      <c r="D85" s="3" t="s">
        <v>55</v>
      </c>
      <c r="E85" s="3" t="s">
        <v>56</v>
      </c>
      <c r="F85" s="3" t="s">
        <v>57</v>
      </c>
      <c r="G85" s="3" t="s">
        <v>58</v>
      </c>
      <c r="H85" s="3" t="s">
        <v>59</v>
      </c>
      <c r="I85" s="3" t="s">
        <v>60</v>
      </c>
      <c r="J85" s="3" t="s">
        <v>61</v>
      </c>
      <c r="K85" s="3" t="s">
        <v>62</v>
      </c>
      <c r="L85" s="3" t="s">
        <v>63</v>
      </c>
      <c r="M85" s="3" t="s">
        <v>264</v>
      </c>
      <c r="N85" s="3" t="s">
        <v>265</v>
      </c>
      <c r="O85" s="3" t="s">
        <v>266</v>
      </c>
      <c r="P85" s="3" t="s">
        <v>267</v>
      </c>
      <c r="Q85" s="3" t="s">
        <v>268</v>
      </c>
      <c r="R85" s="3" t="s">
        <v>269</v>
      </c>
      <c r="S85" s="3" t="s">
        <v>199</v>
      </c>
      <c r="T85" s="3" t="s">
        <v>270</v>
      </c>
      <c r="U85" s="3" t="s">
        <v>54</v>
      </c>
      <c r="V85" s="3" t="s">
        <v>72</v>
      </c>
      <c r="W85" s="3" t="s">
        <v>94</v>
      </c>
      <c r="X85" s="3" t="s">
        <v>95</v>
      </c>
      <c r="Y85" s="3" t="s">
        <v>272</v>
      </c>
      <c r="Z85" s="3" t="s">
        <v>273</v>
      </c>
      <c r="AA85" s="3" t="s">
        <v>276</v>
      </c>
      <c r="AB85" s="4">
        <v>3000000</v>
      </c>
      <c r="AC85" s="4">
        <v>0</v>
      </c>
      <c r="AD85" s="4">
        <v>0</v>
      </c>
      <c r="AE85" s="4">
        <v>3000000</v>
      </c>
      <c r="AF85" s="4">
        <v>0</v>
      </c>
      <c r="AG85" s="4">
        <v>0</v>
      </c>
      <c r="AH85" s="4">
        <v>0</v>
      </c>
      <c r="AI85" s="4">
        <v>0</v>
      </c>
      <c r="AJ85" s="4">
        <v>0</v>
      </c>
      <c r="AK85" s="4">
        <v>0</v>
      </c>
      <c r="AL85" s="4">
        <v>0</v>
      </c>
      <c r="AM85" s="4">
        <v>0</v>
      </c>
      <c r="AN85" s="4">
        <v>0</v>
      </c>
      <c r="AO85" s="4">
        <v>0</v>
      </c>
      <c r="AP85" s="4">
        <v>0</v>
      </c>
      <c r="AQ85" s="4">
        <v>3000000</v>
      </c>
      <c r="AR85" s="4">
        <v>2780880</v>
      </c>
      <c r="AS85" s="4">
        <v>2780880</v>
      </c>
      <c r="AT85" s="4">
        <v>0</v>
      </c>
      <c r="AU85" s="4">
        <v>0</v>
      </c>
      <c r="AV85" s="4">
        <v>0</v>
      </c>
      <c r="AW85" s="4">
        <v>0</v>
      </c>
      <c r="AX85" s="4">
        <v>219120</v>
      </c>
      <c r="AY85" s="4">
        <v>219120</v>
      </c>
    </row>
    <row r="86" spans="1:51">
      <c r="A86" s="3" t="s">
        <v>52</v>
      </c>
      <c r="B86" s="3" t="s">
        <v>53</v>
      </c>
      <c r="C86" s="3" t="s">
        <v>54</v>
      </c>
      <c r="D86" s="3" t="s">
        <v>55</v>
      </c>
      <c r="E86" s="3" t="s">
        <v>56</v>
      </c>
      <c r="F86" s="3" t="s">
        <v>57</v>
      </c>
      <c r="G86" s="3" t="s">
        <v>58</v>
      </c>
      <c r="H86" s="3" t="s">
        <v>59</v>
      </c>
      <c r="I86" s="3" t="s">
        <v>60</v>
      </c>
      <c r="J86" s="3" t="s">
        <v>61</v>
      </c>
      <c r="K86" s="3" t="s">
        <v>62</v>
      </c>
      <c r="L86" s="3" t="s">
        <v>63</v>
      </c>
      <c r="M86" s="3" t="s">
        <v>264</v>
      </c>
      <c r="N86" s="3" t="s">
        <v>265</v>
      </c>
      <c r="O86" s="3" t="s">
        <v>266</v>
      </c>
      <c r="P86" s="3" t="s">
        <v>267</v>
      </c>
      <c r="Q86" s="3" t="s">
        <v>268</v>
      </c>
      <c r="R86" s="3" t="s">
        <v>269</v>
      </c>
      <c r="S86" s="3" t="s">
        <v>159</v>
      </c>
      <c r="T86" s="3" t="s">
        <v>277</v>
      </c>
      <c r="U86" s="3" t="s">
        <v>54</v>
      </c>
      <c r="V86" s="3" t="s">
        <v>72</v>
      </c>
      <c r="W86" s="3" t="s">
        <v>73</v>
      </c>
      <c r="X86" s="3" t="s">
        <v>74</v>
      </c>
      <c r="Y86" s="3" t="s">
        <v>78</v>
      </c>
      <c r="Z86" s="3" t="s">
        <v>79</v>
      </c>
      <c r="AA86" s="3" t="s">
        <v>278</v>
      </c>
      <c r="AB86" s="4">
        <v>0</v>
      </c>
      <c r="AC86" s="4">
        <v>2625000</v>
      </c>
      <c r="AD86" s="4">
        <v>0</v>
      </c>
      <c r="AE86" s="4">
        <v>2625000</v>
      </c>
      <c r="AF86" s="4">
        <v>0</v>
      </c>
      <c r="AG86" s="4">
        <v>0</v>
      </c>
      <c r="AH86" s="4">
        <v>0</v>
      </c>
      <c r="AI86" s="4">
        <v>0</v>
      </c>
      <c r="AJ86" s="4">
        <v>0</v>
      </c>
      <c r="AK86" s="4">
        <v>0</v>
      </c>
      <c r="AL86" s="4">
        <v>0</v>
      </c>
      <c r="AM86" s="4">
        <v>0</v>
      </c>
      <c r="AN86" s="4">
        <v>0</v>
      </c>
      <c r="AO86" s="4">
        <v>0</v>
      </c>
      <c r="AP86" s="4">
        <v>0</v>
      </c>
      <c r="AQ86" s="4">
        <v>2625000</v>
      </c>
      <c r="AR86" s="4">
        <v>0</v>
      </c>
      <c r="AS86" s="4">
        <v>0</v>
      </c>
      <c r="AT86" s="4">
        <v>0</v>
      </c>
      <c r="AU86" s="4">
        <v>0</v>
      </c>
      <c r="AV86" s="4">
        <v>0</v>
      </c>
      <c r="AW86" s="4">
        <v>0</v>
      </c>
      <c r="AX86" s="4">
        <v>2625000</v>
      </c>
      <c r="AY86" s="4">
        <v>2625000</v>
      </c>
    </row>
    <row r="87" spans="1:51">
      <c r="A87" s="3" t="s">
        <v>52</v>
      </c>
      <c r="B87" s="3" t="s">
        <v>53</v>
      </c>
      <c r="C87" s="3" t="s">
        <v>54</v>
      </c>
      <c r="D87" s="3" t="s">
        <v>55</v>
      </c>
      <c r="E87" s="3" t="s">
        <v>56</v>
      </c>
      <c r="F87" s="3" t="s">
        <v>57</v>
      </c>
      <c r="G87" s="3" t="s">
        <v>58</v>
      </c>
      <c r="H87" s="3" t="s">
        <v>59</v>
      </c>
      <c r="I87" s="3" t="s">
        <v>60</v>
      </c>
      <c r="J87" s="3" t="s">
        <v>61</v>
      </c>
      <c r="K87" s="3" t="s">
        <v>62</v>
      </c>
      <c r="L87" s="3" t="s">
        <v>63</v>
      </c>
      <c r="M87" s="3" t="s">
        <v>264</v>
      </c>
      <c r="N87" s="3" t="s">
        <v>265</v>
      </c>
      <c r="O87" s="3" t="s">
        <v>266</v>
      </c>
      <c r="P87" s="3" t="s">
        <v>267</v>
      </c>
      <c r="Q87" s="3" t="s">
        <v>268</v>
      </c>
      <c r="R87" s="3" t="s">
        <v>269</v>
      </c>
      <c r="S87" s="3" t="s">
        <v>159</v>
      </c>
      <c r="T87" s="3" t="s">
        <v>277</v>
      </c>
      <c r="U87" s="3" t="s">
        <v>54</v>
      </c>
      <c r="V87" s="3" t="s">
        <v>72</v>
      </c>
      <c r="W87" s="3" t="s">
        <v>73</v>
      </c>
      <c r="X87" s="3" t="s">
        <v>74</v>
      </c>
      <c r="Y87" s="3" t="s">
        <v>78</v>
      </c>
      <c r="Z87" s="3" t="s">
        <v>79</v>
      </c>
      <c r="AA87" s="3" t="s">
        <v>279</v>
      </c>
      <c r="AB87" s="4">
        <v>0</v>
      </c>
      <c r="AC87" s="4">
        <v>2100000</v>
      </c>
      <c r="AD87" s="4">
        <v>0</v>
      </c>
      <c r="AE87" s="4">
        <v>2100000</v>
      </c>
      <c r="AF87" s="4">
        <v>0</v>
      </c>
      <c r="AG87" s="4">
        <v>0</v>
      </c>
      <c r="AH87" s="4">
        <v>0</v>
      </c>
      <c r="AI87" s="4">
        <v>0</v>
      </c>
      <c r="AJ87" s="4">
        <v>0</v>
      </c>
      <c r="AK87" s="4">
        <v>0</v>
      </c>
      <c r="AL87" s="4">
        <v>0</v>
      </c>
      <c r="AM87" s="4">
        <v>0</v>
      </c>
      <c r="AN87" s="4">
        <v>0</v>
      </c>
      <c r="AO87" s="4">
        <v>0</v>
      </c>
      <c r="AP87" s="4">
        <v>0</v>
      </c>
      <c r="AQ87" s="4">
        <v>2100000</v>
      </c>
      <c r="AR87" s="4">
        <v>1575000</v>
      </c>
      <c r="AS87" s="4">
        <v>1575000</v>
      </c>
      <c r="AT87" s="4">
        <v>0</v>
      </c>
      <c r="AU87" s="4">
        <v>0</v>
      </c>
      <c r="AV87" s="4">
        <v>0</v>
      </c>
      <c r="AW87" s="4">
        <v>0</v>
      </c>
      <c r="AX87" s="4">
        <v>525000</v>
      </c>
      <c r="AY87" s="4">
        <v>525000</v>
      </c>
    </row>
    <row r="88" spans="1:51">
      <c r="A88" s="3" t="s">
        <v>52</v>
      </c>
      <c r="B88" s="3" t="s">
        <v>53</v>
      </c>
      <c r="C88" s="3" t="s">
        <v>54</v>
      </c>
      <c r="D88" s="3" t="s">
        <v>55</v>
      </c>
      <c r="E88" s="3" t="s">
        <v>56</v>
      </c>
      <c r="F88" s="3" t="s">
        <v>57</v>
      </c>
      <c r="G88" s="3" t="s">
        <v>58</v>
      </c>
      <c r="H88" s="3" t="s">
        <v>59</v>
      </c>
      <c r="I88" s="3" t="s">
        <v>60</v>
      </c>
      <c r="J88" s="3" t="s">
        <v>61</v>
      </c>
      <c r="K88" s="3" t="s">
        <v>62</v>
      </c>
      <c r="L88" s="3" t="s">
        <v>63</v>
      </c>
      <c r="M88" s="3" t="s">
        <v>264</v>
      </c>
      <c r="N88" s="3" t="s">
        <v>265</v>
      </c>
      <c r="O88" s="3" t="s">
        <v>266</v>
      </c>
      <c r="P88" s="3" t="s">
        <v>267</v>
      </c>
      <c r="Q88" s="3" t="s">
        <v>268</v>
      </c>
      <c r="R88" s="3" t="s">
        <v>269</v>
      </c>
      <c r="S88" s="3" t="s">
        <v>159</v>
      </c>
      <c r="T88" s="3" t="s">
        <v>277</v>
      </c>
      <c r="U88" s="3" t="s">
        <v>54</v>
      </c>
      <c r="V88" s="3" t="s">
        <v>72</v>
      </c>
      <c r="W88" s="3" t="s">
        <v>94</v>
      </c>
      <c r="X88" s="3" t="s">
        <v>95</v>
      </c>
      <c r="Y88" s="3" t="s">
        <v>96</v>
      </c>
      <c r="Z88" s="3" t="s">
        <v>95</v>
      </c>
      <c r="AA88" s="3" t="s">
        <v>280</v>
      </c>
      <c r="AB88" s="4">
        <v>2050000</v>
      </c>
      <c r="AC88" s="4">
        <v>-410000</v>
      </c>
      <c r="AD88" s="4">
        <v>0</v>
      </c>
      <c r="AE88" s="4">
        <v>1640000</v>
      </c>
      <c r="AF88" s="4">
        <v>0</v>
      </c>
      <c r="AG88" s="4">
        <v>0</v>
      </c>
      <c r="AH88" s="4">
        <v>0</v>
      </c>
      <c r="AI88" s="4">
        <v>0</v>
      </c>
      <c r="AJ88" s="4">
        <v>0</v>
      </c>
      <c r="AK88" s="4">
        <v>0</v>
      </c>
      <c r="AL88" s="4">
        <v>0</v>
      </c>
      <c r="AM88" s="4">
        <v>0</v>
      </c>
      <c r="AN88" s="4">
        <v>0</v>
      </c>
      <c r="AO88" s="4">
        <v>0</v>
      </c>
      <c r="AP88" s="4">
        <v>0</v>
      </c>
      <c r="AQ88" s="4">
        <v>1640000</v>
      </c>
      <c r="AR88" s="4">
        <v>1564670</v>
      </c>
      <c r="AS88" s="4">
        <v>1564670</v>
      </c>
      <c r="AT88" s="4">
        <v>0</v>
      </c>
      <c r="AU88" s="4">
        <v>0</v>
      </c>
      <c r="AV88" s="4">
        <v>0</v>
      </c>
      <c r="AW88" s="4">
        <v>0</v>
      </c>
      <c r="AX88" s="4">
        <v>75330</v>
      </c>
      <c r="AY88" s="4">
        <v>75330</v>
      </c>
    </row>
    <row r="89" spans="1:51">
      <c r="A89" s="3" t="s">
        <v>52</v>
      </c>
      <c r="B89" s="3" t="s">
        <v>53</v>
      </c>
      <c r="C89" s="3" t="s">
        <v>54</v>
      </c>
      <c r="D89" s="3" t="s">
        <v>55</v>
      </c>
      <c r="E89" s="3" t="s">
        <v>56</v>
      </c>
      <c r="F89" s="3" t="s">
        <v>57</v>
      </c>
      <c r="G89" s="3" t="s">
        <v>58</v>
      </c>
      <c r="H89" s="3" t="s">
        <v>59</v>
      </c>
      <c r="I89" s="3" t="s">
        <v>60</v>
      </c>
      <c r="J89" s="3" t="s">
        <v>61</v>
      </c>
      <c r="K89" s="3" t="s">
        <v>62</v>
      </c>
      <c r="L89" s="3" t="s">
        <v>63</v>
      </c>
      <c r="M89" s="3" t="s">
        <v>264</v>
      </c>
      <c r="N89" s="3" t="s">
        <v>265</v>
      </c>
      <c r="O89" s="3" t="s">
        <v>266</v>
      </c>
      <c r="P89" s="3" t="s">
        <v>267</v>
      </c>
      <c r="Q89" s="3" t="s">
        <v>268</v>
      </c>
      <c r="R89" s="3" t="s">
        <v>269</v>
      </c>
      <c r="S89" s="3" t="s">
        <v>159</v>
      </c>
      <c r="T89" s="3" t="s">
        <v>277</v>
      </c>
      <c r="U89" s="3" t="s">
        <v>54</v>
      </c>
      <c r="V89" s="3" t="s">
        <v>72</v>
      </c>
      <c r="W89" s="3" t="s">
        <v>94</v>
      </c>
      <c r="X89" s="3" t="s">
        <v>95</v>
      </c>
      <c r="Y89" s="3" t="s">
        <v>96</v>
      </c>
      <c r="Z89" s="3" t="s">
        <v>95</v>
      </c>
      <c r="AA89" s="3" t="s">
        <v>281</v>
      </c>
      <c r="AB89" s="4">
        <v>2050000</v>
      </c>
      <c r="AC89" s="4">
        <v>0</v>
      </c>
      <c r="AD89" s="4">
        <v>0</v>
      </c>
      <c r="AE89" s="4">
        <v>2050000</v>
      </c>
      <c r="AF89" s="4">
        <v>0</v>
      </c>
      <c r="AG89" s="4">
        <v>0</v>
      </c>
      <c r="AH89" s="4">
        <v>0</v>
      </c>
      <c r="AI89" s="4">
        <v>0</v>
      </c>
      <c r="AJ89" s="4">
        <v>0</v>
      </c>
      <c r="AK89" s="4">
        <v>0</v>
      </c>
      <c r="AL89" s="4">
        <v>0</v>
      </c>
      <c r="AM89" s="4">
        <v>0</v>
      </c>
      <c r="AN89" s="4">
        <v>0</v>
      </c>
      <c r="AO89" s="4">
        <v>0</v>
      </c>
      <c r="AP89" s="4">
        <v>0</v>
      </c>
      <c r="AQ89" s="4">
        <v>2050000</v>
      </c>
      <c r="AR89" s="4">
        <v>1293490</v>
      </c>
      <c r="AS89" s="4">
        <v>1293490</v>
      </c>
      <c r="AT89" s="4">
        <v>0</v>
      </c>
      <c r="AU89" s="4">
        <v>0</v>
      </c>
      <c r="AV89" s="4">
        <v>0</v>
      </c>
      <c r="AW89" s="4">
        <v>0</v>
      </c>
      <c r="AX89" s="4">
        <v>756510</v>
      </c>
      <c r="AY89" s="4">
        <v>756510</v>
      </c>
    </row>
    <row r="90" spans="1:51">
      <c r="A90" s="3" t="s">
        <v>52</v>
      </c>
      <c r="B90" s="3" t="s">
        <v>53</v>
      </c>
      <c r="C90" s="3" t="s">
        <v>54</v>
      </c>
      <c r="D90" s="3" t="s">
        <v>55</v>
      </c>
      <c r="E90" s="3" t="s">
        <v>56</v>
      </c>
      <c r="F90" s="3" t="s">
        <v>57</v>
      </c>
      <c r="G90" s="3" t="s">
        <v>58</v>
      </c>
      <c r="H90" s="3" t="s">
        <v>59</v>
      </c>
      <c r="I90" s="3" t="s">
        <v>60</v>
      </c>
      <c r="J90" s="3" t="s">
        <v>61</v>
      </c>
      <c r="K90" s="3" t="s">
        <v>62</v>
      </c>
      <c r="L90" s="3" t="s">
        <v>63</v>
      </c>
      <c r="M90" s="3" t="s">
        <v>264</v>
      </c>
      <c r="N90" s="3" t="s">
        <v>265</v>
      </c>
      <c r="O90" s="3" t="s">
        <v>266</v>
      </c>
      <c r="P90" s="3" t="s">
        <v>267</v>
      </c>
      <c r="Q90" s="3" t="s">
        <v>268</v>
      </c>
      <c r="R90" s="3" t="s">
        <v>269</v>
      </c>
      <c r="S90" s="3" t="s">
        <v>159</v>
      </c>
      <c r="T90" s="3" t="s">
        <v>277</v>
      </c>
      <c r="U90" s="3" t="s">
        <v>54</v>
      </c>
      <c r="V90" s="3" t="s">
        <v>72</v>
      </c>
      <c r="W90" s="3" t="s">
        <v>94</v>
      </c>
      <c r="X90" s="3" t="s">
        <v>95</v>
      </c>
      <c r="Y90" s="3" t="s">
        <v>96</v>
      </c>
      <c r="Z90" s="3" t="s">
        <v>95</v>
      </c>
      <c r="AA90" s="3" t="s">
        <v>282</v>
      </c>
      <c r="AB90" s="4">
        <v>1640000</v>
      </c>
      <c r="AC90" s="4">
        <v>0</v>
      </c>
      <c r="AD90" s="4">
        <v>0</v>
      </c>
      <c r="AE90" s="4">
        <v>1640000</v>
      </c>
      <c r="AF90" s="4">
        <v>0</v>
      </c>
      <c r="AG90" s="4">
        <v>0</v>
      </c>
      <c r="AH90" s="4">
        <v>0</v>
      </c>
      <c r="AI90" s="4">
        <v>0</v>
      </c>
      <c r="AJ90" s="4">
        <v>0</v>
      </c>
      <c r="AK90" s="4">
        <v>0</v>
      </c>
      <c r="AL90" s="4">
        <v>0</v>
      </c>
      <c r="AM90" s="4">
        <v>0</v>
      </c>
      <c r="AN90" s="4">
        <v>0</v>
      </c>
      <c r="AO90" s="4">
        <v>0</v>
      </c>
      <c r="AP90" s="4">
        <v>0</v>
      </c>
      <c r="AQ90" s="4">
        <v>1640000</v>
      </c>
      <c r="AR90" s="4">
        <v>0</v>
      </c>
      <c r="AS90" s="4">
        <v>0</v>
      </c>
      <c r="AT90" s="4">
        <v>0</v>
      </c>
      <c r="AU90" s="4">
        <v>0</v>
      </c>
      <c r="AV90" s="4">
        <v>0</v>
      </c>
      <c r="AW90" s="4">
        <v>0</v>
      </c>
      <c r="AX90" s="4">
        <v>1640000</v>
      </c>
      <c r="AY90" s="4">
        <v>1640000</v>
      </c>
    </row>
    <row r="91" spans="1:51">
      <c r="A91" s="3" t="s">
        <v>52</v>
      </c>
      <c r="B91" s="3" t="s">
        <v>53</v>
      </c>
      <c r="C91" s="3" t="s">
        <v>54</v>
      </c>
      <c r="D91" s="3" t="s">
        <v>55</v>
      </c>
      <c r="E91" s="3" t="s">
        <v>56</v>
      </c>
      <c r="F91" s="3" t="s">
        <v>57</v>
      </c>
      <c r="G91" s="3" t="s">
        <v>58</v>
      </c>
      <c r="H91" s="3" t="s">
        <v>59</v>
      </c>
      <c r="I91" s="3" t="s">
        <v>60</v>
      </c>
      <c r="J91" s="3" t="s">
        <v>61</v>
      </c>
      <c r="K91" s="3" t="s">
        <v>62</v>
      </c>
      <c r="L91" s="3" t="s">
        <v>63</v>
      </c>
      <c r="M91" s="3" t="s">
        <v>264</v>
      </c>
      <c r="N91" s="3" t="s">
        <v>265</v>
      </c>
      <c r="O91" s="3" t="s">
        <v>266</v>
      </c>
      <c r="P91" s="3" t="s">
        <v>267</v>
      </c>
      <c r="Q91" s="3" t="s">
        <v>268</v>
      </c>
      <c r="R91" s="3" t="s">
        <v>269</v>
      </c>
      <c r="S91" s="3" t="s">
        <v>159</v>
      </c>
      <c r="T91" s="3" t="s">
        <v>277</v>
      </c>
      <c r="U91" s="3" t="s">
        <v>54</v>
      </c>
      <c r="V91" s="3" t="s">
        <v>72</v>
      </c>
      <c r="W91" s="3" t="s">
        <v>94</v>
      </c>
      <c r="X91" s="3" t="s">
        <v>95</v>
      </c>
      <c r="Y91" s="3" t="s">
        <v>96</v>
      </c>
      <c r="Z91" s="3" t="s">
        <v>95</v>
      </c>
      <c r="AA91" s="3" t="s">
        <v>283</v>
      </c>
      <c r="AB91" s="4">
        <v>2050000</v>
      </c>
      <c r="AC91" s="4">
        <v>0</v>
      </c>
      <c r="AD91" s="4">
        <v>0</v>
      </c>
      <c r="AE91" s="4">
        <v>2050000</v>
      </c>
      <c r="AF91" s="4">
        <v>0</v>
      </c>
      <c r="AG91" s="4">
        <v>0</v>
      </c>
      <c r="AH91" s="4">
        <v>0</v>
      </c>
      <c r="AI91" s="4">
        <v>0</v>
      </c>
      <c r="AJ91" s="4">
        <v>0</v>
      </c>
      <c r="AK91" s="4">
        <v>0</v>
      </c>
      <c r="AL91" s="4">
        <v>0</v>
      </c>
      <c r="AM91" s="4">
        <v>0</v>
      </c>
      <c r="AN91" s="4">
        <v>0</v>
      </c>
      <c r="AO91" s="4">
        <v>0</v>
      </c>
      <c r="AP91" s="4">
        <v>0</v>
      </c>
      <c r="AQ91" s="4">
        <v>2050000</v>
      </c>
      <c r="AR91" s="4">
        <v>529200</v>
      </c>
      <c r="AS91" s="4">
        <v>529200</v>
      </c>
      <c r="AT91" s="4">
        <v>0</v>
      </c>
      <c r="AU91" s="4">
        <v>0</v>
      </c>
      <c r="AV91" s="4">
        <v>0</v>
      </c>
      <c r="AW91" s="4">
        <v>0</v>
      </c>
      <c r="AX91" s="4">
        <v>1520800</v>
      </c>
      <c r="AY91" s="4">
        <v>1520800</v>
      </c>
    </row>
    <row r="92" spans="1:51">
      <c r="A92" s="3" t="s">
        <v>52</v>
      </c>
      <c r="B92" s="3" t="s">
        <v>53</v>
      </c>
      <c r="C92" s="3" t="s">
        <v>54</v>
      </c>
      <c r="D92" s="3" t="s">
        <v>55</v>
      </c>
      <c r="E92" s="3" t="s">
        <v>56</v>
      </c>
      <c r="F92" s="3" t="s">
        <v>57</v>
      </c>
      <c r="G92" s="3" t="s">
        <v>58</v>
      </c>
      <c r="H92" s="3" t="s">
        <v>59</v>
      </c>
      <c r="I92" s="3" t="s">
        <v>60</v>
      </c>
      <c r="J92" s="3" t="s">
        <v>61</v>
      </c>
      <c r="K92" s="3" t="s">
        <v>62</v>
      </c>
      <c r="L92" s="3" t="s">
        <v>63</v>
      </c>
      <c r="M92" s="3" t="s">
        <v>264</v>
      </c>
      <c r="N92" s="3" t="s">
        <v>265</v>
      </c>
      <c r="O92" s="3" t="s">
        <v>266</v>
      </c>
      <c r="P92" s="3" t="s">
        <v>267</v>
      </c>
      <c r="Q92" s="3" t="s">
        <v>268</v>
      </c>
      <c r="R92" s="3" t="s">
        <v>269</v>
      </c>
      <c r="S92" s="3" t="s">
        <v>159</v>
      </c>
      <c r="T92" s="3" t="s">
        <v>277</v>
      </c>
      <c r="U92" s="3" t="s">
        <v>54</v>
      </c>
      <c r="V92" s="3" t="s">
        <v>72</v>
      </c>
      <c r="W92" s="3" t="s">
        <v>94</v>
      </c>
      <c r="X92" s="3" t="s">
        <v>95</v>
      </c>
      <c r="Y92" s="3" t="s">
        <v>96</v>
      </c>
      <c r="Z92" s="3" t="s">
        <v>95</v>
      </c>
      <c r="AA92" s="3" t="s">
        <v>284</v>
      </c>
      <c r="AB92" s="4">
        <v>2050000</v>
      </c>
      <c r="AC92" s="4">
        <v>0</v>
      </c>
      <c r="AD92" s="4">
        <v>0</v>
      </c>
      <c r="AE92" s="4">
        <v>2050000</v>
      </c>
      <c r="AF92" s="4">
        <v>0</v>
      </c>
      <c r="AG92" s="4">
        <v>0</v>
      </c>
      <c r="AH92" s="4">
        <v>0</v>
      </c>
      <c r="AI92" s="4">
        <v>0</v>
      </c>
      <c r="AJ92" s="4">
        <v>0</v>
      </c>
      <c r="AK92" s="4">
        <v>0</v>
      </c>
      <c r="AL92" s="4">
        <v>0</v>
      </c>
      <c r="AM92" s="4">
        <v>0</v>
      </c>
      <c r="AN92" s="4">
        <v>0</v>
      </c>
      <c r="AO92" s="4">
        <v>0</v>
      </c>
      <c r="AP92" s="4">
        <v>0</v>
      </c>
      <c r="AQ92" s="4">
        <v>2050000</v>
      </c>
      <c r="AR92" s="4">
        <v>0</v>
      </c>
      <c r="AS92" s="4">
        <v>0</v>
      </c>
      <c r="AT92" s="4">
        <v>0</v>
      </c>
      <c r="AU92" s="4">
        <v>0</v>
      </c>
      <c r="AV92" s="4">
        <v>0</v>
      </c>
      <c r="AW92" s="4">
        <v>0</v>
      </c>
      <c r="AX92" s="4">
        <v>2050000</v>
      </c>
      <c r="AY92" s="4">
        <v>2050000</v>
      </c>
    </row>
    <row r="93" spans="1:51">
      <c r="A93" s="3" t="s">
        <v>52</v>
      </c>
      <c r="B93" s="3" t="s">
        <v>53</v>
      </c>
      <c r="C93" s="3" t="s">
        <v>54</v>
      </c>
      <c r="D93" s="3" t="s">
        <v>55</v>
      </c>
      <c r="E93" s="3" t="s">
        <v>56</v>
      </c>
      <c r="F93" s="3" t="s">
        <v>57</v>
      </c>
      <c r="G93" s="3" t="s">
        <v>58</v>
      </c>
      <c r="H93" s="3" t="s">
        <v>59</v>
      </c>
      <c r="I93" s="3" t="s">
        <v>60</v>
      </c>
      <c r="J93" s="3" t="s">
        <v>61</v>
      </c>
      <c r="K93" s="3" t="s">
        <v>62</v>
      </c>
      <c r="L93" s="3" t="s">
        <v>63</v>
      </c>
      <c r="M93" s="3" t="s">
        <v>264</v>
      </c>
      <c r="N93" s="3" t="s">
        <v>265</v>
      </c>
      <c r="O93" s="3" t="s">
        <v>266</v>
      </c>
      <c r="P93" s="3" t="s">
        <v>267</v>
      </c>
      <c r="Q93" s="3" t="s">
        <v>268</v>
      </c>
      <c r="R93" s="3" t="s">
        <v>269</v>
      </c>
      <c r="S93" s="3" t="s">
        <v>159</v>
      </c>
      <c r="T93" s="3" t="s">
        <v>277</v>
      </c>
      <c r="U93" s="3" t="s">
        <v>54</v>
      </c>
      <c r="V93" s="3" t="s">
        <v>72</v>
      </c>
      <c r="W93" s="3" t="s">
        <v>94</v>
      </c>
      <c r="X93" s="3" t="s">
        <v>95</v>
      </c>
      <c r="Y93" s="3" t="s">
        <v>96</v>
      </c>
      <c r="Z93" s="3" t="s">
        <v>95</v>
      </c>
      <c r="AA93" s="3" t="s">
        <v>285</v>
      </c>
      <c r="AB93" s="4">
        <v>1640000</v>
      </c>
      <c r="AC93" s="4">
        <v>0</v>
      </c>
      <c r="AD93" s="4">
        <v>0</v>
      </c>
      <c r="AE93" s="4">
        <v>1640000</v>
      </c>
      <c r="AF93" s="4">
        <v>0</v>
      </c>
      <c r="AG93" s="4">
        <v>0</v>
      </c>
      <c r="AH93" s="4">
        <v>0</v>
      </c>
      <c r="AI93" s="4">
        <v>0</v>
      </c>
      <c r="AJ93" s="4">
        <v>0</v>
      </c>
      <c r="AK93" s="4">
        <v>0</v>
      </c>
      <c r="AL93" s="4">
        <v>0</v>
      </c>
      <c r="AM93" s="4">
        <v>0</v>
      </c>
      <c r="AN93" s="4">
        <v>0</v>
      </c>
      <c r="AO93" s="4">
        <v>0</v>
      </c>
      <c r="AP93" s="4">
        <v>0</v>
      </c>
      <c r="AQ93" s="4">
        <v>1640000</v>
      </c>
      <c r="AR93" s="4">
        <v>77570</v>
      </c>
      <c r="AS93" s="4">
        <v>77570</v>
      </c>
      <c r="AT93" s="4">
        <v>0</v>
      </c>
      <c r="AU93" s="4">
        <v>0</v>
      </c>
      <c r="AV93" s="4">
        <v>0</v>
      </c>
      <c r="AW93" s="4">
        <v>0</v>
      </c>
      <c r="AX93" s="4">
        <v>1562430</v>
      </c>
      <c r="AY93" s="4">
        <v>1562430</v>
      </c>
    </row>
    <row r="94" spans="1:51">
      <c r="A94" s="3" t="s">
        <v>52</v>
      </c>
      <c r="B94" s="3" t="s">
        <v>53</v>
      </c>
      <c r="C94" s="3" t="s">
        <v>54</v>
      </c>
      <c r="D94" s="3" t="s">
        <v>55</v>
      </c>
      <c r="E94" s="3" t="s">
        <v>56</v>
      </c>
      <c r="F94" s="3" t="s">
        <v>57</v>
      </c>
      <c r="G94" s="3" t="s">
        <v>58</v>
      </c>
      <c r="H94" s="3" t="s">
        <v>59</v>
      </c>
      <c r="I94" s="3" t="s">
        <v>60</v>
      </c>
      <c r="J94" s="3" t="s">
        <v>61</v>
      </c>
      <c r="K94" s="3" t="s">
        <v>62</v>
      </c>
      <c r="L94" s="3" t="s">
        <v>63</v>
      </c>
      <c r="M94" s="3" t="s">
        <v>264</v>
      </c>
      <c r="N94" s="3" t="s">
        <v>265</v>
      </c>
      <c r="O94" s="3" t="s">
        <v>266</v>
      </c>
      <c r="P94" s="3" t="s">
        <v>267</v>
      </c>
      <c r="Q94" s="3" t="s">
        <v>268</v>
      </c>
      <c r="R94" s="3" t="s">
        <v>269</v>
      </c>
      <c r="S94" s="3" t="s">
        <v>159</v>
      </c>
      <c r="T94" s="3" t="s">
        <v>277</v>
      </c>
      <c r="U94" s="3" t="s">
        <v>54</v>
      </c>
      <c r="V94" s="3" t="s">
        <v>72</v>
      </c>
      <c r="W94" s="3" t="s">
        <v>94</v>
      </c>
      <c r="X94" s="3" t="s">
        <v>95</v>
      </c>
      <c r="Y94" s="3" t="s">
        <v>96</v>
      </c>
      <c r="Z94" s="3" t="s">
        <v>95</v>
      </c>
      <c r="AA94" s="3" t="s">
        <v>286</v>
      </c>
      <c r="AB94" s="4">
        <v>2520000</v>
      </c>
      <c r="AC94" s="4">
        <v>410000</v>
      </c>
      <c r="AD94" s="4">
        <v>0</v>
      </c>
      <c r="AE94" s="4">
        <v>2930000</v>
      </c>
      <c r="AF94" s="4">
        <v>0</v>
      </c>
      <c r="AG94" s="4">
        <v>0</v>
      </c>
      <c r="AH94" s="4">
        <v>0</v>
      </c>
      <c r="AI94" s="4">
        <v>0</v>
      </c>
      <c r="AJ94" s="4">
        <v>0</v>
      </c>
      <c r="AK94" s="4">
        <v>0</v>
      </c>
      <c r="AL94" s="4">
        <v>0</v>
      </c>
      <c r="AM94" s="4">
        <v>0</v>
      </c>
      <c r="AN94" s="4">
        <v>0</v>
      </c>
      <c r="AO94" s="4">
        <v>0</v>
      </c>
      <c r="AP94" s="4">
        <v>0</v>
      </c>
      <c r="AQ94" s="4">
        <v>2930000</v>
      </c>
      <c r="AR94" s="4">
        <v>278780</v>
      </c>
      <c r="AS94" s="4">
        <v>278780</v>
      </c>
      <c r="AT94" s="4">
        <v>0</v>
      </c>
      <c r="AU94" s="4">
        <v>0</v>
      </c>
      <c r="AV94" s="4">
        <v>0</v>
      </c>
      <c r="AW94" s="4">
        <v>0</v>
      </c>
      <c r="AX94" s="4">
        <v>2651220</v>
      </c>
      <c r="AY94" s="4">
        <v>2651220</v>
      </c>
    </row>
    <row r="95" spans="1:51">
      <c r="A95" s="3" t="s">
        <v>52</v>
      </c>
      <c r="B95" s="3" t="s">
        <v>53</v>
      </c>
      <c r="C95" s="3" t="s">
        <v>54</v>
      </c>
      <c r="D95" s="3" t="s">
        <v>55</v>
      </c>
      <c r="E95" s="3" t="s">
        <v>56</v>
      </c>
      <c r="F95" s="3" t="s">
        <v>57</v>
      </c>
      <c r="G95" s="3" t="s">
        <v>58</v>
      </c>
      <c r="H95" s="3" t="s">
        <v>59</v>
      </c>
      <c r="I95" s="3" t="s">
        <v>60</v>
      </c>
      <c r="J95" s="3" t="s">
        <v>61</v>
      </c>
      <c r="K95" s="3" t="s">
        <v>62</v>
      </c>
      <c r="L95" s="3" t="s">
        <v>63</v>
      </c>
      <c r="M95" s="3" t="s">
        <v>264</v>
      </c>
      <c r="N95" s="3" t="s">
        <v>265</v>
      </c>
      <c r="O95" s="3" t="s">
        <v>266</v>
      </c>
      <c r="P95" s="3" t="s">
        <v>267</v>
      </c>
      <c r="Q95" s="3" t="s">
        <v>268</v>
      </c>
      <c r="R95" s="3" t="s">
        <v>269</v>
      </c>
      <c r="S95" s="3" t="s">
        <v>159</v>
      </c>
      <c r="T95" s="3" t="s">
        <v>277</v>
      </c>
      <c r="U95" s="3" t="s">
        <v>54</v>
      </c>
      <c r="V95" s="3" t="s">
        <v>72</v>
      </c>
      <c r="W95" s="3" t="s">
        <v>94</v>
      </c>
      <c r="X95" s="3" t="s">
        <v>95</v>
      </c>
      <c r="Y95" s="3" t="s">
        <v>96</v>
      </c>
      <c r="Z95" s="3" t="s">
        <v>95</v>
      </c>
      <c r="AA95" s="3" t="s">
        <v>287</v>
      </c>
      <c r="AB95" s="4">
        <v>1540000</v>
      </c>
      <c r="AC95" s="4">
        <v>0</v>
      </c>
      <c r="AD95" s="4">
        <v>0</v>
      </c>
      <c r="AE95" s="4">
        <v>1540000</v>
      </c>
      <c r="AF95" s="4">
        <v>0</v>
      </c>
      <c r="AG95" s="4">
        <v>0</v>
      </c>
      <c r="AH95" s="4">
        <v>0</v>
      </c>
      <c r="AI95" s="4">
        <v>0</v>
      </c>
      <c r="AJ95" s="4">
        <v>0</v>
      </c>
      <c r="AK95" s="4">
        <v>0</v>
      </c>
      <c r="AL95" s="4">
        <v>0</v>
      </c>
      <c r="AM95" s="4">
        <v>0</v>
      </c>
      <c r="AN95" s="4">
        <v>0</v>
      </c>
      <c r="AO95" s="4">
        <v>0</v>
      </c>
      <c r="AP95" s="4">
        <v>0</v>
      </c>
      <c r="AQ95" s="4">
        <v>1540000</v>
      </c>
      <c r="AR95" s="4">
        <v>240000</v>
      </c>
      <c r="AS95" s="4">
        <v>240000</v>
      </c>
      <c r="AT95" s="4">
        <v>0</v>
      </c>
      <c r="AU95" s="4">
        <v>0</v>
      </c>
      <c r="AV95" s="4">
        <v>0</v>
      </c>
      <c r="AW95" s="4">
        <v>0</v>
      </c>
      <c r="AX95" s="4">
        <v>1300000</v>
      </c>
      <c r="AY95" s="4">
        <v>1300000</v>
      </c>
    </row>
    <row r="96" spans="1:51">
      <c r="A96" s="3" t="s">
        <v>52</v>
      </c>
      <c r="B96" s="3" t="s">
        <v>53</v>
      </c>
      <c r="C96" s="3" t="s">
        <v>54</v>
      </c>
      <c r="D96" s="3" t="s">
        <v>55</v>
      </c>
      <c r="E96" s="3" t="s">
        <v>56</v>
      </c>
      <c r="F96" s="3" t="s">
        <v>57</v>
      </c>
      <c r="G96" s="3" t="s">
        <v>58</v>
      </c>
      <c r="H96" s="3" t="s">
        <v>59</v>
      </c>
      <c r="I96" s="3" t="s">
        <v>60</v>
      </c>
      <c r="J96" s="3" t="s">
        <v>61</v>
      </c>
      <c r="K96" s="3" t="s">
        <v>62</v>
      </c>
      <c r="L96" s="3" t="s">
        <v>63</v>
      </c>
      <c r="M96" s="3" t="s">
        <v>264</v>
      </c>
      <c r="N96" s="3" t="s">
        <v>265</v>
      </c>
      <c r="O96" s="3" t="s">
        <v>266</v>
      </c>
      <c r="P96" s="3" t="s">
        <v>267</v>
      </c>
      <c r="Q96" s="3" t="s">
        <v>268</v>
      </c>
      <c r="R96" s="3" t="s">
        <v>269</v>
      </c>
      <c r="S96" s="3" t="s">
        <v>159</v>
      </c>
      <c r="T96" s="3" t="s">
        <v>277</v>
      </c>
      <c r="U96" s="3" t="s">
        <v>54</v>
      </c>
      <c r="V96" s="3" t="s">
        <v>72</v>
      </c>
      <c r="W96" s="3" t="s">
        <v>94</v>
      </c>
      <c r="X96" s="3" t="s">
        <v>95</v>
      </c>
      <c r="Y96" s="3" t="s">
        <v>96</v>
      </c>
      <c r="Z96" s="3" t="s">
        <v>95</v>
      </c>
      <c r="AA96" s="3" t="s">
        <v>288</v>
      </c>
      <c r="AB96" s="4">
        <v>1540000</v>
      </c>
      <c r="AC96" s="4">
        <v>0</v>
      </c>
      <c r="AD96" s="4">
        <v>0</v>
      </c>
      <c r="AE96" s="4">
        <v>1540000</v>
      </c>
      <c r="AF96" s="4">
        <v>0</v>
      </c>
      <c r="AG96" s="4">
        <v>0</v>
      </c>
      <c r="AH96" s="4">
        <v>0</v>
      </c>
      <c r="AI96" s="4">
        <v>0</v>
      </c>
      <c r="AJ96" s="4">
        <v>0</v>
      </c>
      <c r="AK96" s="4">
        <v>0</v>
      </c>
      <c r="AL96" s="4">
        <v>0</v>
      </c>
      <c r="AM96" s="4">
        <v>0</v>
      </c>
      <c r="AN96" s="4">
        <v>0</v>
      </c>
      <c r="AO96" s="4">
        <v>0</v>
      </c>
      <c r="AP96" s="4">
        <v>0</v>
      </c>
      <c r="AQ96" s="4">
        <v>1540000</v>
      </c>
      <c r="AR96" s="4">
        <v>0</v>
      </c>
      <c r="AS96" s="4">
        <v>0</v>
      </c>
      <c r="AT96" s="4">
        <v>0</v>
      </c>
      <c r="AU96" s="4">
        <v>0</v>
      </c>
      <c r="AV96" s="4">
        <v>0</v>
      </c>
      <c r="AW96" s="4">
        <v>0</v>
      </c>
      <c r="AX96" s="4">
        <v>1540000</v>
      </c>
      <c r="AY96" s="4">
        <v>1540000</v>
      </c>
    </row>
    <row r="97" spans="1:51">
      <c r="A97" s="3" t="s">
        <v>52</v>
      </c>
      <c r="B97" s="3" t="s">
        <v>53</v>
      </c>
      <c r="C97" s="3" t="s">
        <v>54</v>
      </c>
      <c r="D97" s="3" t="s">
        <v>55</v>
      </c>
      <c r="E97" s="3" t="s">
        <v>56</v>
      </c>
      <c r="F97" s="3" t="s">
        <v>57</v>
      </c>
      <c r="G97" s="3" t="s">
        <v>58</v>
      </c>
      <c r="H97" s="3" t="s">
        <v>59</v>
      </c>
      <c r="I97" s="3" t="s">
        <v>60</v>
      </c>
      <c r="J97" s="3" t="s">
        <v>61</v>
      </c>
      <c r="K97" s="3" t="s">
        <v>62</v>
      </c>
      <c r="L97" s="3" t="s">
        <v>63</v>
      </c>
      <c r="M97" s="3" t="s">
        <v>264</v>
      </c>
      <c r="N97" s="3" t="s">
        <v>265</v>
      </c>
      <c r="O97" s="3" t="s">
        <v>266</v>
      </c>
      <c r="P97" s="3" t="s">
        <v>267</v>
      </c>
      <c r="Q97" s="3" t="s">
        <v>268</v>
      </c>
      <c r="R97" s="3" t="s">
        <v>269</v>
      </c>
      <c r="S97" s="3" t="s">
        <v>159</v>
      </c>
      <c r="T97" s="3" t="s">
        <v>277</v>
      </c>
      <c r="U97" s="3" t="s">
        <v>54</v>
      </c>
      <c r="V97" s="3" t="s">
        <v>72</v>
      </c>
      <c r="W97" s="3" t="s">
        <v>94</v>
      </c>
      <c r="X97" s="3" t="s">
        <v>95</v>
      </c>
      <c r="Y97" s="3" t="s">
        <v>96</v>
      </c>
      <c r="Z97" s="3" t="s">
        <v>95</v>
      </c>
      <c r="AA97" s="3" t="s">
        <v>289</v>
      </c>
      <c r="AB97" s="4">
        <v>1540000</v>
      </c>
      <c r="AC97" s="4">
        <v>0</v>
      </c>
      <c r="AD97" s="4">
        <v>0</v>
      </c>
      <c r="AE97" s="4">
        <v>1540000</v>
      </c>
      <c r="AF97" s="4">
        <v>0</v>
      </c>
      <c r="AG97" s="4">
        <v>0</v>
      </c>
      <c r="AH97" s="4">
        <v>0</v>
      </c>
      <c r="AI97" s="4">
        <v>0</v>
      </c>
      <c r="AJ97" s="4">
        <v>0</v>
      </c>
      <c r="AK97" s="4">
        <v>0</v>
      </c>
      <c r="AL97" s="4">
        <v>0</v>
      </c>
      <c r="AM97" s="4">
        <v>0</v>
      </c>
      <c r="AN97" s="4">
        <v>0</v>
      </c>
      <c r="AO97" s="4">
        <v>0</v>
      </c>
      <c r="AP97" s="4">
        <v>0</v>
      </c>
      <c r="AQ97" s="4">
        <v>1540000</v>
      </c>
      <c r="AR97" s="4">
        <v>40500</v>
      </c>
      <c r="AS97" s="4">
        <v>40500</v>
      </c>
      <c r="AT97" s="4">
        <v>0</v>
      </c>
      <c r="AU97" s="4">
        <v>0</v>
      </c>
      <c r="AV97" s="4">
        <v>0</v>
      </c>
      <c r="AW97" s="4">
        <v>0</v>
      </c>
      <c r="AX97" s="4">
        <v>1499500</v>
      </c>
      <c r="AY97" s="4">
        <v>1499500</v>
      </c>
    </row>
    <row r="98" spans="1:51">
      <c r="A98" s="3" t="s">
        <v>52</v>
      </c>
      <c r="B98" s="3" t="s">
        <v>53</v>
      </c>
      <c r="C98" s="3" t="s">
        <v>54</v>
      </c>
      <c r="D98" s="3" t="s">
        <v>55</v>
      </c>
      <c r="E98" s="3" t="s">
        <v>56</v>
      </c>
      <c r="F98" s="3" t="s">
        <v>57</v>
      </c>
      <c r="G98" s="3" t="s">
        <v>58</v>
      </c>
      <c r="H98" s="3" t="s">
        <v>59</v>
      </c>
      <c r="I98" s="3" t="s">
        <v>60</v>
      </c>
      <c r="J98" s="3" t="s">
        <v>61</v>
      </c>
      <c r="K98" s="3" t="s">
        <v>62</v>
      </c>
      <c r="L98" s="3" t="s">
        <v>63</v>
      </c>
      <c r="M98" s="3" t="s">
        <v>264</v>
      </c>
      <c r="N98" s="3" t="s">
        <v>265</v>
      </c>
      <c r="O98" s="3" t="s">
        <v>266</v>
      </c>
      <c r="P98" s="3" t="s">
        <v>267</v>
      </c>
      <c r="Q98" s="3" t="s">
        <v>268</v>
      </c>
      <c r="R98" s="3" t="s">
        <v>269</v>
      </c>
      <c r="S98" s="3" t="s">
        <v>159</v>
      </c>
      <c r="T98" s="3" t="s">
        <v>277</v>
      </c>
      <c r="U98" s="3" t="s">
        <v>54</v>
      </c>
      <c r="V98" s="3" t="s">
        <v>72</v>
      </c>
      <c r="W98" s="3" t="s">
        <v>94</v>
      </c>
      <c r="X98" s="3" t="s">
        <v>95</v>
      </c>
      <c r="Y98" s="3" t="s">
        <v>96</v>
      </c>
      <c r="Z98" s="3" t="s">
        <v>95</v>
      </c>
      <c r="AA98" s="3" t="s">
        <v>290</v>
      </c>
      <c r="AB98" s="4">
        <v>1540000</v>
      </c>
      <c r="AC98" s="4">
        <v>0</v>
      </c>
      <c r="AD98" s="4">
        <v>0</v>
      </c>
      <c r="AE98" s="4">
        <v>1540000</v>
      </c>
      <c r="AF98" s="4">
        <v>0</v>
      </c>
      <c r="AG98" s="4">
        <v>0</v>
      </c>
      <c r="AH98" s="4">
        <v>0</v>
      </c>
      <c r="AI98" s="4">
        <v>0</v>
      </c>
      <c r="AJ98" s="4">
        <v>0</v>
      </c>
      <c r="AK98" s="4">
        <v>0</v>
      </c>
      <c r="AL98" s="4">
        <v>0</v>
      </c>
      <c r="AM98" s="4">
        <v>0</v>
      </c>
      <c r="AN98" s="4">
        <v>0</v>
      </c>
      <c r="AO98" s="4">
        <v>0</v>
      </c>
      <c r="AP98" s="4">
        <v>0</v>
      </c>
      <c r="AQ98" s="4">
        <v>1540000</v>
      </c>
      <c r="AR98" s="4">
        <v>0</v>
      </c>
      <c r="AS98" s="4">
        <v>0</v>
      </c>
      <c r="AT98" s="4">
        <v>0</v>
      </c>
      <c r="AU98" s="4">
        <v>0</v>
      </c>
      <c r="AV98" s="4">
        <v>0</v>
      </c>
      <c r="AW98" s="4">
        <v>0</v>
      </c>
      <c r="AX98" s="4">
        <v>1540000</v>
      </c>
      <c r="AY98" s="4">
        <v>1540000</v>
      </c>
    </row>
    <row r="99" spans="1:51">
      <c r="A99" s="3" t="s">
        <v>52</v>
      </c>
      <c r="B99" s="3" t="s">
        <v>53</v>
      </c>
      <c r="C99" s="3" t="s">
        <v>54</v>
      </c>
      <c r="D99" s="3" t="s">
        <v>55</v>
      </c>
      <c r="E99" s="3" t="s">
        <v>56</v>
      </c>
      <c r="F99" s="3" t="s">
        <v>57</v>
      </c>
      <c r="G99" s="3" t="s">
        <v>58</v>
      </c>
      <c r="H99" s="3" t="s">
        <v>59</v>
      </c>
      <c r="I99" s="3" t="s">
        <v>60</v>
      </c>
      <c r="J99" s="3" t="s">
        <v>61</v>
      </c>
      <c r="K99" s="3" t="s">
        <v>62</v>
      </c>
      <c r="L99" s="3" t="s">
        <v>63</v>
      </c>
      <c r="M99" s="3" t="s">
        <v>264</v>
      </c>
      <c r="N99" s="3" t="s">
        <v>265</v>
      </c>
      <c r="O99" s="3" t="s">
        <v>266</v>
      </c>
      <c r="P99" s="3" t="s">
        <v>267</v>
      </c>
      <c r="Q99" s="3" t="s">
        <v>268</v>
      </c>
      <c r="R99" s="3" t="s">
        <v>269</v>
      </c>
      <c r="S99" s="3" t="s">
        <v>159</v>
      </c>
      <c r="T99" s="3" t="s">
        <v>277</v>
      </c>
      <c r="U99" s="3" t="s">
        <v>54</v>
      </c>
      <c r="V99" s="3" t="s">
        <v>72</v>
      </c>
      <c r="W99" s="3" t="s">
        <v>94</v>
      </c>
      <c r="X99" s="3" t="s">
        <v>95</v>
      </c>
      <c r="Y99" s="3" t="s">
        <v>96</v>
      </c>
      <c r="Z99" s="3" t="s">
        <v>95</v>
      </c>
      <c r="AA99" s="3" t="s">
        <v>291</v>
      </c>
      <c r="AB99" s="4">
        <v>4165000</v>
      </c>
      <c r="AC99" s="4">
        <v>-2625000</v>
      </c>
      <c r="AD99" s="4">
        <v>0</v>
      </c>
      <c r="AE99" s="4">
        <v>1540000</v>
      </c>
      <c r="AF99" s="4">
        <v>0</v>
      </c>
      <c r="AG99" s="4">
        <v>0</v>
      </c>
      <c r="AH99" s="4">
        <v>0</v>
      </c>
      <c r="AI99" s="4">
        <v>0</v>
      </c>
      <c r="AJ99" s="4">
        <v>0</v>
      </c>
      <c r="AK99" s="4">
        <v>0</v>
      </c>
      <c r="AL99" s="4">
        <v>0</v>
      </c>
      <c r="AM99" s="4">
        <v>0</v>
      </c>
      <c r="AN99" s="4">
        <v>0</v>
      </c>
      <c r="AO99" s="4">
        <v>0</v>
      </c>
      <c r="AP99" s="4">
        <v>0</v>
      </c>
      <c r="AQ99" s="4">
        <v>1540000</v>
      </c>
      <c r="AR99" s="4">
        <v>0</v>
      </c>
      <c r="AS99" s="4">
        <v>0</v>
      </c>
      <c r="AT99" s="4">
        <v>0</v>
      </c>
      <c r="AU99" s="4">
        <v>0</v>
      </c>
      <c r="AV99" s="4">
        <v>0</v>
      </c>
      <c r="AW99" s="4">
        <v>0</v>
      </c>
      <c r="AX99" s="4">
        <v>1540000</v>
      </c>
      <c r="AY99" s="4">
        <v>1540000</v>
      </c>
    </row>
    <row r="100" spans="1:51">
      <c r="A100" s="3" t="s">
        <v>52</v>
      </c>
      <c r="B100" s="3" t="s">
        <v>53</v>
      </c>
      <c r="C100" s="3" t="s">
        <v>54</v>
      </c>
      <c r="D100" s="3" t="s">
        <v>55</v>
      </c>
      <c r="E100" s="3" t="s">
        <v>56</v>
      </c>
      <c r="F100" s="3" t="s">
        <v>57</v>
      </c>
      <c r="G100" s="3" t="s">
        <v>58</v>
      </c>
      <c r="H100" s="3" t="s">
        <v>59</v>
      </c>
      <c r="I100" s="3" t="s">
        <v>60</v>
      </c>
      <c r="J100" s="3" t="s">
        <v>61</v>
      </c>
      <c r="K100" s="3" t="s">
        <v>62</v>
      </c>
      <c r="L100" s="3" t="s">
        <v>63</v>
      </c>
      <c r="M100" s="3" t="s">
        <v>264</v>
      </c>
      <c r="N100" s="3" t="s">
        <v>265</v>
      </c>
      <c r="O100" s="3" t="s">
        <v>266</v>
      </c>
      <c r="P100" s="3" t="s">
        <v>267</v>
      </c>
      <c r="Q100" s="3" t="s">
        <v>268</v>
      </c>
      <c r="R100" s="3" t="s">
        <v>269</v>
      </c>
      <c r="S100" s="3" t="s">
        <v>159</v>
      </c>
      <c r="T100" s="3" t="s">
        <v>277</v>
      </c>
      <c r="U100" s="3" t="s">
        <v>54</v>
      </c>
      <c r="V100" s="3" t="s">
        <v>72</v>
      </c>
      <c r="W100" s="3" t="s">
        <v>94</v>
      </c>
      <c r="X100" s="3" t="s">
        <v>95</v>
      </c>
      <c r="Y100" s="3" t="s">
        <v>96</v>
      </c>
      <c r="Z100" s="3" t="s">
        <v>95</v>
      </c>
      <c r="AA100" s="3" t="s">
        <v>292</v>
      </c>
      <c r="AB100" s="4">
        <v>3675000</v>
      </c>
      <c r="AC100" s="4">
        <v>-2100000</v>
      </c>
      <c r="AD100" s="4">
        <v>0</v>
      </c>
      <c r="AE100" s="4">
        <v>1575000</v>
      </c>
      <c r="AF100" s="4">
        <v>0</v>
      </c>
      <c r="AG100" s="4">
        <v>0</v>
      </c>
      <c r="AH100" s="4">
        <v>0</v>
      </c>
      <c r="AI100" s="4">
        <v>0</v>
      </c>
      <c r="AJ100" s="4">
        <v>0</v>
      </c>
      <c r="AK100" s="4">
        <v>0</v>
      </c>
      <c r="AL100" s="4">
        <v>0</v>
      </c>
      <c r="AM100" s="4">
        <v>0</v>
      </c>
      <c r="AN100" s="4">
        <v>0</v>
      </c>
      <c r="AO100" s="4">
        <v>0</v>
      </c>
      <c r="AP100" s="4">
        <v>0</v>
      </c>
      <c r="AQ100" s="4">
        <v>1575000</v>
      </c>
      <c r="AR100" s="4">
        <v>264850</v>
      </c>
      <c r="AS100" s="4">
        <v>264850</v>
      </c>
      <c r="AT100" s="4">
        <v>0</v>
      </c>
      <c r="AU100" s="4">
        <v>0</v>
      </c>
      <c r="AV100" s="4">
        <v>0</v>
      </c>
      <c r="AW100" s="4">
        <v>0</v>
      </c>
      <c r="AX100" s="4">
        <v>1310150</v>
      </c>
      <c r="AY100" s="4">
        <v>1310150</v>
      </c>
    </row>
    <row r="101" spans="1:51">
      <c r="A101" s="3" t="s">
        <v>52</v>
      </c>
      <c r="B101" s="3" t="s">
        <v>53</v>
      </c>
      <c r="C101" s="3" t="s">
        <v>54</v>
      </c>
      <c r="D101" s="3" t="s">
        <v>55</v>
      </c>
      <c r="E101" s="3" t="s">
        <v>56</v>
      </c>
      <c r="F101" s="3" t="s">
        <v>57</v>
      </c>
      <c r="G101" s="3" t="s">
        <v>58</v>
      </c>
      <c r="H101" s="3" t="s">
        <v>59</v>
      </c>
      <c r="I101" s="3" t="s">
        <v>60</v>
      </c>
      <c r="J101" s="3" t="s">
        <v>61</v>
      </c>
      <c r="K101" s="3" t="s">
        <v>62</v>
      </c>
      <c r="L101" s="3" t="s">
        <v>63</v>
      </c>
      <c r="M101" s="3" t="s">
        <v>264</v>
      </c>
      <c r="N101" s="3" t="s">
        <v>265</v>
      </c>
      <c r="O101" s="3" t="s">
        <v>266</v>
      </c>
      <c r="P101" s="3" t="s">
        <v>267</v>
      </c>
      <c r="Q101" s="3" t="s">
        <v>268</v>
      </c>
      <c r="R101" s="3" t="s">
        <v>269</v>
      </c>
      <c r="S101" s="3" t="s">
        <v>92</v>
      </c>
      <c r="T101" s="3" t="s">
        <v>293</v>
      </c>
      <c r="U101" s="3" t="s">
        <v>86</v>
      </c>
      <c r="V101" s="3" t="s">
        <v>87</v>
      </c>
      <c r="W101" s="3" t="s">
        <v>88</v>
      </c>
      <c r="X101" s="3" t="s">
        <v>89</v>
      </c>
      <c r="Y101" s="3" t="s">
        <v>90</v>
      </c>
      <c r="Z101" s="3" t="s">
        <v>89</v>
      </c>
      <c r="AA101" s="3" t="s">
        <v>294</v>
      </c>
      <c r="AB101" s="4">
        <v>1500000</v>
      </c>
      <c r="AC101" s="4">
        <v>0</v>
      </c>
      <c r="AD101" s="4">
        <v>0</v>
      </c>
      <c r="AE101" s="4">
        <v>1500000</v>
      </c>
      <c r="AF101" s="4">
        <v>0</v>
      </c>
      <c r="AG101" s="4">
        <v>0</v>
      </c>
      <c r="AH101" s="4">
        <v>0</v>
      </c>
      <c r="AI101" s="4">
        <v>0</v>
      </c>
      <c r="AJ101" s="4">
        <v>0</v>
      </c>
      <c r="AK101" s="4">
        <v>0</v>
      </c>
      <c r="AL101" s="4">
        <v>0</v>
      </c>
      <c r="AM101" s="4">
        <v>0</v>
      </c>
      <c r="AN101" s="4">
        <v>0</v>
      </c>
      <c r="AO101" s="4">
        <v>0</v>
      </c>
      <c r="AP101" s="4">
        <v>0</v>
      </c>
      <c r="AQ101" s="4">
        <v>1500000</v>
      </c>
      <c r="AR101" s="4">
        <v>0</v>
      </c>
      <c r="AS101" s="4">
        <v>0</v>
      </c>
      <c r="AT101" s="4">
        <v>0</v>
      </c>
      <c r="AU101" s="4">
        <v>0</v>
      </c>
      <c r="AV101" s="4">
        <v>0</v>
      </c>
      <c r="AW101" s="4">
        <v>0</v>
      </c>
      <c r="AX101" s="4">
        <v>1500000</v>
      </c>
      <c r="AY101" s="4">
        <v>1500000</v>
      </c>
    </row>
    <row r="102" spans="1:51">
      <c r="A102" s="3" t="s">
        <v>52</v>
      </c>
      <c r="B102" s="3" t="s">
        <v>53</v>
      </c>
      <c r="C102" s="3" t="s">
        <v>54</v>
      </c>
      <c r="D102" s="3" t="s">
        <v>55</v>
      </c>
      <c r="E102" s="3" t="s">
        <v>56</v>
      </c>
      <c r="F102" s="3" t="s">
        <v>57</v>
      </c>
      <c r="G102" s="3" t="s">
        <v>58</v>
      </c>
      <c r="H102" s="3" t="s">
        <v>59</v>
      </c>
      <c r="I102" s="3" t="s">
        <v>60</v>
      </c>
      <c r="J102" s="3" t="s">
        <v>61</v>
      </c>
      <c r="K102" s="3" t="s">
        <v>62</v>
      </c>
      <c r="L102" s="3" t="s">
        <v>63</v>
      </c>
      <c r="M102" s="3" t="s">
        <v>264</v>
      </c>
      <c r="N102" s="3" t="s">
        <v>265</v>
      </c>
      <c r="O102" s="3" t="s">
        <v>266</v>
      </c>
      <c r="P102" s="3" t="s">
        <v>267</v>
      </c>
      <c r="Q102" s="3" t="s">
        <v>268</v>
      </c>
      <c r="R102" s="3" t="s">
        <v>269</v>
      </c>
      <c r="S102" s="3" t="s">
        <v>92</v>
      </c>
      <c r="T102" s="3" t="s">
        <v>293</v>
      </c>
      <c r="U102" s="3" t="s">
        <v>86</v>
      </c>
      <c r="V102" s="3" t="s">
        <v>87</v>
      </c>
      <c r="W102" s="3" t="s">
        <v>88</v>
      </c>
      <c r="X102" s="3" t="s">
        <v>89</v>
      </c>
      <c r="Y102" s="3" t="s">
        <v>90</v>
      </c>
      <c r="Z102" s="3" t="s">
        <v>89</v>
      </c>
      <c r="AA102" s="3" t="s">
        <v>295</v>
      </c>
      <c r="AB102" s="4">
        <v>1290000</v>
      </c>
      <c r="AC102" s="4">
        <v>0</v>
      </c>
      <c r="AD102" s="4">
        <v>0</v>
      </c>
      <c r="AE102" s="4">
        <v>1290000</v>
      </c>
      <c r="AF102" s="4">
        <v>0</v>
      </c>
      <c r="AG102" s="4">
        <v>0</v>
      </c>
      <c r="AH102" s="4">
        <v>0</v>
      </c>
      <c r="AI102" s="4">
        <v>0</v>
      </c>
      <c r="AJ102" s="4">
        <v>0</v>
      </c>
      <c r="AK102" s="4">
        <v>0</v>
      </c>
      <c r="AL102" s="4">
        <v>0</v>
      </c>
      <c r="AM102" s="4">
        <v>0</v>
      </c>
      <c r="AN102" s="4">
        <v>0</v>
      </c>
      <c r="AO102" s="4">
        <v>0</v>
      </c>
      <c r="AP102" s="4">
        <v>0</v>
      </c>
      <c r="AQ102" s="4">
        <v>1290000</v>
      </c>
      <c r="AR102" s="4">
        <v>957000</v>
      </c>
      <c r="AS102" s="4">
        <v>957000</v>
      </c>
      <c r="AT102" s="4">
        <v>0</v>
      </c>
      <c r="AU102" s="4">
        <v>0</v>
      </c>
      <c r="AV102" s="4">
        <v>0</v>
      </c>
      <c r="AW102" s="4">
        <v>0</v>
      </c>
      <c r="AX102" s="4">
        <v>333000</v>
      </c>
      <c r="AY102" s="4">
        <v>333000</v>
      </c>
    </row>
    <row r="103" spans="1:51">
      <c r="A103" s="3" t="s">
        <v>52</v>
      </c>
      <c r="B103" s="3" t="s">
        <v>53</v>
      </c>
      <c r="C103" s="3" t="s">
        <v>54</v>
      </c>
      <c r="D103" s="3" t="s">
        <v>55</v>
      </c>
      <c r="E103" s="3" t="s">
        <v>56</v>
      </c>
      <c r="F103" s="3" t="s">
        <v>57</v>
      </c>
      <c r="G103" s="3" t="s">
        <v>58</v>
      </c>
      <c r="H103" s="3" t="s">
        <v>59</v>
      </c>
      <c r="I103" s="3" t="s">
        <v>60</v>
      </c>
      <c r="J103" s="3" t="s">
        <v>61</v>
      </c>
      <c r="K103" s="3" t="s">
        <v>62</v>
      </c>
      <c r="L103" s="3" t="s">
        <v>63</v>
      </c>
      <c r="M103" s="3" t="s">
        <v>264</v>
      </c>
      <c r="N103" s="3" t="s">
        <v>265</v>
      </c>
      <c r="O103" s="3" t="s">
        <v>266</v>
      </c>
      <c r="P103" s="3" t="s">
        <v>267</v>
      </c>
      <c r="Q103" s="3" t="s">
        <v>268</v>
      </c>
      <c r="R103" s="3" t="s">
        <v>269</v>
      </c>
      <c r="S103" s="3" t="s">
        <v>92</v>
      </c>
      <c r="T103" s="3" t="s">
        <v>293</v>
      </c>
      <c r="U103" s="3" t="s">
        <v>86</v>
      </c>
      <c r="V103" s="3" t="s">
        <v>87</v>
      </c>
      <c r="W103" s="3" t="s">
        <v>88</v>
      </c>
      <c r="X103" s="3" t="s">
        <v>89</v>
      </c>
      <c r="Y103" s="3" t="s">
        <v>90</v>
      </c>
      <c r="Z103" s="3" t="s">
        <v>89</v>
      </c>
      <c r="AA103" s="3" t="s">
        <v>296</v>
      </c>
      <c r="AB103" s="4">
        <v>150000</v>
      </c>
      <c r="AC103" s="4">
        <v>0</v>
      </c>
      <c r="AD103" s="4">
        <v>0</v>
      </c>
      <c r="AE103" s="4">
        <v>150000</v>
      </c>
      <c r="AF103" s="4">
        <v>0</v>
      </c>
      <c r="AG103" s="4">
        <v>0</v>
      </c>
      <c r="AH103" s="4">
        <v>0</v>
      </c>
      <c r="AI103" s="4">
        <v>0</v>
      </c>
      <c r="AJ103" s="4">
        <v>0</v>
      </c>
      <c r="AK103" s="4">
        <v>0</v>
      </c>
      <c r="AL103" s="4">
        <v>0</v>
      </c>
      <c r="AM103" s="4">
        <v>0</v>
      </c>
      <c r="AN103" s="4">
        <v>0</v>
      </c>
      <c r="AO103" s="4">
        <v>0</v>
      </c>
      <c r="AP103" s="4">
        <v>0</v>
      </c>
      <c r="AQ103" s="4">
        <v>150000</v>
      </c>
      <c r="AR103" s="4">
        <v>145000</v>
      </c>
      <c r="AS103" s="4">
        <v>145000</v>
      </c>
      <c r="AT103" s="4">
        <v>0</v>
      </c>
      <c r="AU103" s="4">
        <v>0</v>
      </c>
      <c r="AV103" s="4">
        <v>0</v>
      </c>
      <c r="AW103" s="4">
        <v>0</v>
      </c>
      <c r="AX103" s="4">
        <v>5000</v>
      </c>
      <c r="AY103" s="4">
        <v>5000</v>
      </c>
    </row>
    <row r="104" spans="1:51">
      <c r="A104" s="3" t="s">
        <v>52</v>
      </c>
      <c r="B104" s="3" t="s">
        <v>53</v>
      </c>
      <c r="C104" s="3" t="s">
        <v>54</v>
      </c>
      <c r="D104" s="3" t="s">
        <v>55</v>
      </c>
      <c r="E104" s="3" t="s">
        <v>56</v>
      </c>
      <c r="F104" s="3" t="s">
        <v>57</v>
      </c>
      <c r="G104" s="3" t="s">
        <v>58</v>
      </c>
      <c r="H104" s="3" t="s">
        <v>59</v>
      </c>
      <c r="I104" s="3" t="s">
        <v>60</v>
      </c>
      <c r="J104" s="3" t="s">
        <v>61</v>
      </c>
      <c r="K104" s="3" t="s">
        <v>62</v>
      </c>
      <c r="L104" s="3" t="s">
        <v>63</v>
      </c>
      <c r="M104" s="3" t="s">
        <v>264</v>
      </c>
      <c r="N104" s="3" t="s">
        <v>265</v>
      </c>
      <c r="O104" s="3" t="s">
        <v>266</v>
      </c>
      <c r="P104" s="3" t="s">
        <v>267</v>
      </c>
      <c r="Q104" s="3" t="s">
        <v>268</v>
      </c>
      <c r="R104" s="3" t="s">
        <v>269</v>
      </c>
      <c r="S104" s="3" t="s">
        <v>92</v>
      </c>
      <c r="T104" s="3" t="s">
        <v>293</v>
      </c>
      <c r="U104" s="3" t="s">
        <v>86</v>
      </c>
      <c r="V104" s="3" t="s">
        <v>87</v>
      </c>
      <c r="W104" s="3" t="s">
        <v>88</v>
      </c>
      <c r="X104" s="3" t="s">
        <v>89</v>
      </c>
      <c r="Y104" s="3" t="s">
        <v>90</v>
      </c>
      <c r="Z104" s="3" t="s">
        <v>89</v>
      </c>
      <c r="AA104" s="3" t="s">
        <v>297</v>
      </c>
      <c r="AB104" s="4">
        <v>1200000</v>
      </c>
      <c r="AC104" s="4">
        <v>0</v>
      </c>
      <c r="AD104" s="4">
        <v>0</v>
      </c>
      <c r="AE104" s="4">
        <v>1200000</v>
      </c>
      <c r="AF104" s="4">
        <v>0</v>
      </c>
      <c r="AG104" s="4">
        <v>0</v>
      </c>
      <c r="AH104" s="4">
        <v>0</v>
      </c>
      <c r="AI104" s="4">
        <v>0</v>
      </c>
      <c r="AJ104" s="4">
        <v>0</v>
      </c>
      <c r="AK104" s="4">
        <v>0</v>
      </c>
      <c r="AL104" s="4">
        <v>0</v>
      </c>
      <c r="AM104" s="4">
        <v>0</v>
      </c>
      <c r="AN104" s="4">
        <v>0</v>
      </c>
      <c r="AO104" s="4">
        <v>0</v>
      </c>
      <c r="AP104" s="4">
        <v>0</v>
      </c>
      <c r="AQ104" s="4">
        <v>1200000</v>
      </c>
      <c r="AR104" s="4">
        <v>600000</v>
      </c>
      <c r="AS104" s="4">
        <v>600000</v>
      </c>
      <c r="AT104" s="4">
        <v>0</v>
      </c>
      <c r="AU104" s="4">
        <v>0</v>
      </c>
      <c r="AV104" s="4">
        <v>0</v>
      </c>
      <c r="AW104" s="4">
        <v>0</v>
      </c>
      <c r="AX104" s="4">
        <v>600000</v>
      </c>
      <c r="AY104" s="4">
        <v>600000</v>
      </c>
    </row>
    <row r="105" spans="1:51">
      <c r="A105" s="3" t="s">
        <v>52</v>
      </c>
      <c r="B105" s="3" t="s">
        <v>53</v>
      </c>
      <c r="C105" s="3" t="s">
        <v>54</v>
      </c>
      <c r="D105" s="3" t="s">
        <v>55</v>
      </c>
      <c r="E105" s="3" t="s">
        <v>56</v>
      </c>
      <c r="F105" s="3" t="s">
        <v>57</v>
      </c>
      <c r="G105" s="3" t="s">
        <v>58</v>
      </c>
      <c r="H105" s="3" t="s">
        <v>59</v>
      </c>
      <c r="I105" s="3" t="s">
        <v>60</v>
      </c>
      <c r="J105" s="3" t="s">
        <v>61</v>
      </c>
      <c r="K105" s="3" t="s">
        <v>62</v>
      </c>
      <c r="L105" s="3" t="s">
        <v>63</v>
      </c>
      <c r="M105" s="3" t="s">
        <v>264</v>
      </c>
      <c r="N105" s="3" t="s">
        <v>265</v>
      </c>
      <c r="O105" s="3" t="s">
        <v>266</v>
      </c>
      <c r="P105" s="3" t="s">
        <v>267</v>
      </c>
      <c r="Q105" s="3" t="s">
        <v>268</v>
      </c>
      <c r="R105" s="3" t="s">
        <v>269</v>
      </c>
      <c r="S105" s="3" t="s">
        <v>140</v>
      </c>
      <c r="T105" s="3" t="s">
        <v>298</v>
      </c>
      <c r="U105" s="3" t="s">
        <v>54</v>
      </c>
      <c r="V105" s="3" t="s">
        <v>72</v>
      </c>
      <c r="W105" s="3" t="s">
        <v>73</v>
      </c>
      <c r="X105" s="3" t="s">
        <v>74</v>
      </c>
      <c r="Y105" s="3" t="s">
        <v>75</v>
      </c>
      <c r="Z105" s="3" t="s">
        <v>76</v>
      </c>
      <c r="AA105" s="3" t="s">
        <v>299</v>
      </c>
      <c r="AB105" s="4">
        <v>1000000</v>
      </c>
      <c r="AC105" s="4">
        <v>0</v>
      </c>
      <c r="AD105" s="4">
        <v>0</v>
      </c>
      <c r="AE105" s="4">
        <v>1000000</v>
      </c>
      <c r="AF105" s="4">
        <v>0</v>
      </c>
      <c r="AG105" s="4">
        <v>0</v>
      </c>
      <c r="AH105" s="4">
        <v>0</v>
      </c>
      <c r="AI105" s="4">
        <v>0</v>
      </c>
      <c r="AJ105" s="4">
        <v>0</v>
      </c>
      <c r="AK105" s="4">
        <v>0</v>
      </c>
      <c r="AL105" s="4">
        <v>0</v>
      </c>
      <c r="AM105" s="4">
        <v>0</v>
      </c>
      <c r="AN105" s="4">
        <v>0</v>
      </c>
      <c r="AO105" s="4">
        <v>0</v>
      </c>
      <c r="AP105" s="4">
        <v>0</v>
      </c>
      <c r="AQ105" s="4">
        <v>1000000</v>
      </c>
      <c r="AR105" s="4">
        <v>420000</v>
      </c>
      <c r="AS105" s="4">
        <v>420000</v>
      </c>
      <c r="AT105" s="4">
        <v>0</v>
      </c>
      <c r="AU105" s="4">
        <v>0</v>
      </c>
      <c r="AV105" s="4">
        <v>0</v>
      </c>
      <c r="AW105" s="4">
        <v>0</v>
      </c>
      <c r="AX105" s="4">
        <v>580000</v>
      </c>
      <c r="AY105" s="4">
        <v>580000</v>
      </c>
    </row>
    <row r="106" spans="1:51">
      <c r="A106" s="3" t="s">
        <v>52</v>
      </c>
      <c r="B106" s="3" t="s">
        <v>53</v>
      </c>
      <c r="C106" s="3" t="s">
        <v>54</v>
      </c>
      <c r="D106" s="3" t="s">
        <v>55</v>
      </c>
      <c r="E106" s="3" t="s">
        <v>56</v>
      </c>
      <c r="F106" s="3" t="s">
        <v>57</v>
      </c>
      <c r="G106" s="3" t="s">
        <v>58</v>
      </c>
      <c r="H106" s="3" t="s">
        <v>59</v>
      </c>
      <c r="I106" s="3" t="s">
        <v>60</v>
      </c>
      <c r="J106" s="3" t="s">
        <v>61</v>
      </c>
      <c r="K106" s="3" t="s">
        <v>62</v>
      </c>
      <c r="L106" s="3" t="s">
        <v>63</v>
      </c>
      <c r="M106" s="3" t="s">
        <v>264</v>
      </c>
      <c r="N106" s="3" t="s">
        <v>265</v>
      </c>
      <c r="O106" s="3" t="s">
        <v>266</v>
      </c>
      <c r="P106" s="3" t="s">
        <v>267</v>
      </c>
      <c r="Q106" s="3" t="s">
        <v>268</v>
      </c>
      <c r="R106" s="3" t="s">
        <v>269</v>
      </c>
      <c r="S106" s="3" t="s">
        <v>140</v>
      </c>
      <c r="T106" s="3" t="s">
        <v>298</v>
      </c>
      <c r="U106" s="3" t="s">
        <v>54</v>
      </c>
      <c r="V106" s="3" t="s">
        <v>72</v>
      </c>
      <c r="W106" s="3" t="s">
        <v>73</v>
      </c>
      <c r="X106" s="3" t="s">
        <v>74</v>
      </c>
      <c r="Y106" s="3" t="s">
        <v>78</v>
      </c>
      <c r="Z106" s="3" t="s">
        <v>79</v>
      </c>
      <c r="AA106" s="3" t="s">
        <v>300</v>
      </c>
      <c r="AB106" s="4">
        <v>300000</v>
      </c>
      <c r="AC106" s="4">
        <v>0</v>
      </c>
      <c r="AD106" s="4">
        <v>0</v>
      </c>
      <c r="AE106" s="4">
        <v>300000</v>
      </c>
      <c r="AF106" s="4">
        <v>0</v>
      </c>
      <c r="AG106" s="4">
        <v>0</v>
      </c>
      <c r="AH106" s="4">
        <v>0</v>
      </c>
      <c r="AI106" s="4">
        <v>0</v>
      </c>
      <c r="AJ106" s="4">
        <v>0</v>
      </c>
      <c r="AK106" s="4">
        <v>0</v>
      </c>
      <c r="AL106" s="4">
        <v>0</v>
      </c>
      <c r="AM106" s="4">
        <v>0</v>
      </c>
      <c r="AN106" s="4">
        <v>0</v>
      </c>
      <c r="AO106" s="4">
        <v>0</v>
      </c>
      <c r="AP106" s="4">
        <v>0</v>
      </c>
      <c r="AQ106" s="4">
        <v>300000</v>
      </c>
      <c r="AR106" s="4">
        <v>0</v>
      </c>
      <c r="AS106" s="4">
        <v>0</v>
      </c>
      <c r="AT106" s="4">
        <v>0</v>
      </c>
      <c r="AU106" s="4">
        <v>0</v>
      </c>
      <c r="AV106" s="4">
        <v>0</v>
      </c>
      <c r="AW106" s="4">
        <v>0</v>
      </c>
      <c r="AX106" s="4">
        <v>300000</v>
      </c>
      <c r="AY106" s="4">
        <v>300000</v>
      </c>
    </row>
    <row r="107" spans="1:51">
      <c r="A107" s="3" t="s">
        <v>52</v>
      </c>
      <c r="B107" s="3" t="s">
        <v>53</v>
      </c>
      <c r="C107" s="3" t="s">
        <v>54</v>
      </c>
      <c r="D107" s="3" t="s">
        <v>55</v>
      </c>
      <c r="E107" s="3" t="s">
        <v>56</v>
      </c>
      <c r="F107" s="3" t="s">
        <v>57</v>
      </c>
      <c r="G107" s="3" t="s">
        <v>58</v>
      </c>
      <c r="H107" s="3" t="s">
        <v>59</v>
      </c>
      <c r="I107" s="3" t="s">
        <v>60</v>
      </c>
      <c r="J107" s="3" t="s">
        <v>61</v>
      </c>
      <c r="K107" s="3" t="s">
        <v>62</v>
      </c>
      <c r="L107" s="3" t="s">
        <v>63</v>
      </c>
      <c r="M107" s="3" t="s">
        <v>264</v>
      </c>
      <c r="N107" s="3" t="s">
        <v>265</v>
      </c>
      <c r="O107" s="3" t="s">
        <v>266</v>
      </c>
      <c r="P107" s="3" t="s">
        <v>267</v>
      </c>
      <c r="Q107" s="3" t="s">
        <v>268</v>
      </c>
      <c r="R107" s="3" t="s">
        <v>269</v>
      </c>
      <c r="S107" s="3" t="s">
        <v>140</v>
      </c>
      <c r="T107" s="3" t="s">
        <v>298</v>
      </c>
      <c r="U107" s="3" t="s">
        <v>86</v>
      </c>
      <c r="V107" s="3" t="s">
        <v>87</v>
      </c>
      <c r="W107" s="3" t="s">
        <v>88</v>
      </c>
      <c r="X107" s="3" t="s">
        <v>89</v>
      </c>
      <c r="Y107" s="3" t="s">
        <v>90</v>
      </c>
      <c r="Z107" s="3" t="s">
        <v>89</v>
      </c>
      <c r="AA107" s="3" t="s">
        <v>301</v>
      </c>
      <c r="AB107" s="4">
        <v>960000</v>
      </c>
      <c r="AC107" s="4">
        <v>0</v>
      </c>
      <c r="AD107" s="4">
        <v>0</v>
      </c>
      <c r="AE107" s="4">
        <v>960000</v>
      </c>
      <c r="AF107" s="4">
        <v>0</v>
      </c>
      <c r="AG107" s="4">
        <v>0</v>
      </c>
      <c r="AH107" s="4">
        <v>0</v>
      </c>
      <c r="AI107" s="4">
        <v>0</v>
      </c>
      <c r="AJ107" s="4">
        <v>0</v>
      </c>
      <c r="AK107" s="4">
        <v>0</v>
      </c>
      <c r="AL107" s="4">
        <v>0</v>
      </c>
      <c r="AM107" s="4">
        <v>0</v>
      </c>
      <c r="AN107" s="4">
        <v>0</v>
      </c>
      <c r="AO107" s="4">
        <v>0</v>
      </c>
      <c r="AP107" s="4">
        <v>0</v>
      </c>
      <c r="AQ107" s="4">
        <v>960000</v>
      </c>
      <c r="AR107" s="4">
        <v>494000</v>
      </c>
      <c r="AS107" s="4">
        <v>494000</v>
      </c>
      <c r="AT107" s="4">
        <v>0</v>
      </c>
      <c r="AU107" s="4">
        <v>0</v>
      </c>
      <c r="AV107" s="4">
        <v>0</v>
      </c>
      <c r="AW107" s="4">
        <v>0</v>
      </c>
      <c r="AX107" s="4">
        <v>466000</v>
      </c>
      <c r="AY107" s="4">
        <v>466000</v>
      </c>
    </row>
    <row r="108" spans="1:51">
      <c r="A108" s="3" t="s">
        <v>52</v>
      </c>
      <c r="B108" s="3" t="s">
        <v>53</v>
      </c>
      <c r="C108" s="3" t="s">
        <v>54</v>
      </c>
      <c r="D108" s="3" t="s">
        <v>55</v>
      </c>
      <c r="E108" s="3" t="s">
        <v>56</v>
      </c>
      <c r="F108" s="3" t="s">
        <v>57</v>
      </c>
      <c r="G108" s="3" t="s">
        <v>58</v>
      </c>
      <c r="H108" s="3" t="s">
        <v>59</v>
      </c>
      <c r="I108" s="3" t="s">
        <v>60</v>
      </c>
      <c r="J108" s="3" t="s">
        <v>61</v>
      </c>
      <c r="K108" s="3" t="s">
        <v>62</v>
      </c>
      <c r="L108" s="3" t="s">
        <v>63</v>
      </c>
      <c r="M108" s="3" t="s">
        <v>264</v>
      </c>
      <c r="N108" s="3" t="s">
        <v>265</v>
      </c>
      <c r="O108" s="3" t="s">
        <v>266</v>
      </c>
      <c r="P108" s="3" t="s">
        <v>267</v>
      </c>
      <c r="Q108" s="3" t="s">
        <v>268</v>
      </c>
      <c r="R108" s="3" t="s">
        <v>269</v>
      </c>
      <c r="S108" s="3" t="s">
        <v>189</v>
      </c>
      <c r="T108" s="3" t="s">
        <v>302</v>
      </c>
      <c r="U108" s="3" t="s">
        <v>54</v>
      </c>
      <c r="V108" s="3" t="s">
        <v>72</v>
      </c>
      <c r="W108" s="3" t="s">
        <v>94</v>
      </c>
      <c r="X108" s="3" t="s">
        <v>95</v>
      </c>
      <c r="Y108" s="3" t="s">
        <v>96</v>
      </c>
      <c r="Z108" s="3" t="s">
        <v>95</v>
      </c>
      <c r="AA108" s="3" t="s">
        <v>303</v>
      </c>
      <c r="AB108" s="4">
        <v>0</v>
      </c>
      <c r="AC108" s="4">
        <v>0</v>
      </c>
      <c r="AD108" s="4">
        <v>4000000</v>
      </c>
      <c r="AE108" s="4">
        <v>4000000</v>
      </c>
      <c r="AF108" s="4">
        <v>0</v>
      </c>
      <c r="AG108" s="4">
        <v>0</v>
      </c>
      <c r="AH108" s="4">
        <v>0</v>
      </c>
      <c r="AI108" s="4">
        <v>0</v>
      </c>
      <c r="AJ108" s="4">
        <v>0</v>
      </c>
      <c r="AK108" s="4">
        <v>0</v>
      </c>
      <c r="AL108" s="4">
        <v>0</v>
      </c>
      <c r="AM108" s="4">
        <v>0</v>
      </c>
      <c r="AN108" s="4">
        <v>0</v>
      </c>
      <c r="AO108" s="4">
        <v>0</v>
      </c>
      <c r="AP108" s="4">
        <v>0</v>
      </c>
      <c r="AQ108" s="4">
        <v>4000000</v>
      </c>
      <c r="AR108" s="4">
        <v>0</v>
      </c>
      <c r="AS108" s="4">
        <v>0</v>
      </c>
      <c r="AT108" s="4">
        <v>0</v>
      </c>
      <c r="AU108" s="4">
        <v>0</v>
      </c>
      <c r="AV108" s="4">
        <v>0</v>
      </c>
      <c r="AW108" s="4">
        <v>0</v>
      </c>
      <c r="AX108" s="4">
        <v>4000000</v>
      </c>
      <c r="AY108" s="4">
        <v>4000000</v>
      </c>
    </row>
    <row r="109" spans="1:51">
      <c r="A109" s="3" t="s">
        <v>52</v>
      </c>
      <c r="B109" s="3" t="s">
        <v>53</v>
      </c>
      <c r="C109" s="3" t="s">
        <v>54</v>
      </c>
      <c r="D109" s="3" t="s">
        <v>55</v>
      </c>
      <c r="E109" s="3" t="s">
        <v>56</v>
      </c>
      <c r="F109" s="3" t="s">
        <v>57</v>
      </c>
      <c r="G109" s="3" t="s">
        <v>58</v>
      </c>
      <c r="H109" s="3" t="s">
        <v>59</v>
      </c>
      <c r="I109" s="3" t="s">
        <v>60</v>
      </c>
      <c r="J109" s="3" t="s">
        <v>61</v>
      </c>
      <c r="K109" s="3" t="s">
        <v>62</v>
      </c>
      <c r="L109" s="3" t="s">
        <v>63</v>
      </c>
      <c r="M109" s="3" t="s">
        <v>264</v>
      </c>
      <c r="N109" s="3" t="s">
        <v>265</v>
      </c>
      <c r="O109" s="3" t="s">
        <v>266</v>
      </c>
      <c r="P109" s="3" t="s">
        <v>267</v>
      </c>
      <c r="Q109" s="3" t="s">
        <v>304</v>
      </c>
      <c r="R109" s="3" t="s">
        <v>305</v>
      </c>
      <c r="S109" s="3" t="s">
        <v>199</v>
      </c>
      <c r="T109" s="3" t="s">
        <v>306</v>
      </c>
      <c r="U109" s="3" t="s">
        <v>54</v>
      </c>
      <c r="V109" s="3" t="s">
        <v>72</v>
      </c>
      <c r="W109" s="3" t="s">
        <v>73</v>
      </c>
      <c r="X109" s="3" t="s">
        <v>74</v>
      </c>
      <c r="Y109" s="3" t="s">
        <v>75</v>
      </c>
      <c r="Z109" s="3" t="s">
        <v>76</v>
      </c>
      <c r="AA109" s="3" t="s">
        <v>307</v>
      </c>
      <c r="AB109" s="4">
        <v>200000</v>
      </c>
      <c r="AC109" s="4">
        <v>0</v>
      </c>
      <c r="AD109" s="4">
        <v>0</v>
      </c>
      <c r="AE109" s="4">
        <v>200000</v>
      </c>
      <c r="AF109" s="4">
        <v>0</v>
      </c>
      <c r="AG109" s="4">
        <v>0</v>
      </c>
      <c r="AH109" s="4">
        <v>0</v>
      </c>
      <c r="AI109" s="4">
        <v>0</v>
      </c>
      <c r="AJ109" s="4">
        <v>0</v>
      </c>
      <c r="AK109" s="4">
        <v>0</v>
      </c>
      <c r="AL109" s="4">
        <v>0</v>
      </c>
      <c r="AM109" s="4">
        <v>0</v>
      </c>
      <c r="AN109" s="4">
        <v>0</v>
      </c>
      <c r="AO109" s="4">
        <v>0</v>
      </c>
      <c r="AP109" s="4">
        <v>0</v>
      </c>
      <c r="AQ109" s="4">
        <v>200000</v>
      </c>
      <c r="AR109" s="4">
        <v>152800</v>
      </c>
      <c r="AS109" s="4">
        <v>152800</v>
      </c>
      <c r="AT109" s="4">
        <v>0</v>
      </c>
      <c r="AU109" s="4">
        <v>0</v>
      </c>
      <c r="AV109" s="4">
        <v>0</v>
      </c>
      <c r="AW109" s="4">
        <v>0</v>
      </c>
      <c r="AX109" s="4">
        <v>47200</v>
      </c>
      <c r="AY109" s="4">
        <v>47200</v>
      </c>
    </row>
    <row r="110" spans="1:51">
      <c r="A110" s="3" t="s">
        <v>52</v>
      </c>
      <c r="B110" s="3" t="s">
        <v>53</v>
      </c>
      <c r="C110" s="3" t="s">
        <v>54</v>
      </c>
      <c r="D110" s="3" t="s">
        <v>55</v>
      </c>
      <c r="E110" s="3" t="s">
        <v>56</v>
      </c>
      <c r="F110" s="3" t="s">
        <v>57</v>
      </c>
      <c r="G110" s="3" t="s">
        <v>58</v>
      </c>
      <c r="H110" s="3" t="s">
        <v>59</v>
      </c>
      <c r="I110" s="3" t="s">
        <v>60</v>
      </c>
      <c r="J110" s="3" t="s">
        <v>61</v>
      </c>
      <c r="K110" s="3" t="s">
        <v>62</v>
      </c>
      <c r="L110" s="3" t="s">
        <v>63</v>
      </c>
      <c r="M110" s="3" t="s">
        <v>264</v>
      </c>
      <c r="N110" s="3" t="s">
        <v>265</v>
      </c>
      <c r="O110" s="3" t="s">
        <v>266</v>
      </c>
      <c r="P110" s="3" t="s">
        <v>267</v>
      </c>
      <c r="Q110" s="3" t="s">
        <v>304</v>
      </c>
      <c r="R110" s="3" t="s">
        <v>305</v>
      </c>
      <c r="S110" s="3" t="s">
        <v>199</v>
      </c>
      <c r="T110" s="3" t="s">
        <v>306</v>
      </c>
      <c r="U110" s="3" t="s">
        <v>54</v>
      </c>
      <c r="V110" s="3" t="s">
        <v>72</v>
      </c>
      <c r="W110" s="3" t="s">
        <v>73</v>
      </c>
      <c r="X110" s="3" t="s">
        <v>74</v>
      </c>
      <c r="Y110" s="3" t="s">
        <v>75</v>
      </c>
      <c r="Z110" s="3" t="s">
        <v>76</v>
      </c>
      <c r="AA110" s="3" t="s">
        <v>308</v>
      </c>
      <c r="AB110" s="4">
        <v>2000000</v>
      </c>
      <c r="AC110" s="4">
        <v>0</v>
      </c>
      <c r="AD110" s="4">
        <v>0</v>
      </c>
      <c r="AE110" s="4">
        <v>2000000</v>
      </c>
      <c r="AF110" s="4">
        <v>0</v>
      </c>
      <c r="AG110" s="4">
        <v>0</v>
      </c>
      <c r="AH110" s="4">
        <v>0</v>
      </c>
      <c r="AI110" s="4">
        <v>0</v>
      </c>
      <c r="AJ110" s="4">
        <v>0</v>
      </c>
      <c r="AK110" s="4">
        <v>0</v>
      </c>
      <c r="AL110" s="4">
        <v>0</v>
      </c>
      <c r="AM110" s="4">
        <v>0</v>
      </c>
      <c r="AN110" s="4">
        <v>0</v>
      </c>
      <c r="AO110" s="4">
        <v>0</v>
      </c>
      <c r="AP110" s="4">
        <v>0</v>
      </c>
      <c r="AQ110" s="4">
        <v>2000000</v>
      </c>
      <c r="AR110" s="4">
        <v>1665500</v>
      </c>
      <c r="AS110" s="4">
        <v>1665500</v>
      </c>
      <c r="AT110" s="4">
        <v>0</v>
      </c>
      <c r="AU110" s="4">
        <v>0</v>
      </c>
      <c r="AV110" s="4">
        <v>0</v>
      </c>
      <c r="AW110" s="4">
        <v>0</v>
      </c>
      <c r="AX110" s="4">
        <v>334500</v>
      </c>
      <c r="AY110" s="4">
        <v>334500</v>
      </c>
    </row>
    <row r="111" spans="1:51">
      <c r="A111" s="3" t="s">
        <v>52</v>
      </c>
      <c r="B111" s="3" t="s">
        <v>53</v>
      </c>
      <c r="C111" s="3" t="s">
        <v>54</v>
      </c>
      <c r="D111" s="3" t="s">
        <v>55</v>
      </c>
      <c r="E111" s="3" t="s">
        <v>56</v>
      </c>
      <c r="F111" s="3" t="s">
        <v>57</v>
      </c>
      <c r="G111" s="3" t="s">
        <v>58</v>
      </c>
      <c r="H111" s="3" t="s">
        <v>59</v>
      </c>
      <c r="I111" s="3" t="s">
        <v>60</v>
      </c>
      <c r="J111" s="3" t="s">
        <v>61</v>
      </c>
      <c r="K111" s="3" t="s">
        <v>62</v>
      </c>
      <c r="L111" s="3" t="s">
        <v>63</v>
      </c>
      <c r="M111" s="3" t="s">
        <v>264</v>
      </c>
      <c r="N111" s="3" t="s">
        <v>265</v>
      </c>
      <c r="O111" s="3" t="s">
        <v>266</v>
      </c>
      <c r="P111" s="3" t="s">
        <v>267</v>
      </c>
      <c r="Q111" s="3" t="s">
        <v>304</v>
      </c>
      <c r="R111" s="3" t="s">
        <v>305</v>
      </c>
      <c r="S111" s="3" t="s">
        <v>199</v>
      </c>
      <c r="T111" s="3" t="s">
        <v>306</v>
      </c>
      <c r="U111" s="3" t="s">
        <v>54</v>
      </c>
      <c r="V111" s="3" t="s">
        <v>72</v>
      </c>
      <c r="W111" s="3" t="s">
        <v>94</v>
      </c>
      <c r="X111" s="3" t="s">
        <v>95</v>
      </c>
      <c r="Y111" s="3" t="s">
        <v>96</v>
      </c>
      <c r="Z111" s="3" t="s">
        <v>95</v>
      </c>
      <c r="AA111" s="3" t="s">
        <v>309</v>
      </c>
      <c r="AB111" s="4">
        <v>4000000</v>
      </c>
      <c r="AC111" s="4">
        <v>0</v>
      </c>
      <c r="AD111" s="4">
        <v>0</v>
      </c>
      <c r="AE111" s="4">
        <v>4000000</v>
      </c>
      <c r="AF111" s="4">
        <v>0</v>
      </c>
      <c r="AG111" s="4">
        <v>0</v>
      </c>
      <c r="AH111" s="4">
        <v>0</v>
      </c>
      <c r="AI111" s="4">
        <v>0</v>
      </c>
      <c r="AJ111" s="4">
        <v>0</v>
      </c>
      <c r="AK111" s="4">
        <v>0</v>
      </c>
      <c r="AL111" s="4">
        <v>0</v>
      </c>
      <c r="AM111" s="4">
        <v>0</v>
      </c>
      <c r="AN111" s="4">
        <v>0</v>
      </c>
      <c r="AO111" s="4">
        <v>0</v>
      </c>
      <c r="AP111" s="4">
        <v>0</v>
      </c>
      <c r="AQ111" s="4">
        <v>4000000</v>
      </c>
      <c r="AR111" s="4">
        <v>2127210</v>
      </c>
      <c r="AS111" s="4">
        <v>2127210</v>
      </c>
      <c r="AT111" s="4">
        <v>0</v>
      </c>
      <c r="AU111" s="4">
        <v>0</v>
      </c>
      <c r="AV111" s="4">
        <v>0</v>
      </c>
      <c r="AW111" s="4">
        <v>0</v>
      </c>
      <c r="AX111" s="4">
        <v>1872790</v>
      </c>
      <c r="AY111" s="4">
        <v>1872790</v>
      </c>
    </row>
    <row r="112" spans="1:51">
      <c r="A112" s="3" t="s">
        <v>52</v>
      </c>
      <c r="B112" s="3" t="s">
        <v>53</v>
      </c>
      <c r="C112" s="3" t="s">
        <v>54</v>
      </c>
      <c r="D112" s="3" t="s">
        <v>55</v>
      </c>
      <c r="E112" s="3" t="s">
        <v>56</v>
      </c>
      <c r="F112" s="3" t="s">
        <v>57</v>
      </c>
      <c r="G112" s="3" t="s">
        <v>58</v>
      </c>
      <c r="H112" s="3" t="s">
        <v>59</v>
      </c>
      <c r="I112" s="3" t="s">
        <v>60</v>
      </c>
      <c r="J112" s="3" t="s">
        <v>61</v>
      </c>
      <c r="K112" s="3" t="s">
        <v>62</v>
      </c>
      <c r="L112" s="3" t="s">
        <v>63</v>
      </c>
      <c r="M112" s="3" t="s">
        <v>264</v>
      </c>
      <c r="N112" s="3" t="s">
        <v>265</v>
      </c>
      <c r="O112" s="3" t="s">
        <v>266</v>
      </c>
      <c r="P112" s="3" t="s">
        <v>267</v>
      </c>
      <c r="Q112" s="3" t="s">
        <v>304</v>
      </c>
      <c r="R112" s="3" t="s">
        <v>305</v>
      </c>
      <c r="S112" s="3" t="s">
        <v>199</v>
      </c>
      <c r="T112" s="3" t="s">
        <v>306</v>
      </c>
      <c r="U112" s="3" t="s">
        <v>54</v>
      </c>
      <c r="V112" s="3" t="s">
        <v>72</v>
      </c>
      <c r="W112" s="3" t="s">
        <v>94</v>
      </c>
      <c r="X112" s="3" t="s">
        <v>95</v>
      </c>
      <c r="Y112" s="3" t="s">
        <v>96</v>
      </c>
      <c r="Z112" s="3" t="s">
        <v>95</v>
      </c>
      <c r="AA112" s="3" t="s">
        <v>310</v>
      </c>
      <c r="AB112" s="4">
        <v>4000000</v>
      </c>
      <c r="AC112" s="4">
        <v>0</v>
      </c>
      <c r="AD112" s="4">
        <v>0</v>
      </c>
      <c r="AE112" s="4">
        <v>4000000</v>
      </c>
      <c r="AF112" s="4">
        <v>0</v>
      </c>
      <c r="AG112" s="4">
        <v>0</v>
      </c>
      <c r="AH112" s="4">
        <v>0</v>
      </c>
      <c r="AI112" s="4">
        <v>0</v>
      </c>
      <c r="AJ112" s="4">
        <v>0</v>
      </c>
      <c r="AK112" s="4">
        <v>0</v>
      </c>
      <c r="AL112" s="4">
        <v>0</v>
      </c>
      <c r="AM112" s="4">
        <v>0</v>
      </c>
      <c r="AN112" s="4">
        <v>0</v>
      </c>
      <c r="AO112" s="4">
        <v>0</v>
      </c>
      <c r="AP112" s="4">
        <v>0</v>
      </c>
      <c r="AQ112" s="4">
        <v>4000000</v>
      </c>
      <c r="AR112" s="4">
        <v>1981420</v>
      </c>
      <c r="AS112" s="4">
        <v>1981420</v>
      </c>
      <c r="AT112" s="4">
        <v>0</v>
      </c>
      <c r="AU112" s="4">
        <v>0</v>
      </c>
      <c r="AV112" s="4">
        <v>0</v>
      </c>
      <c r="AW112" s="4">
        <v>0</v>
      </c>
      <c r="AX112" s="4">
        <v>2018580</v>
      </c>
      <c r="AY112" s="4">
        <v>2018580</v>
      </c>
    </row>
    <row r="113" spans="1:51">
      <c r="A113" s="3" t="s">
        <v>52</v>
      </c>
      <c r="B113" s="3" t="s">
        <v>53</v>
      </c>
      <c r="C113" s="3" t="s">
        <v>54</v>
      </c>
      <c r="D113" s="3" t="s">
        <v>55</v>
      </c>
      <c r="E113" s="3" t="s">
        <v>56</v>
      </c>
      <c r="F113" s="3" t="s">
        <v>57</v>
      </c>
      <c r="G113" s="3" t="s">
        <v>58</v>
      </c>
      <c r="H113" s="3" t="s">
        <v>59</v>
      </c>
      <c r="I113" s="3" t="s">
        <v>60</v>
      </c>
      <c r="J113" s="3" t="s">
        <v>61</v>
      </c>
      <c r="K113" s="3" t="s">
        <v>62</v>
      </c>
      <c r="L113" s="3" t="s">
        <v>63</v>
      </c>
      <c r="M113" s="3" t="s">
        <v>264</v>
      </c>
      <c r="N113" s="3" t="s">
        <v>265</v>
      </c>
      <c r="O113" s="3" t="s">
        <v>266</v>
      </c>
      <c r="P113" s="3" t="s">
        <v>267</v>
      </c>
      <c r="Q113" s="3" t="s">
        <v>304</v>
      </c>
      <c r="R113" s="3" t="s">
        <v>305</v>
      </c>
      <c r="S113" s="3" t="s">
        <v>199</v>
      </c>
      <c r="T113" s="3" t="s">
        <v>306</v>
      </c>
      <c r="U113" s="3" t="s">
        <v>54</v>
      </c>
      <c r="V113" s="3" t="s">
        <v>72</v>
      </c>
      <c r="W113" s="3" t="s">
        <v>94</v>
      </c>
      <c r="X113" s="3" t="s">
        <v>95</v>
      </c>
      <c r="Y113" s="3" t="s">
        <v>96</v>
      </c>
      <c r="Z113" s="3" t="s">
        <v>95</v>
      </c>
      <c r="AA113" s="3" t="s">
        <v>311</v>
      </c>
      <c r="AB113" s="4">
        <v>5000000</v>
      </c>
      <c r="AC113" s="4">
        <v>0</v>
      </c>
      <c r="AD113" s="4">
        <v>0</v>
      </c>
      <c r="AE113" s="4">
        <v>5000000</v>
      </c>
      <c r="AF113" s="4">
        <v>0</v>
      </c>
      <c r="AG113" s="4">
        <v>0</v>
      </c>
      <c r="AH113" s="4">
        <v>0</v>
      </c>
      <c r="AI113" s="4">
        <v>0</v>
      </c>
      <c r="AJ113" s="4">
        <v>0</v>
      </c>
      <c r="AK113" s="4">
        <v>0</v>
      </c>
      <c r="AL113" s="4">
        <v>0</v>
      </c>
      <c r="AM113" s="4">
        <v>0</v>
      </c>
      <c r="AN113" s="4">
        <v>0</v>
      </c>
      <c r="AO113" s="4">
        <v>0</v>
      </c>
      <c r="AP113" s="4">
        <v>0</v>
      </c>
      <c r="AQ113" s="4">
        <v>5000000</v>
      </c>
      <c r="AR113" s="4">
        <v>4998500</v>
      </c>
      <c r="AS113" s="4">
        <v>4998500</v>
      </c>
      <c r="AT113" s="4">
        <v>0</v>
      </c>
      <c r="AU113" s="4">
        <v>0</v>
      </c>
      <c r="AV113" s="4">
        <v>0</v>
      </c>
      <c r="AW113" s="4">
        <v>0</v>
      </c>
      <c r="AX113" s="4">
        <v>1500</v>
      </c>
      <c r="AY113" s="4">
        <v>1500</v>
      </c>
    </row>
    <row r="114" spans="1:51">
      <c r="A114" s="3" t="s">
        <v>52</v>
      </c>
      <c r="B114" s="3" t="s">
        <v>53</v>
      </c>
      <c r="C114" s="3" t="s">
        <v>54</v>
      </c>
      <c r="D114" s="3" t="s">
        <v>55</v>
      </c>
      <c r="E114" s="3" t="s">
        <v>56</v>
      </c>
      <c r="F114" s="3" t="s">
        <v>57</v>
      </c>
      <c r="G114" s="3" t="s">
        <v>58</v>
      </c>
      <c r="H114" s="3" t="s">
        <v>59</v>
      </c>
      <c r="I114" s="3" t="s">
        <v>60</v>
      </c>
      <c r="J114" s="3" t="s">
        <v>61</v>
      </c>
      <c r="K114" s="3" t="s">
        <v>62</v>
      </c>
      <c r="L114" s="3" t="s">
        <v>63</v>
      </c>
      <c r="M114" s="3" t="s">
        <v>264</v>
      </c>
      <c r="N114" s="3" t="s">
        <v>265</v>
      </c>
      <c r="O114" s="3" t="s">
        <v>266</v>
      </c>
      <c r="P114" s="3" t="s">
        <v>267</v>
      </c>
      <c r="Q114" s="3" t="s">
        <v>312</v>
      </c>
      <c r="R114" s="3" t="s">
        <v>313</v>
      </c>
      <c r="S114" s="3" t="s">
        <v>199</v>
      </c>
      <c r="T114" s="3" t="s">
        <v>306</v>
      </c>
      <c r="U114" s="3" t="s">
        <v>54</v>
      </c>
      <c r="V114" s="3" t="s">
        <v>72</v>
      </c>
      <c r="W114" s="3" t="s">
        <v>94</v>
      </c>
      <c r="X114" s="3" t="s">
        <v>95</v>
      </c>
      <c r="Y114" s="3" t="s">
        <v>96</v>
      </c>
      <c r="Z114" s="3" t="s">
        <v>95</v>
      </c>
      <c r="AA114" s="3" t="s">
        <v>314</v>
      </c>
      <c r="AB114" s="4">
        <v>2400000</v>
      </c>
      <c r="AC114" s="4">
        <v>0</v>
      </c>
      <c r="AD114" s="4">
        <v>0</v>
      </c>
      <c r="AE114" s="4">
        <v>2400000</v>
      </c>
      <c r="AF114" s="4">
        <v>0</v>
      </c>
      <c r="AG114" s="4">
        <v>0</v>
      </c>
      <c r="AH114" s="4">
        <v>0</v>
      </c>
      <c r="AI114" s="4">
        <v>0</v>
      </c>
      <c r="AJ114" s="4">
        <v>0</v>
      </c>
      <c r="AK114" s="4">
        <v>0</v>
      </c>
      <c r="AL114" s="4">
        <v>0</v>
      </c>
      <c r="AM114" s="4">
        <v>0</v>
      </c>
      <c r="AN114" s="4">
        <v>0</v>
      </c>
      <c r="AO114" s="4">
        <v>0</v>
      </c>
      <c r="AP114" s="4">
        <v>0</v>
      </c>
      <c r="AQ114" s="4">
        <v>2400000</v>
      </c>
      <c r="AR114" s="4">
        <v>2400000</v>
      </c>
      <c r="AS114" s="4">
        <v>2400000</v>
      </c>
      <c r="AT114" s="4">
        <v>0</v>
      </c>
      <c r="AU114" s="4">
        <v>0</v>
      </c>
      <c r="AV114" s="4">
        <v>0</v>
      </c>
      <c r="AW114" s="4">
        <v>0</v>
      </c>
      <c r="AX114" s="4">
        <v>0</v>
      </c>
      <c r="AY114" s="4">
        <v>0</v>
      </c>
    </row>
    <row r="115" spans="1:51">
      <c r="A115" s="3" t="s">
        <v>52</v>
      </c>
      <c r="B115" s="3" t="s">
        <v>53</v>
      </c>
      <c r="C115" s="3" t="s">
        <v>54</v>
      </c>
      <c r="D115" s="3" t="s">
        <v>55</v>
      </c>
      <c r="E115" s="3" t="s">
        <v>56</v>
      </c>
      <c r="F115" s="3" t="s">
        <v>57</v>
      </c>
      <c r="G115" s="3" t="s">
        <v>58</v>
      </c>
      <c r="H115" s="3" t="s">
        <v>59</v>
      </c>
      <c r="I115" s="3" t="s">
        <v>60</v>
      </c>
      <c r="J115" s="3" t="s">
        <v>61</v>
      </c>
      <c r="K115" s="3" t="s">
        <v>62</v>
      </c>
      <c r="L115" s="3" t="s">
        <v>63</v>
      </c>
      <c r="M115" s="3" t="s">
        <v>264</v>
      </c>
      <c r="N115" s="3" t="s">
        <v>265</v>
      </c>
      <c r="O115" s="3" t="s">
        <v>266</v>
      </c>
      <c r="P115" s="3" t="s">
        <v>267</v>
      </c>
      <c r="Q115" s="3" t="s">
        <v>312</v>
      </c>
      <c r="R115" s="3" t="s">
        <v>313</v>
      </c>
      <c r="S115" s="3" t="s">
        <v>206</v>
      </c>
      <c r="T115" s="3" t="s">
        <v>315</v>
      </c>
      <c r="U115" s="3" t="s">
        <v>54</v>
      </c>
      <c r="V115" s="3" t="s">
        <v>72</v>
      </c>
      <c r="W115" s="3" t="s">
        <v>94</v>
      </c>
      <c r="X115" s="3" t="s">
        <v>95</v>
      </c>
      <c r="Y115" s="3" t="s">
        <v>96</v>
      </c>
      <c r="Z115" s="3" t="s">
        <v>95</v>
      </c>
      <c r="AA115" s="3" t="s">
        <v>316</v>
      </c>
      <c r="AB115" s="4">
        <v>3000000</v>
      </c>
      <c r="AC115" s="4">
        <v>0</v>
      </c>
      <c r="AD115" s="4">
        <v>0</v>
      </c>
      <c r="AE115" s="4">
        <v>3000000</v>
      </c>
      <c r="AF115" s="4">
        <v>0</v>
      </c>
      <c r="AG115" s="4">
        <v>0</v>
      </c>
      <c r="AH115" s="4">
        <v>0</v>
      </c>
      <c r="AI115" s="4">
        <v>0</v>
      </c>
      <c r="AJ115" s="4">
        <v>0</v>
      </c>
      <c r="AK115" s="4">
        <v>0</v>
      </c>
      <c r="AL115" s="4">
        <v>0</v>
      </c>
      <c r="AM115" s="4">
        <v>0</v>
      </c>
      <c r="AN115" s="4">
        <v>0</v>
      </c>
      <c r="AO115" s="4">
        <v>0</v>
      </c>
      <c r="AP115" s="4">
        <v>0</v>
      </c>
      <c r="AQ115" s="4">
        <v>3000000</v>
      </c>
      <c r="AR115" s="4">
        <v>3000000</v>
      </c>
      <c r="AS115" s="4">
        <v>3000000</v>
      </c>
      <c r="AT115" s="4">
        <v>0</v>
      </c>
      <c r="AU115" s="4">
        <v>0</v>
      </c>
      <c r="AV115" s="4">
        <v>0</v>
      </c>
      <c r="AW115" s="4">
        <v>0</v>
      </c>
      <c r="AX115" s="4">
        <v>0</v>
      </c>
      <c r="AY115" s="4">
        <v>0</v>
      </c>
    </row>
    <row r="116" spans="1:51">
      <c r="A116" s="3" t="s">
        <v>52</v>
      </c>
      <c r="B116" s="3" t="s">
        <v>53</v>
      </c>
      <c r="C116" s="3" t="s">
        <v>54</v>
      </c>
      <c r="D116" s="3" t="s">
        <v>55</v>
      </c>
      <c r="E116" s="3" t="s">
        <v>56</v>
      </c>
      <c r="F116" s="3" t="s">
        <v>57</v>
      </c>
      <c r="G116" s="3" t="s">
        <v>58</v>
      </c>
      <c r="H116" s="3" t="s">
        <v>59</v>
      </c>
      <c r="I116" s="3" t="s">
        <v>60</v>
      </c>
      <c r="J116" s="3" t="s">
        <v>61</v>
      </c>
      <c r="K116" s="3" t="s">
        <v>62</v>
      </c>
      <c r="L116" s="3" t="s">
        <v>63</v>
      </c>
      <c r="M116" s="3" t="s">
        <v>264</v>
      </c>
      <c r="N116" s="3" t="s">
        <v>265</v>
      </c>
      <c r="O116" s="3" t="s">
        <v>266</v>
      </c>
      <c r="P116" s="3" t="s">
        <v>267</v>
      </c>
      <c r="Q116" s="3" t="s">
        <v>312</v>
      </c>
      <c r="R116" s="3" t="s">
        <v>313</v>
      </c>
      <c r="S116" s="3" t="s">
        <v>206</v>
      </c>
      <c r="T116" s="3" t="s">
        <v>315</v>
      </c>
      <c r="U116" s="3" t="s">
        <v>54</v>
      </c>
      <c r="V116" s="3" t="s">
        <v>72</v>
      </c>
      <c r="W116" s="3" t="s">
        <v>94</v>
      </c>
      <c r="X116" s="3" t="s">
        <v>95</v>
      </c>
      <c r="Y116" s="3" t="s">
        <v>96</v>
      </c>
      <c r="Z116" s="3" t="s">
        <v>95</v>
      </c>
      <c r="AA116" s="3" t="s">
        <v>317</v>
      </c>
      <c r="AB116" s="4">
        <v>3600000</v>
      </c>
      <c r="AC116" s="4">
        <v>0</v>
      </c>
      <c r="AD116" s="4">
        <v>0</v>
      </c>
      <c r="AE116" s="4">
        <v>3600000</v>
      </c>
      <c r="AF116" s="4">
        <v>0</v>
      </c>
      <c r="AG116" s="4">
        <v>0</v>
      </c>
      <c r="AH116" s="4">
        <v>0</v>
      </c>
      <c r="AI116" s="4">
        <v>0</v>
      </c>
      <c r="AJ116" s="4">
        <v>0</v>
      </c>
      <c r="AK116" s="4">
        <v>0</v>
      </c>
      <c r="AL116" s="4">
        <v>0</v>
      </c>
      <c r="AM116" s="4">
        <v>0</v>
      </c>
      <c r="AN116" s="4">
        <v>0</v>
      </c>
      <c r="AO116" s="4">
        <v>0</v>
      </c>
      <c r="AP116" s="4">
        <v>0</v>
      </c>
      <c r="AQ116" s="4">
        <v>3600000</v>
      </c>
      <c r="AR116" s="4">
        <v>3600000</v>
      </c>
      <c r="AS116" s="4">
        <v>3600000</v>
      </c>
      <c r="AT116" s="4">
        <v>0</v>
      </c>
      <c r="AU116" s="4">
        <v>0</v>
      </c>
      <c r="AV116" s="4">
        <v>0</v>
      </c>
      <c r="AW116" s="4">
        <v>0</v>
      </c>
      <c r="AX116" s="4">
        <v>0</v>
      </c>
      <c r="AY116" s="4">
        <v>0</v>
      </c>
    </row>
    <row r="117" spans="1:51">
      <c r="A117" s="3" t="s">
        <v>52</v>
      </c>
      <c r="B117" s="3" t="s">
        <v>53</v>
      </c>
      <c r="C117" s="3" t="s">
        <v>54</v>
      </c>
      <c r="D117" s="3" t="s">
        <v>55</v>
      </c>
      <c r="E117" s="3" t="s">
        <v>56</v>
      </c>
      <c r="F117" s="3" t="s">
        <v>57</v>
      </c>
      <c r="G117" s="3" t="s">
        <v>58</v>
      </c>
      <c r="H117" s="3" t="s">
        <v>59</v>
      </c>
      <c r="I117" s="3" t="s">
        <v>60</v>
      </c>
      <c r="J117" s="3" t="s">
        <v>61</v>
      </c>
      <c r="K117" s="3" t="s">
        <v>62</v>
      </c>
      <c r="L117" s="3" t="s">
        <v>63</v>
      </c>
      <c r="M117" s="3" t="s">
        <v>264</v>
      </c>
      <c r="N117" s="3" t="s">
        <v>265</v>
      </c>
      <c r="O117" s="3" t="s">
        <v>266</v>
      </c>
      <c r="P117" s="3" t="s">
        <v>267</v>
      </c>
      <c r="Q117" s="3" t="s">
        <v>312</v>
      </c>
      <c r="R117" s="3" t="s">
        <v>313</v>
      </c>
      <c r="S117" s="3" t="s">
        <v>102</v>
      </c>
      <c r="T117" s="3" t="s">
        <v>318</v>
      </c>
      <c r="U117" s="3" t="s">
        <v>130</v>
      </c>
      <c r="V117" s="3" t="s">
        <v>131</v>
      </c>
      <c r="W117" s="3" t="s">
        <v>132</v>
      </c>
      <c r="X117" s="3" t="s">
        <v>133</v>
      </c>
      <c r="Y117" s="3" t="s">
        <v>134</v>
      </c>
      <c r="Z117" s="3" t="s">
        <v>135</v>
      </c>
      <c r="AA117" s="3" t="s">
        <v>319</v>
      </c>
      <c r="AB117" s="4">
        <v>0</v>
      </c>
      <c r="AC117" s="4">
        <v>18841000</v>
      </c>
      <c r="AD117" s="4">
        <v>0</v>
      </c>
      <c r="AE117" s="4">
        <v>18841000</v>
      </c>
      <c r="AF117" s="4">
        <v>0</v>
      </c>
      <c r="AG117" s="4">
        <v>0</v>
      </c>
      <c r="AH117" s="4">
        <v>0</v>
      </c>
      <c r="AI117" s="4">
        <v>0</v>
      </c>
      <c r="AJ117" s="4">
        <v>0</v>
      </c>
      <c r="AK117" s="4">
        <v>0</v>
      </c>
      <c r="AL117" s="4">
        <v>0</v>
      </c>
      <c r="AM117" s="4">
        <v>0</v>
      </c>
      <c r="AN117" s="4">
        <v>0</v>
      </c>
      <c r="AO117" s="4">
        <v>0</v>
      </c>
      <c r="AP117" s="4">
        <v>0</v>
      </c>
      <c r="AQ117" s="4">
        <v>18841000</v>
      </c>
      <c r="AR117" s="4">
        <v>15112730</v>
      </c>
      <c r="AS117" s="4">
        <v>15112730</v>
      </c>
      <c r="AT117" s="4">
        <v>0</v>
      </c>
      <c r="AU117" s="4">
        <v>0</v>
      </c>
      <c r="AV117" s="4">
        <v>0</v>
      </c>
      <c r="AW117" s="4">
        <v>0</v>
      </c>
      <c r="AX117" s="4">
        <v>3728270</v>
      </c>
      <c r="AY117" s="4">
        <v>3728270</v>
      </c>
    </row>
    <row r="118" spans="1:51">
      <c r="A118" s="3" t="s">
        <v>52</v>
      </c>
      <c r="B118" s="3" t="s">
        <v>53</v>
      </c>
      <c r="C118" s="3" t="s">
        <v>54</v>
      </c>
      <c r="D118" s="3" t="s">
        <v>55</v>
      </c>
      <c r="E118" s="3" t="s">
        <v>56</v>
      </c>
      <c r="F118" s="3" t="s">
        <v>57</v>
      </c>
      <c r="G118" s="3" t="s">
        <v>58</v>
      </c>
      <c r="H118" s="3" t="s">
        <v>59</v>
      </c>
      <c r="I118" s="3" t="s">
        <v>60</v>
      </c>
      <c r="J118" s="3" t="s">
        <v>61</v>
      </c>
      <c r="K118" s="3" t="s">
        <v>62</v>
      </c>
      <c r="L118" s="3" t="s">
        <v>63</v>
      </c>
      <c r="M118" s="3" t="s">
        <v>264</v>
      </c>
      <c r="N118" s="3" t="s">
        <v>265</v>
      </c>
      <c r="O118" s="3" t="s">
        <v>266</v>
      </c>
      <c r="P118" s="3" t="s">
        <v>267</v>
      </c>
      <c r="Q118" s="3" t="s">
        <v>312</v>
      </c>
      <c r="R118" s="3" t="s">
        <v>313</v>
      </c>
      <c r="S118" s="3" t="s">
        <v>102</v>
      </c>
      <c r="T118" s="3" t="s">
        <v>318</v>
      </c>
      <c r="U118" s="3" t="s">
        <v>54</v>
      </c>
      <c r="V118" s="3" t="s">
        <v>72</v>
      </c>
      <c r="W118" s="3" t="s">
        <v>73</v>
      </c>
      <c r="X118" s="3" t="s">
        <v>74</v>
      </c>
      <c r="Y118" s="3" t="s">
        <v>75</v>
      </c>
      <c r="Z118" s="3" t="s">
        <v>76</v>
      </c>
      <c r="AA118" s="3" t="s">
        <v>320</v>
      </c>
      <c r="AB118" s="4">
        <v>0</v>
      </c>
      <c r="AC118" s="4">
        <v>100000</v>
      </c>
      <c r="AD118" s="4">
        <v>0</v>
      </c>
      <c r="AE118" s="4">
        <v>100000</v>
      </c>
      <c r="AF118" s="4">
        <v>0</v>
      </c>
      <c r="AG118" s="4">
        <v>0</v>
      </c>
      <c r="AH118" s="4">
        <v>0</v>
      </c>
      <c r="AI118" s="4">
        <v>0</v>
      </c>
      <c r="AJ118" s="4">
        <v>0</v>
      </c>
      <c r="AK118" s="4">
        <v>0</v>
      </c>
      <c r="AL118" s="4">
        <v>0</v>
      </c>
      <c r="AM118" s="4">
        <v>0</v>
      </c>
      <c r="AN118" s="4">
        <v>0</v>
      </c>
      <c r="AO118" s="4">
        <v>0</v>
      </c>
      <c r="AP118" s="4">
        <v>0</v>
      </c>
      <c r="AQ118" s="4">
        <v>100000</v>
      </c>
      <c r="AR118" s="4">
        <v>0</v>
      </c>
      <c r="AS118" s="4">
        <v>0</v>
      </c>
      <c r="AT118" s="4">
        <v>0</v>
      </c>
      <c r="AU118" s="4">
        <v>0</v>
      </c>
      <c r="AV118" s="4">
        <v>0</v>
      </c>
      <c r="AW118" s="4">
        <v>0</v>
      </c>
      <c r="AX118" s="4">
        <v>100000</v>
      </c>
      <c r="AY118" s="4">
        <v>100000</v>
      </c>
    </row>
    <row r="119" spans="1:51">
      <c r="A119" s="3" t="s">
        <v>52</v>
      </c>
      <c r="B119" s="3" t="s">
        <v>53</v>
      </c>
      <c r="C119" s="3" t="s">
        <v>54</v>
      </c>
      <c r="D119" s="3" t="s">
        <v>55</v>
      </c>
      <c r="E119" s="3" t="s">
        <v>56</v>
      </c>
      <c r="F119" s="3" t="s">
        <v>57</v>
      </c>
      <c r="G119" s="3" t="s">
        <v>58</v>
      </c>
      <c r="H119" s="3" t="s">
        <v>59</v>
      </c>
      <c r="I119" s="3" t="s">
        <v>60</v>
      </c>
      <c r="J119" s="3" t="s">
        <v>61</v>
      </c>
      <c r="K119" s="3" t="s">
        <v>62</v>
      </c>
      <c r="L119" s="3" t="s">
        <v>63</v>
      </c>
      <c r="M119" s="3" t="s">
        <v>264</v>
      </c>
      <c r="N119" s="3" t="s">
        <v>265</v>
      </c>
      <c r="O119" s="3" t="s">
        <v>266</v>
      </c>
      <c r="P119" s="3" t="s">
        <v>267</v>
      </c>
      <c r="Q119" s="3" t="s">
        <v>312</v>
      </c>
      <c r="R119" s="3" t="s">
        <v>313</v>
      </c>
      <c r="S119" s="3" t="s">
        <v>102</v>
      </c>
      <c r="T119" s="3" t="s">
        <v>318</v>
      </c>
      <c r="U119" s="3" t="s">
        <v>54</v>
      </c>
      <c r="V119" s="3" t="s">
        <v>72</v>
      </c>
      <c r="W119" s="3" t="s">
        <v>73</v>
      </c>
      <c r="X119" s="3" t="s">
        <v>74</v>
      </c>
      <c r="Y119" s="3" t="s">
        <v>111</v>
      </c>
      <c r="Z119" s="3" t="s">
        <v>112</v>
      </c>
      <c r="AA119" s="3" t="s">
        <v>321</v>
      </c>
      <c r="AB119" s="4">
        <v>0</v>
      </c>
      <c r="AC119" s="4">
        <v>400000</v>
      </c>
      <c r="AD119" s="4">
        <v>0</v>
      </c>
      <c r="AE119" s="4">
        <v>400000</v>
      </c>
      <c r="AF119" s="4">
        <v>0</v>
      </c>
      <c r="AG119" s="4">
        <v>0</v>
      </c>
      <c r="AH119" s="4">
        <v>0</v>
      </c>
      <c r="AI119" s="4">
        <v>0</v>
      </c>
      <c r="AJ119" s="4">
        <v>0</v>
      </c>
      <c r="AK119" s="4">
        <v>0</v>
      </c>
      <c r="AL119" s="4">
        <v>0</v>
      </c>
      <c r="AM119" s="4">
        <v>0</v>
      </c>
      <c r="AN119" s="4">
        <v>0</v>
      </c>
      <c r="AO119" s="4">
        <v>0</v>
      </c>
      <c r="AP119" s="4">
        <v>0</v>
      </c>
      <c r="AQ119" s="4">
        <v>400000</v>
      </c>
      <c r="AR119" s="4">
        <v>400000</v>
      </c>
      <c r="AS119" s="4">
        <v>400000</v>
      </c>
      <c r="AT119" s="4">
        <v>0</v>
      </c>
      <c r="AU119" s="4">
        <v>0</v>
      </c>
      <c r="AV119" s="4">
        <v>0</v>
      </c>
      <c r="AW119" s="4">
        <v>0</v>
      </c>
      <c r="AX119" s="4">
        <v>0</v>
      </c>
      <c r="AY119" s="4">
        <v>0</v>
      </c>
    </row>
    <row r="120" spans="1:51">
      <c r="A120" s="3" t="s">
        <v>52</v>
      </c>
      <c r="B120" s="3" t="s">
        <v>53</v>
      </c>
      <c r="C120" s="3" t="s">
        <v>54</v>
      </c>
      <c r="D120" s="3" t="s">
        <v>55</v>
      </c>
      <c r="E120" s="3" t="s">
        <v>56</v>
      </c>
      <c r="F120" s="3" t="s">
        <v>57</v>
      </c>
      <c r="G120" s="3" t="s">
        <v>58</v>
      </c>
      <c r="H120" s="3" t="s">
        <v>59</v>
      </c>
      <c r="I120" s="3" t="s">
        <v>60</v>
      </c>
      <c r="J120" s="3" t="s">
        <v>61</v>
      </c>
      <c r="K120" s="3" t="s">
        <v>62</v>
      </c>
      <c r="L120" s="3" t="s">
        <v>63</v>
      </c>
      <c r="M120" s="3" t="s">
        <v>264</v>
      </c>
      <c r="N120" s="3" t="s">
        <v>265</v>
      </c>
      <c r="O120" s="3" t="s">
        <v>266</v>
      </c>
      <c r="P120" s="3" t="s">
        <v>267</v>
      </c>
      <c r="Q120" s="3" t="s">
        <v>312</v>
      </c>
      <c r="R120" s="3" t="s">
        <v>313</v>
      </c>
      <c r="S120" s="3" t="s">
        <v>128</v>
      </c>
      <c r="T120" s="3" t="s">
        <v>322</v>
      </c>
      <c r="U120" s="3" t="s">
        <v>54</v>
      </c>
      <c r="V120" s="3" t="s">
        <v>72</v>
      </c>
      <c r="W120" s="3" t="s">
        <v>73</v>
      </c>
      <c r="X120" s="3" t="s">
        <v>74</v>
      </c>
      <c r="Y120" s="3" t="s">
        <v>78</v>
      </c>
      <c r="Z120" s="3" t="s">
        <v>79</v>
      </c>
      <c r="AA120" s="3" t="s">
        <v>323</v>
      </c>
      <c r="AB120" s="4">
        <v>0</v>
      </c>
      <c r="AC120" s="4">
        <v>400000</v>
      </c>
      <c r="AD120" s="4">
        <v>0</v>
      </c>
      <c r="AE120" s="4">
        <v>400000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0</v>
      </c>
      <c r="AL120" s="4">
        <v>0</v>
      </c>
      <c r="AM120" s="4">
        <v>0</v>
      </c>
      <c r="AN120" s="4">
        <v>0</v>
      </c>
      <c r="AO120" s="4">
        <v>0</v>
      </c>
      <c r="AP120" s="4">
        <v>0</v>
      </c>
      <c r="AQ120" s="4">
        <v>400000</v>
      </c>
      <c r="AR120" s="4">
        <v>0</v>
      </c>
      <c r="AS120" s="4">
        <v>0</v>
      </c>
      <c r="AT120" s="4">
        <v>0</v>
      </c>
      <c r="AU120" s="4">
        <v>0</v>
      </c>
      <c r="AV120" s="4">
        <v>0</v>
      </c>
      <c r="AW120" s="4">
        <v>0</v>
      </c>
      <c r="AX120" s="4">
        <v>400000</v>
      </c>
      <c r="AY120" s="4">
        <v>400000</v>
      </c>
    </row>
    <row r="121" spans="1:51">
      <c r="A121" s="3" t="s">
        <v>52</v>
      </c>
      <c r="B121" s="3" t="s">
        <v>53</v>
      </c>
      <c r="C121" s="3" t="s">
        <v>54</v>
      </c>
      <c r="D121" s="3" t="s">
        <v>55</v>
      </c>
      <c r="E121" s="3" t="s">
        <v>56</v>
      </c>
      <c r="F121" s="3" t="s">
        <v>57</v>
      </c>
      <c r="G121" s="3" t="s">
        <v>58</v>
      </c>
      <c r="H121" s="3" t="s">
        <v>59</v>
      </c>
      <c r="I121" s="3" t="s">
        <v>60</v>
      </c>
      <c r="J121" s="3" t="s">
        <v>61</v>
      </c>
      <c r="K121" s="3" t="s">
        <v>62</v>
      </c>
      <c r="L121" s="3" t="s">
        <v>63</v>
      </c>
      <c r="M121" s="3" t="s">
        <v>264</v>
      </c>
      <c r="N121" s="3" t="s">
        <v>265</v>
      </c>
      <c r="O121" s="3" t="s">
        <v>266</v>
      </c>
      <c r="P121" s="3" t="s">
        <v>267</v>
      </c>
      <c r="Q121" s="3" t="s">
        <v>312</v>
      </c>
      <c r="R121" s="3" t="s">
        <v>313</v>
      </c>
      <c r="S121" s="3" t="s">
        <v>128</v>
      </c>
      <c r="T121" s="3" t="s">
        <v>322</v>
      </c>
      <c r="U121" s="3" t="s">
        <v>54</v>
      </c>
      <c r="V121" s="3" t="s">
        <v>72</v>
      </c>
      <c r="W121" s="3" t="s">
        <v>73</v>
      </c>
      <c r="X121" s="3" t="s">
        <v>74</v>
      </c>
      <c r="Y121" s="3" t="s">
        <v>78</v>
      </c>
      <c r="Z121" s="3" t="s">
        <v>79</v>
      </c>
      <c r="AA121" s="3" t="s">
        <v>324</v>
      </c>
      <c r="AB121" s="4">
        <v>0</v>
      </c>
      <c r="AC121" s="4">
        <v>200000</v>
      </c>
      <c r="AD121" s="4">
        <v>0</v>
      </c>
      <c r="AE121" s="4">
        <v>200000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4">
        <v>0</v>
      </c>
      <c r="AO121" s="4">
        <v>0</v>
      </c>
      <c r="AP121" s="4">
        <v>0</v>
      </c>
      <c r="AQ121" s="4">
        <v>200000</v>
      </c>
      <c r="AR121" s="4">
        <v>0</v>
      </c>
      <c r="AS121" s="4">
        <v>0</v>
      </c>
      <c r="AT121" s="4">
        <v>0</v>
      </c>
      <c r="AU121" s="4">
        <v>0</v>
      </c>
      <c r="AV121" s="4">
        <v>0</v>
      </c>
      <c r="AW121" s="4">
        <v>0</v>
      </c>
      <c r="AX121" s="4">
        <v>200000</v>
      </c>
      <c r="AY121" s="4">
        <v>200000</v>
      </c>
    </row>
    <row r="122" spans="1:51">
      <c r="A122" s="3" t="s">
        <v>52</v>
      </c>
      <c r="B122" s="3" t="s">
        <v>53</v>
      </c>
      <c r="C122" s="3" t="s">
        <v>54</v>
      </c>
      <c r="D122" s="3" t="s">
        <v>55</v>
      </c>
      <c r="E122" s="3" t="s">
        <v>56</v>
      </c>
      <c r="F122" s="3" t="s">
        <v>57</v>
      </c>
      <c r="G122" s="3" t="s">
        <v>58</v>
      </c>
      <c r="H122" s="3" t="s">
        <v>59</v>
      </c>
      <c r="I122" s="3" t="s">
        <v>60</v>
      </c>
      <c r="J122" s="3" t="s">
        <v>61</v>
      </c>
      <c r="K122" s="3" t="s">
        <v>62</v>
      </c>
      <c r="L122" s="3" t="s">
        <v>63</v>
      </c>
      <c r="M122" s="3" t="s">
        <v>264</v>
      </c>
      <c r="N122" s="3" t="s">
        <v>265</v>
      </c>
      <c r="O122" s="3" t="s">
        <v>266</v>
      </c>
      <c r="P122" s="3" t="s">
        <v>267</v>
      </c>
      <c r="Q122" s="3" t="s">
        <v>312</v>
      </c>
      <c r="R122" s="3" t="s">
        <v>313</v>
      </c>
      <c r="S122" s="3" t="s">
        <v>128</v>
      </c>
      <c r="T122" s="3" t="s">
        <v>322</v>
      </c>
      <c r="U122" s="3" t="s">
        <v>54</v>
      </c>
      <c r="V122" s="3" t="s">
        <v>72</v>
      </c>
      <c r="W122" s="3" t="s">
        <v>73</v>
      </c>
      <c r="X122" s="3" t="s">
        <v>74</v>
      </c>
      <c r="Y122" s="3" t="s">
        <v>78</v>
      </c>
      <c r="Z122" s="3" t="s">
        <v>79</v>
      </c>
      <c r="AA122" s="3" t="s">
        <v>325</v>
      </c>
      <c r="AB122" s="4">
        <v>0</v>
      </c>
      <c r="AC122" s="4">
        <v>200000</v>
      </c>
      <c r="AD122" s="4">
        <v>0</v>
      </c>
      <c r="AE122" s="4">
        <v>200000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4">
        <v>0</v>
      </c>
      <c r="AM122" s="4">
        <v>0</v>
      </c>
      <c r="AN122" s="4">
        <v>0</v>
      </c>
      <c r="AO122" s="4">
        <v>0</v>
      </c>
      <c r="AP122" s="4">
        <v>0</v>
      </c>
      <c r="AQ122" s="4">
        <v>200000</v>
      </c>
      <c r="AR122" s="4">
        <v>0</v>
      </c>
      <c r="AS122" s="4">
        <v>0</v>
      </c>
      <c r="AT122" s="4">
        <v>0</v>
      </c>
      <c r="AU122" s="4">
        <v>0</v>
      </c>
      <c r="AV122" s="4">
        <v>0</v>
      </c>
      <c r="AW122" s="4">
        <v>0</v>
      </c>
      <c r="AX122" s="4">
        <v>200000</v>
      </c>
      <c r="AY122" s="4">
        <v>200000</v>
      </c>
    </row>
    <row r="123" spans="1:51">
      <c r="A123" s="3" t="s">
        <v>52</v>
      </c>
      <c r="B123" s="3" t="s">
        <v>53</v>
      </c>
      <c r="C123" s="3" t="s">
        <v>54</v>
      </c>
      <c r="D123" s="3" t="s">
        <v>55</v>
      </c>
      <c r="E123" s="3" t="s">
        <v>56</v>
      </c>
      <c r="F123" s="3" t="s">
        <v>57</v>
      </c>
      <c r="G123" s="3" t="s">
        <v>58</v>
      </c>
      <c r="H123" s="3" t="s">
        <v>59</v>
      </c>
      <c r="I123" s="3" t="s">
        <v>60</v>
      </c>
      <c r="J123" s="3" t="s">
        <v>61</v>
      </c>
      <c r="K123" s="3" t="s">
        <v>62</v>
      </c>
      <c r="L123" s="3" t="s">
        <v>63</v>
      </c>
      <c r="M123" s="3" t="s">
        <v>264</v>
      </c>
      <c r="N123" s="3" t="s">
        <v>265</v>
      </c>
      <c r="O123" s="3" t="s">
        <v>266</v>
      </c>
      <c r="P123" s="3" t="s">
        <v>267</v>
      </c>
      <c r="Q123" s="3" t="s">
        <v>312</v>
      </c>
      <c r="R123" s="3" t="s">
        <v>313</v>
      </c>
      <c r="S123" s="3" t="s">
        <v>128</v>
      </c>
      <c r="T123" s="3" t="s">
        <v>322</v>
      </c>
      <c r="U123" s="3" t="s">
        <v>54</v>
      </c>
      <c r="V123" s="3" t="s">
        <v>72</v>
      </c>
      <c r="W123" s="3" t="s">
        <v>94</v>
      </c>
      <c r="X123" s="3" t="s">
        <v>95</v>
      </c>
      <c r="Y123" s="3" t="s">
        <v>96</v>
      </c>
      <c r="Z123" s="3" t="s">
        <v>95</v>
      </c>
      <c r="AA123" s="3" t="s">
        <v>326</v>
      </c>
      <c r="AB123" s="4">
        <v>0</v>
      </c>
      <c r="AC123" s="4">
        <v>400000</v>
      </c>
      <c r="AD123" s="4">
        <v>0</v>
      </c>
      <c r="AE123" s="4">
        <v>400000</v>
      </c>
      <c r="AF123" s="4">
        <v>0</v>
      </c>
      <c r="AG123" s="4">
        <v>0</v>
      </c>
      <c r="AH123" s="4">
        <v>0</v>
      </c>
      <c r="AI123" s="4">
        <v>0</v>
      </c>
      <c r="AJ123" s="4">
        <v>0</v>
      </c>
      <c r="AK123" s="4">
        <v>0</v>
      </c>
      <c r="AL123" s="4">
        <v>0</v>
      </c>
      <c r="AM123" s="4">
        <v>0</v>
      </c>
      <c r="AN123" s="4">
        <v>0</v>
      </c>
      <c r="AO123" s="4">
        <v>0</v>
      </c>
      <c r="AP123" s="4">
        <v>0</v>
      </c>
      <c r="AQ123" s="4">
        <v>400000</v>
      </c>
      <c r="AR123" s="4">
        <v>360100</v>
      </c>
      <c r="AS123" s="4">
        <v>360100</v>
      </c>
      <c r="AT123" s="4">
        <v>0</v>
      </c>
      <c r="AU123" s="4">
        <v>0</v>
      </c>
      <c r="AV123" s="4">
        <v>0</v>
      </c>
      <c r="AW123" s="4">
        <v>0</v>
      </c>
      <c r="AX123" s="4">
        <v>39900</v>
      </c>
      <c r="AY123" s="4">
        <v>39900</v>
      </c>
    </row>
    <row r="124" spans="1:51">
      <c r="A124" s="3" t="s">
        <v>52</v>
      </c>
      <c r="B124" s="3" t="s">
        <v>53</v>
      </c>
      <c r="C124" s="3" t="s">
        <v>54</v>
      </c>
      <c r="D124" s="3" t="s">
        <v>55</v>
      </c>
      <c r="E124" s="3" t="s">
        <v>56</v>
      </c>
      <c r="F124" s="3" t="s">
        <v>57</v>
      </c>
      <c r="G124" s="3" t="s">
        <v>58</v>
      </c>
      <c r="H124" s="3" t="s">
        <v>59</v>
      </c>
      <c r="I124" s="3" t="s">
        <v>60</v>
      </c>
      <c r="J124" s="3" t="s">
        <v>61</v>
      </c>
      <c r="K124" s="3" t="s">
        <v>62</v>
      </c>
      <c r="L124" s="3" t="s">
        <v>63</v>
      </c>
      <c r="M124" s="3" t="s">
        <v>264</v>
      </c>
      <c r="N124" s="3" t="s">
        <v>265</v>
      </c>
      <c r="O124" s="3" t="s">
        <v>266</v>
      </c>
      <c r="P124" s="3" t="s">
        <v>267</v>
      </c>
      <c r="Q124" s="3" t="s">
        <v>312</v>
      </c>
      <c r="R124" s="3" t="s">
        <v>313</v>
      </c>
      <c r="S124" s="3" t="s">
        <v>128</v>
      </c>
      <c r="T124" s="3" t="s">
        <v>322</v>
      </c>
      <c r="U124" s="3" t="s">
        <v>54</v>
      </c>
      <c r="V124" s="3" t="s">
        <v>72</v>
      </c>
      <c r="W124" s="3" t="s">
        <v>94</v>
      </c>
      <c r="X124" s="3" t="s">
        <v>95</v>
      </c>
      <c r="Y124" s="3" t="s">
        <v>96</v>
      </c>
      <c r="Z124" s="3" t="s">
        <v>95</v>
      </c>
      <c r="AA124" s="3" t="s">
        <v>327</v>
      </c>
      <c r="AB124" s="4">
        <v>0</v>
      </c>
      <c r="AC124" s="4">
        <v>200000</v>
      </c>
      <c r="AD124" s="4">
        <v>0</v>
      </c>
      <c r="AE124" s="4">
        <v>200000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4">
        <v>0</v>
      </c>
      <c r="AM124" s="4">
        <v>0</v>
      </c>
      <c r="AN124" s="4">
        <v>0</v>
      </c>
      <c r="AO124" s="4">
        <v>0</v>
      </c>
      <c r="AP124" s="4">
        <v>0</v>
      </c>
      <c r="AQ124" s="4">
        <v>200000</v>
      </c>
      <c r="AR124" s="4">
        <v>200000</v>
      </c>
      <c r="AS124" s="4">
        <v>200000</v>
      </c>
      <c r="AT124" s="4">
        <v>0</v>
      </c>
      <c r="AU124" s="4">
        <v>0</v>
      </c>
      <c r="AV124" s="4">
        <v>0</v>
      </c>
      <c r="AW124" s="4">
        <v>0</v>
      </c>
      <c r="AX124" s="4">
        <v>0</v>
      </c>
      <c r="AY124" s="4">
        <v>0</v>
      </c>
    </row>
    <row r="125" spans="1:51">
      <c r="A125" s="3" t="s">
        <v>52</v>
      </c>
      <c r="B125" s="3" t="s">
        <v>53</v>
      </c>
      <c r="C125" s="3" t="s">
        <v>54</v>
      </c>
      <c r="D125" s="3" t="s">
        <v>55</v>
      </c>
      <c r="E125" s="3" t="s">
        <v>56</v>
      </c>
      <c r="F125" s="3" t="s">
        <v>57</v>
      </c>
      <c r="G125" s="3" t="s">
        <v>58</v>
      </c>
      <c r="H125" s="3" t="s">
        <v>59</v>
      </c>
      <c r="I125" s="3" t="s">
        <v>60</v>
      </c>
      <c r="J125" s="3" t="s">
        <v>61</v>
      </c>
      <c r="K125" s="3" t="s">
        <v>62</v>
      </c>
      <c r="L125" s="3" t="s">
        <v>63</v>
      </c>
      <c r="M125" s="3" t="s">
        <v>264</v>
      </c>
      <c r="N125" s="3" t="s">
        <v>265</v>
      </c>
      <c r="O125" s="3" t="s">
        <v>266</v>
      </c>
      <c r="P125" s="3" t="s">
        <v>267</v>
      </c>
      <c r="Q125" s="3" t="s">
        <v>312</v>
      </c>
      <c r="R125" s="3" t="s">
        <v>313</v>
      </c>
      <c r="S125" s="3" t="s">
        <v>128</v>
      </c>
      <c r="T125" s="3" t="s">
        <v>322</v>
      </c>
      <c r="U125" s="3" t="s">
        <v>54</v>
      </c>
      <c r="V125" s="3" t="s">
        <v>72</v>
      </c>
      <c r="W125" s="3" t="s">
        <v>94</v>
      </c>
      <c r="X125" s="3" t="s">
        <v>95</v>
      </c>
      <c r="Y125" s="3" t="s">
        <v>96</v>
      </c>
      <c r="Z125" s="3" t="s">
        <v>95</v>
      </c>
      <c r="AA125" s="3" t="s">
        <v>328</v>
      </c>
      <c r="AB125" s="4">
        <v>0</v>
      </c>
      <c r="AC125" s="4">
        <v>200000</v>
      </c>
      <c r="AD125" s="4">
        <v>0</v>
      </c>
      <c r="AE125" s="4">
        <v>200000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4">
        <v>0</v>
      </c>
      <c r="AM125" s="4">
        <v>0</v>
      </c>
      <c r="AN125" s="4">
        <v>0</v>
      </c>
      <c r="AO125" s="4">
        <v>0</v>
      </c>
      <c r="AP125" s="4">
        <v>0</v>
      </c>
      <c r="AQ125" s="4">
        <v>200000</v>
      </c>
      <c r="AR125" s="4">
        <v>200000</v>
      </c>
      <c r="AS125" s="4">
        <v>200000</v>
      </c>
      <c r="AT125" s="4">
        <v>0</v>
      </c>
      <c r="AU125" s="4">
        <v>0</v>
      </c>
      <c r="AV125" s="4">
        <v>0</v>
      </c>
      <c r="AW125" s="4">
        <v>0</v>
      </c>
      <c r="AX125" s="4">
        <v>0</v>
      </c>
      <c r="AY125" s="4">
        <v>0</v>
      </c>
    </row>
    <row r="126" spans="1:51">
      <c r="A126" s="3" t="s">
        <v>52</v>
      </c>
      <c r="B126" s="3" t="s">
        <v>53</v>
      </c>
      <c r="C126" s="3" t="s">
        <v>54</v>
      </c>
      <c r="D126" s="3" t="s">
        <v>55</v>
      </c>
      <c r="E126" s="3" t="s">
        <v>56</v>
      </c>
      <c r="F126" s="3" t="s">
        <v>57</v>
      </c>
      <c r="G126" s="3" t="s">
        <v>58</v>
      </c>
      <c r="H126" s="3" t="s">
        <v>59</v>
      </c>
      <c r="I126" s="3" t="s">
        <v>60</v>
      </c>
      <c r="J126" s="3" t="s">
        <v>61</v>
      </c>
      <c r="K126" s="3" t="s">
        <v>62</v>
      </c>
      <c r="L126" s="3" t="s">
        <v>63</v>
      </c>
      <c r="M126" s="3" t="s">
        <v>264</v>
      </c>
      <c r="N126" s="3" t="s">
        <v>265</v>
      </c>
      <c r="O126" s="3" t="s">
        <v>266</v>
      </c>
      <c r="P126" s="3" t="s">
        <v>267</v>
      </c>
      <c r="Q126" s="3" t="s">
        <v>312</v>
      </c>
      <c r="R126" s="3" t="s">
        <v>313</v>
      </c>
      <c r="S126" s="3" t="s">
        <v>140</v>
      </c>
      <c r="T126" s="3" t="s">
        <v>329</v>
      </c>
      <c r="U126" s="3" t="s">
        <v>54</v>
      </c>
      <c r="V126" s="3" t="s">
        <v>72</v>
      </c>
      <c r="W126" s="3" t="s">
        <v>73</v>
      </c>
      <c r="X126" s="3" t="s">
        <v>74</v>
      </c>
      <c r="Y126" s="3" t="s">
        <v>78</v>
      </c>
      <c r="Z126" s="3" t="s">
        <v>79</v>
      </c>
      <c r="AA126" s="3" t="s">
        <v>330</v>
      </c>
      <c r="AB126" s="4">
        <v>0</v>
      </c>
      <c r="AC126" s="4">
        <v>0</v>
      </c>
      <c r="AD126" s="4">
        <v>1150000</v>
      </c>
      <c r="AE126" s="4">
        <v>1150000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4">
        <v>0</v>
      </c>
      <c r="AM126" s="4">
        <v>0</v>
      </c>
      <c r="AN126" s="4">
        <v>0</v>
      </c>
      <c r="AO126" s="4">
        <v>0</v>
      </c>
      <c r="AP126" s="4">
        <v>0</v>
      </c>
      <c r="AQ126" s="4">
        <v>1150000</v>
      </c>
      <c r="AR126" s="4">
        <v>0</v>
      </c>
      <c r="AS126" s="4">
        <v>0</v>
      </c>
      <c r="AT126" s="4">
        <v>0</v>
      </c>
      <c r="AU126" s="4">
        <v>0</v>
      </c>
      <c r="AV126" s="4">
        <v>0</v>
      </c>
      <c r="AW126" s="4">
        <v>0</v>
      </c>
      <c r="AX126" s="4">
        <v>1150000</v>
      </c>
      <c r="AY126" s="4">
        <v>1150000</v>
      </c>
    </row>
    <row r="127" spans="1:51">
      <c r="A127" s="3" t="s">
        <v>52</v>
      </c>
      <c r="B127" s="3" t="s">
        <v>53</v>
      </c>
      <c r="C127" s="3" t="s">
        <v>54</v>
      </c>
      <c r="D127" s="3" t="s">
        <v>55</v>
      </c>
      <c r="E127" s="3" t="s">
        <v>56</v>
      </c>
      <c r="F127" s="3" t="s">
        <v>57</v>
      </c>
      <c r="G127" s="3" t="s">
        <v>58</v>
      </c>
      <c r="H127" s="3" t="s">
        <v>59</v>
      </c>
      <c r="I127" s="3" t="s">
        <v>60</v>
      </c>
      <c r="J127" s="3" t="s">
        <v>61</v>
      </c>
      <c r="K127" s="3" t="s">
        <v>62</v>
      </c>
      <c r="L127" s="3" t="s">
        <v>63</v>
      </c>
      <c r="M127" s="3" t="s">
        <v>264</v>
      </c>
      <c r="N127" s="3" t="s">
        <v>265</v>
      </c>
      <c r="O127" s="3" t="s">
        <v>266</v>
      </c>
      <c r="P127" s="3" t="s">
        <v>267</v>
      </c>
      <c r="Q127" s="3" t="s">
        <v>312</v>
      </c>
      <c r="R127" s="3" t="s">
        <v>313</v>
      </c>
      <c r="S127" s="3" t="s">
        <v>140</v>
      </c>
      <c r="T127" s="3" t="s">
        <v>329</v>
      </c>
      <c r="U127" s="3" t="s">
        <v>54</v>
      </c>
      <c r="V127" s="3" t="s">
        <v>72</v>
      </c>
      <c r="W127" s="3" t="s">
        <v>94</v>
      </c>
      <c r="X127" s="3" t="s">
        <v>95</v>
      </c>
      <c r="Y127" s="3" t="s">
        <v>96</v>
      </c>
      <c r="Z127" s="3" t="s">
        <v>95</v>
      </c>
      <c r="AA127" s="3" t="s">
        <v>331</v>
      </c>
      <c r="AB127" s="4">
        <v>0</v>
      </c>
      <c r="AC127" s="4">
        <v>0</v>
      </c>
      <c r="AD127" s="4">
        <v>850000</v>
      </c>
      <c r="AE127" s="4">
        <v>850000</v>
      </c>
      <c r="AF127" s="4">
        <v>0</v>
      </c>
      <c r="AG127" s="4">
        <v>0</v>
      </c>
      <c r="AH127" s="4">
        <v>0</v>
      </c>
      <c r="AI127" s="4">
        <v>0</v>
      </c>
      <c r="AJ127" s="4">
        <v>0</v>
      </c>
      <c r="AK127" s="4">
        <v>0</v>
      </c>
      <c r="AL127" s="4">
        <v>0</v>
      </c>
      <c r="AM127" s="4">
        <v>0</v>
      </c>
      <c r="AN127" s="4">
        <v>0</v>
      </c>
      <c r="AO127" s="4">
        <v>0</v>
      </c>
      <c r="AP127" s="4">
        <v>0</v>
      </c>
      <c r="AQ127" s="4">
        <v>850000</v>
      </c>
      <c r="AR127" s="4">
        <v>160000</v>
      </c>
      <c r="AS127" s="4">
        <v>160000</v>
      </c>
      <c r="AT127" s="4">
        <v>0</v>
      </c>
      <c r="AU127" s="4">
        <v>0</v>
      </c>
      <c r="AV127" s="4">
        <v>0</v>
      </c>
      <c r="AW127" s="4">
        <v>0</v>
      </c>
      <c r="AX127" s="4">
        <v>690000</v>
      </c>
      <c r="AY127" s="4">
        <v>690000</v>
      </c>
    </row>
    <row r="128" spans="1:51">
      <c r="A128" s="3" t="s">
        <v>52</v>
      </c>
      <c r="B128" s="3" t="s">
        <v>53</v>
      </c>
      <c r="C128" s="3" t="s">
        <v>54</v>
      </c>
      <c r="D128" s="3" t="s">
        <v>55</v>
      </c>
      <c r="E128" s="3" t="s">
        <v>56</v>
      </c>
      <c r="F128" s="3" t="s">
        <v>57</v>
      </c>
      <c r="G128" s="3" t="s">
        <v>58</v>
      </c>
      <c r="H128" s="3" t="s">
        <v>59</v>
      </c>
      <c r="I128" s="3" t="s">
        <v>60</v>
      </c>
      <c r="J128" s="3" t="s">
        <v>61</v>
      </c>
      <c r="K128" s="3" t="s">
        <v>62</v>
      </c>
      <c r="L128" s="3" t="s">
        <v>63</v>
      </c>
      <c r="M128" s="3" t="s">
        <v>264</v>
      </c>
      <c r="N128" s="3" t="s">
        <v>265</v>
      </c>
      <c r="O128" s="3" t="s">
        <v>266</v>
      </c>
      <c r="P128" s="3" t="s">
        <v>267</v>
      </c>
      <c r="Q128" s="3" t="s">
        <v>332</v>
      </c>
      <c r="R128" s="3" t="s">
        <v>333</v>
      </c>
      <c r="S128" s="3" t="s">
        <v>334</v>
      </c>
      <c r="T128" s="3" t="s">
        <v>335</v>
      </c>
      <c r="U128" s="3" t="s">
        <v>130</v>
      </c>
      <c r="V128" s="3" t="s">
        <v>131</v>
      </c>
      <c r="W128" s="3" t="s">
        <v>132</v>
      </c>
      <c r="X128" s="3" t="s">
        <v>133</v>
      </c>
      <c r="Y128" s="3" t="s">
        <v>134</v>
      </c>
      <c r="Z128" s="3" t="s">
        <v>135</v>
      </c>
      <c r="AA128" s="3" t="s">
        <v>336</v>
      </c>
      <c r="AB128" s="4">
        <v>10780000</v>
      </c>
      <c r="AC128" s="4">
        <v>0</v>
      </c>
      <c r="AD128" s="4">
        <v>0</v>
      </c>
      <c r="AE128" s="4">
        <v>10780000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4">
        <v>0</v>
      </c>
      <c r="AM128" s="4">
        <v>0</v>
      </c>
      <c r="AN128" s="4">
        <v>0</v>
      </c>
      <c r="AO128" s="4">
        <v>0</v>
      </c>
      <c r="AP128" s="4">
        <v>0</v>
      </c>
      <c r="AQ128" s="4">
        <v>10780000</v>
      </c>
      <c r="AR128" s="4">
        <v>6930000</v>
      </c>
      <c r="AS128" s="4">
        <v>6930000</v>
      </c>
      <c r="AT128" s="4">
        <v>0</v>
      </c>
      <c r="AU128" s="4">
        <v>0</v>
      </c>
      <c r="AV128" s="4">
        <v>0</v>
      </c>
      <c r="AW128" s="4">
        <v>0</v>
      </c>
      <c r="AX128" s="4">
        <v>3850000</v>
      </c>
      <c r="AY128" s="4">
        <v>3850000</v>
      </c>
    </row>
    <row r="129" spans="1:51">
      <c r="A129" s="3" t="s">
        <v>52</v>
      </c>
      <c r="B129" s="3" t="s">
        <v>53</v>
      </c>
      <c r="C129" s="3" t="s">
        <v>54</v>
      </c>
      <c r="D129" s="3" t="s">
        <v>55</v>
      </c>
      <c r="E129" s="3" t="s">
        <v>56</v>
      </c>
      <c r="F129" s="3" t="s">
        <v>57</v>
      </c>
      <c r="G129" s="3" t="s">
        <v>58</v>
      </c>
      <c r="H129" s="3" t="s">
        <v>59</v>
      </c>
      <c r="I129" s="3" t="s">
        <v>60</v>
      </c>
      <c r="J129" s="3" t="s">
        <v>61</v>
      </c>
      <c r="K129" s="3" t="s">
        <v>62</v>
      </c>
      <c r="L129" s="3" t="s">
        <v>63</v>
      </c>
      <c r="M129" s="3" t="s">
        <v>264</v>
      </c>
      <c r="N129" s="3" t="s">
        <v>265</v>
      </c>
      <c r="O129" s="3" t="s">
        <v>266</v>
      </c>
      <c r="P129" s="3" t="s">
        <v>267</v>
      </c>
      <c r="Q129" s="3" t="s">
        <v>332</v>
      </c>
      <c r="R129" s="3" t="s">
        <v>333</v>
      </c>
      <c r="S129" s="3" t="s">
        <v>334</v>
      </c>
      <c r="T129" s="3" t="s">
        <v>335</v>
      </c>
      <c r="U129" s="3" t="s">
        <v>54</v>
      </c>
      <c r="V129" s="3" t="s">
        <v>72</v>
      </c>
      <c r="W129" s="3" t="s">
        <v>94</v>
      </c>
      <c r="X129" s="3" t="s">
        <v>95</v>
      </c>
      <c r="Y129" s="3" t="s">
        <v>96</v>
      </c>
      <c r="Z129" s="3" t="s">
        <v>95</v>
      </c>
      <c r="AA129" s="3" t="s">
        <v>337</v>
      </c>
      <c r="AB129" s="4">
        <v>6800000</v>
      </c>
      <c r="AC129" s="4">
        <v>0</v>
      </c>
      <c r="AD129" s="4">
        <v>0</v>
      </c>
      <c r="AE129" s="4">
        <v>6800000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4">
        <v>0</v>
      </c>
      <c r="AM129" s="4">
        <v>0</v>
      </c>
      <c r="AN129" s="4">
        <v>0</v>
      </c>
      <c r="AO129" s="4">
        <v>0</v>
      </c>
      <c r="AP129" s="4">
        <v>0</v>
      </c>
      <c r="AQ129" s="4">
        <v>6800000</v>
      </c>
      <c r="AR129" s="4">
        <v>4928950</v>
      </c>
      <c r="AS129" s="4">
        <v>4928950</v>
      </c>
      <c r="AT129" s="4">
        <v>0</v>
      </c>
      <c r="AU129" s="4">
        <v>0</v>
      </c>
      <c r="AV129" s="4">
        <v>0</v>
      </c>
      <c r="AW129" s="4">
        <v>0</v>
      </c>
      <c r="AX129" s="4">
        <v>1871050</v>
      </c>
      <c r="AY129" s="4">
        <v>1871050</v>
      </c>
    </row>
    <row r="130" spans="1:51">
      <c r="A130" s="3" t="s">
        <v>52</v>
      </c>
      <c r="B130" s="3" t="s">
        <v>53</v>
      </c>
      <c r="C130" s="3" t="s">
        <v>54</v>
      </c>
      <c r="D130" s="3" t="s">
        <v>55</v>
      </c>
      <c r="E130" s="3" t="s">
        <v>56</v>
      </c>
      <c r="F130" s="3" t="s">
        <v>57</v>
      </c>
      <c r="G130" s="3" t="s">
        <v>58</v>
      </c>
      <c r="H130" s="3" t="s">
        <v>59</v>
      </c>
      <c r="I130" s="3" t="s">
        <v>60</v>
      </c>
      <c r="J130" s="3" t="s">
        <v>61</v>
      </c>
      <c r="K130" s="3" t="s">
        <v>62</v>
      </c>
      <c r="L130" s="3" t="s">
        <v>63</v>
      </c>
      <c r="M130" s="3" t="s">
        <v>264</v>
      </c>
      <c r="N130" s="3" t="s">
        <v>265</v>
      </c>
      <c r="O130" s="3" t="s">
        <v>266</v>
      </c>
      <c r="P130" s="3" t="s">
        <v>267</v>
      </c>
      <c r="Q130" s="3" t="s">
        <v>332</v>
      </c>
      <c r="R130" s="3" t="s">
        <v>333</v>
      </c>
      <c r="S130" s="3" t="s">
        <v>334</v>
      </c>
      <c r="T130" s="3" t="s">
        <v>335</v>
      </c>
      <c r="U130" s="3" t="s">
        <v>86</v>
      </c>
      <c r="V130" s="3" t="s">
        <v>87</v>
      </c>
      <c r="W130" s="3" t="s">
        <v>88</v>
      </c>
      <c r="X130" s="3" t="s">
        <v>89</v>
      </c>
      <c r="Y130" s="3" t="s">
        <v>90</v>
      </c>
      <c r="Z130" s="3" t="s">
        <v>89</v>
      </c>
      <c r="AA130" s="3" t="s">
        <v>338</v>
      </c>
      <c r="AB130" s="4">
        <v>420000</v>
      </c>
      <c r="AC130" s="4">
        <v>0</v>
      </c>
      <c r="AD130" s="4">
        <v>0</v>
      </c>
      <c r="AE130" s="4">
        <v>420000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420000</v>
      </c>
      <c r="AR130" s="4">
        <v>120000</v>
      </c>
      <c r="AS130" s="4">
        <v>120000</v>
      </c>
      <c r="AT130" s="4">
        <v>0</v>
      </c>
      <c r="AU130" s="4">
        <v>0</v>
      </c>
      <c r="AV130" s="4">
        <v>0</v>
      </c>
      <c r="AW130" s="4">
        <v>0</v>
      </c>
      <c r="AX130" s="4">
        <v>300000</v>
      </c>
      <c r="AY130" s="4">
        <v>300000</v>
      </c>
    </row>
    <row r="131" spans="1:51">
      <c r="A131" s="3" t="s">
        <v>52</v>
      </c>
      <c r="B131" s="3" t="s">
        <v>53</v>
      </c>
      <c r="C131" s="3" t="s">
        <v>54</v>
      </c>
      <c r="D131" s="3" t="s">
        <v>55</v>
      </c>
      <c r="E131" s="3" t="s">
        <v>56</v>
      </c>
      <c r="F131" s="3" t="s">
        <v>57</v>
      </c>
      <c r="G131" s="3" t="s">
        <v>58</v>
      </c>
      <c r="H131" s="3" t="s">
        <v>59</v>
      </c>
      <c r="I131" s="3" t="s">
        <v>60</v>
      </c>
      <c r="J131" s="3" t="s">
        <v>61</v>
      </c>
      <c r="K131" s="3" t="s">
        <v>62</v>
      </c>
      <c r="L131" s="3" t="s">
        <v>63</v>
      </c>
      <c r="M131" s="3" t="s">
        <v>264</v>
      </c>
      <c r="N131" s="3" t="s">
        <v>265</v>
      </c>
      <c r="O131" s="3" t="s">
        <v>266</v>
      </c>
      <c r="P131" s="3" t="s">
        <v>267</v>
      </c>
      <c r="Q131" s="3" t="s">
        <v>332</v>
      </c>
      <c r="R131" s="3" t="s">
        <v>333</v>
      </c>
      <c r="S131" s="3" t="s">
        <v>102</v>
      </c>
      <c r="T131" s="3" t="s">
        <v>339</v>
      </c>
      <c r="U131" s="3" t="s">
        <v>54</v>
      </c>
      <c r="V131" s="3" t="s">
        <v>72</v>
      </c>
      <c r="W131" s="3" t="s">
        <v>73</v>
      </c>
      <c r="X131" s="3" t="s">
        <v>74</v>
      </c>
      <c r="Y131" s="3" t="s">
        <v>78</v>
      </c>
      <c r="Z131" s="3" t="s">
        <v>79</v>
      </c>
      <c r="AA131" s="3" t="s">
        <v>340</v>
      </c>
      <c r="AB131" s="4">
        <v>0</v>
      </c>
      <c r="AC131" s="4">
        <v>3150000</v>
      </c>
      <c r="AD131" s="4">
        <v>0</v>
      </c>
      <c r="AE131" s="4">
        <v>3150000</v>
      </c>
      <c r="AF131" s="4">
        <v>0</v>
      </c>
      <c r="AG131" s="4">
        <v>0</v>
      </c>
      <c r="AH131" s="4">
        <v>0</v>
      </c>
      <c r="AI131" s="4">
        <v>0</v>
      </c>
      <c r="AJ131" s="4">
        <v>0</v>
      </c>
      <c r="AK131" s="4">
        <v>0</v>
      </c>
      <c r="AL131" s="4">
        <v>0</v>
      </c>
      <c r="AM131" s="4">
        <v>0</v>
      </c>
      <c r="AN131" s="4">
        <v>0</v>
      </c>
      <c r="AO131" s="4">
        <v>0</v>
      </c>
      <c r="AP131" s="4">
        <v>0</v>
      </c>
      <c r="AQ131" s="4">
        <v>3150000</v>
      </c>
      <c r="AR131" s="4">
        <v>3150000</v>
      </c>
      <c r="AS131" s="4">
        <v>3150000</v>
      </c>
      <c r="AT131" s="4">
        <v>0</v>
      </c>
      <c r="AU131" s="4">
        <v>0</v>
      </c>
      <c r="AV131" s="4">
        <v>0</v>
      </c>
      <c r="AW131" s="4">
        <v>0</v>
      </c>
      <c r="AX131" s="4">
        <v>0</v>
      </c>
      <c r="AY131" s="4">
        <v>0</v>
      </c>
    </row>
    <row r="132" spans="1:51">
      <c r="A132" s="3" t="s">
        <v>52</v>
      </c>
      <c r="B132" s="3" t="s">
        <v>53</v>
      </c>
      <c r="C132" s="3" t="s">
        <v>54</v>
      </c>
      <c r="D132" s="3" t="s">
        <v>55</v>
      </c>
      <c r="E132" s="3" t="s">
        <v>56</v>
      </c>
      <c r="F132" s="3" t="s">
        <v>57</v>
      </c>
      <c r="G132" s="3" t="s">
        <v>58</v>
      </c>
      <c r="H132" s="3" t="s">
        <v>59</v>
      </c>
      <c r="I132" s="3" t="s">
        <v>60</v>
      </c>
      <c r="J132" s="3" t="s">
        <v>61</v>
      </c>
      <c r="K132" s="3" t="s">
        <v>62</v>
      </c>
      <c r="L132" s="3" t="s">
        <v>63</v>
      </c>
      <c r="M132" s="3" t="s">
        <v>264</v>
      </c>
      <c r="N132" s="3" t="s">
        <v>265</v>
      </c>
      <c r="O132" s="3" t="s">
        <v>266</v>
      </c>
      <c r="P132" s="3" t="s">
        <v>267</v>
      </c>
      <c r="Q132" s="3" t="s">
        <v>332</v>
      </c>
      <c r="R132" s="3" t="s">
        <v>333</v>
      </c>
      <c r="S132" s="3" t="s">
        <v>102</v>
      </c>
      <c r="T132" s="3" t="s">
        <v>339</v>
      </c>
      <c r="U132" s="3" t="s">
        <v>54</v>
      </c>
      <c r="V132" s="3" t="s">
        <v>72</v>
      </c>
      <c r="W132" s="3" t="s">
        <v>94</v>
      </c>
      <c r="X132" s="3" t="s">
        <v>95</v>
      </c>
      <c r="Y132" s="3" t="s">
        <v>96</v>
      </c>
      <c r="Z132" s="3" t="s">
        <v>95</v>
      </c>
      <c r="AA132" s="3" t="s">
        <v>341</v>
      </c>
      <c r="AB132" s="4">
        <v>0</v>
      </c>
      <c r="AC132" s="4">
        <v>4550000</v>
      </c>
      <c r="AD132" s="4">
        <v>0</v>
      </c>
      <c r="AE132" s="4">
        <v>4550000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4">
        <v>0</v>
      </c>
      <c r="AM132" s="4">
        <v>0</v>
      </c>
      <c r="AN132" s="4">
        <v>0</v>
      </c>
      <c r="AO132" s="4">
        <v>0</v>
      </c>
      <c r="AP132" s="4">
        <v>0</v>
      </c>
      <c r="AQ132" s="4">
        <v>4550000</v>
      </c>
      <c r="AR132" s="4">
        <v>1052800</v>
      </c>
      <c r="AS132" s="4">
        <v>1052800</v>
      </c>
      <c r="AT132" s="4">
        <v>0</v>
      </c>
      <c r="AU132" s="4">
        <v>0</v>
      </c>
      <c r="AV132" s="4">
        <v>0</v>
      </c>
      <c r="AW132" s="4">
        <v>0</v>
      </c>
      <c r="AX132" s="4">
        <v>3497200</v>
      </c>
      <c r="AY132" s="4">
        <v>3497200</v>
      </c>
    </row>
    <row r="133" spans="1:51">
      <c r="A133" s="3" t="s">
        <v>52</v>
      </c>
      <c r="B133" s="3" t="s">
        <v>53</v>
      </c>
      <c r="C133" s="3" t="s">
        <v>54</v>
      </c>
      <c r="D133" s="3" t="s">
        <v>55</v>
      </c>
      <c r="E133" s="3" t="s">
        <v>56</v>
      </c>
      <c r="F133" s="3" t="s">
        <v>57</v>
      </c>
      <c r="G133" s="3" t="s">
        <v>58</v>
      </c>
      <c r="H133" s="3" t="s">
        <v>59</v>
      </c>
      <c r="I133" s="3" t="s">
        <v>60</v>
      </c>
      <c r="J133" s="3" t="s">
        <v>61</v>
      </c>
      <c r="K133" s="3" t="s">
        <v>62</v>
      </c>
      <c r="L133" s="3" t="s">
        <v>63</v>
      </c>
      <c r="M133" s="3" t="s">
        <v>264</v>
      </c>
      <c r="N133" s="3" t="s">
        <v>265</v>
      </c>
      <c r="O133" s="3" t="s">
        <v>266</v>
      </c>
      <c r="P133" s="3" t="s">
        <v>267</v>
      </c>
      <c r="Q133" s="3" t="s">
        <v>332</v>
      </c>
      <c r="R133" s="3" t="s">
        <v>333</v>
      </c>
      <c r="S133" s="3" t="s">
        <v>146</v>
      </c>
      <c r="T133" s="3" t="s">
        <v>342</v>
      </c>
      <c r="U133" s="3" t="s">
        <v>54</v>
      </c>
      <c r="V133" s="3" t="s">
        <v>72</v>
      </c>
      <c r="W133" s="3" t="s">
        <v>94</v>
      </c>
      <c r="X133" s="3" t="s">
        <v>95</v>
      </c>
      <c r="Y133" s="3" t="s">
        <v>96</v>
      </c>
      <c r="Z133" s="3" t="s">
        <v>95</v>
      </c>
      <c r="AA133" s="3" t="s">
        <v>343</v>
      </c>
      <c r="AB133" s="4">
        <v>3000000</v>
      </c>
      <c r="AC133" s="4">
        <v>0</v>
      </c>
      <c r="AD133" s="4">
        <v>0</v>
      </c>
      <c r="AE133" s="4">
        <v>3000000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4">
        <v>0</v>
      </c>
      <c r="AM133" s="4">
        <v>0</v>
      </c>
      <c r="AN133" s="4">
        <v>0</v>
      </c>
      <c r="AO133" s="4">
        <v>0</v>
      </c>
      <c r="AP133" s="4">
        <v>0</v>
      </c>
      <c r="AQ133" s="4">
        <v>3000000</v>
      </c>
      <c r="AR133" s="4">
        <v>0</v>
      </c>
      <c r="AS133" s="4">
        <v>0</v>
      </c>
      <c r="AT133" s="4">
        <v>0</v>
      </c>
      <c r="AU133" s="4">
        <v>0</v>
      </c>
      <c r="AV133" s="4">
        <v>0</v>
      </c>
      <c r="AW133" s="4">
        <v>0</v>
      </c>
      <c r="AX133" s="4">
        <v>3000000</v>
      </c>
      <c r="AY133" s="4">
        <v>3000000</v>
      </c>
    </row>
    <row r="134" spans="1:51">
      <c r="A134" s="3" t="s">
        <v>52</v>
      </c>
      <c r="B134" s="3" t="s">
        <v>53</v>
      </c>
      <c r="C134" s="3" t="s">
        <v>54</v>
      </c>
      <c r="D134" s="3" t="s">
        <v>55</v>
      </c>
      <c r="E134" s="3" t="s">
        <v>56</v>
      </c>
      <c r="F134" s="3" t="s">
        <v>57</v>
      </c>
      <c r="G134" s="3" t="s">
        <v>58</v>
      </c>
      <c r="H134" s="3" t="s">
        <v>59</v>
      </c>
      <c r="I134" s="3" t="s">
        <v>60</v>
      </c>
      <c r="J134" s="3" t="s">
        <v>61</v>
      </c>
      <c r="K134" s="3" t="s">
        <v>62</v>
      </c>
      <c r="L134" s="3" t="s">
        <v>63</v>
      </c>
      <c r="M134" s="3" t="s">
        <v>264</v>
      </c>
      <c r="N134" s="3" t="s">
        <v>265</v>
      </c>
      <c r="O134" s="3" t="s">
        <v>266</v>
      </c>
      <c r="P134" s="3" t="s">
        <v>267</v>
      </c>
      <c r="Q134" s="3" t="s">
        <v>344</v>
      </c>
      <c r="R134" s="3" t="s">
        <v>345</v>
      </c>
      <c r="S134" s="3" t="s">
        <v>206</v>
      </c>
      <c r="T134" s="3" t="s">
        <v>346</v>
      </c>
      <c r="U134" s="3" t="s">
        <v>130</v>
      </c>
      <c r="V134" s="3" t="s">
        <v>131</v>
      </c>
      <c r="W134" s="3" t="s">
        <v>132</v>
      </c>
      <c r="X134" s="3" t="s">
        <v>133</v>
      </c>
      <c r="Y134" s="3" t="s">
        <v>134</v>
      </c>
      <c r="Z134" s="3" t="s">
        <v>135</v>
      </c>
      <c r="AA134" s="3" t="s">
        <v>347</v>
      </c>
      <c r="AB134" s="4">
        <v>0</v>
      </c>
      <c r="AC134" s="4">
        <v>7200000</v>
      </c>
      <c r="AD134" s="4">
        <v>4800000</v>
      </c>
      <c r="AE134" s="4">
        <v>12000000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4">
        <v>0</v>
      </c>
      <c r="AO134" s="4">
        <v>0</v>
      </c>
      <c r="AP134" s="4">
        <v>0</v>
      </c>
      <c r="AQ134" s="4">
        <v>12000000</v>
      </c>
      <c r="AR134" s="4">
        <v>12000000</v>
      </c>
      <c r="AS134" s="4">
        <v>12000000</v>
      </c>
      <c r="AT134" s="4">
        <v>0</v>
      </c>
      <c r="AU134" s="4">
        <v>0</v>
      </c>
      <c r="AV134" s="4">
        <v>0</v>
      </c>
      <c r="AW134" s="4">
        <v>0</v>
      </c>
      <c r="AX134" s="4">
        <v>0</v>
      </c>
      <c r="AY134" s="4">
        <v>0</v>
      </c>
    </row>
    <row r="135" spans="1:51">
      <c r="A135" s="3" t="s">
        <v>52</v>
      </c>
      <c r="B135" s="3" t="s">
        <v>53</v>
      </c>
      <c r="C135" s="3" t="s">
        <v>54</v>
      </c>
      <c r="D135" s="3" t="s">
        <v>55</v>
      </c>
      <c r="E135" s="3" t="s">
        <v>56</v>
      </c>
      <c r="F135" s="3" t="s">
        <v>57</v>
      </c>
      <c r="G135" s="3" t="s">
        <v>58</v>
      </c>
      <c r="H135" s="3" t="s">
        <v>59</v>
      </c>
      <c r="I135" s="3" t="s">
        <v>60</v>
      </c>
      <c r="J135" s="3" t="s">
        <v>61</v>
      </c>
      <c r="K135" s="3" t="s">
        <v>62</v>
      </c>
      <c r="L135" s="3" t="s">
        <v>63</v>
      </c>
      <c r="M135" s="3" t="s">
        <v>264</v>
      </c>
      <c r="N135" s="3" t="s">
        <v>265</v>
      </c>
      <c r="O135" s="3" t="s">
        <v>266</v>
      </c>
      <c r="P135" s="3" t="s">
        <v>267</v>
      </c>
      <c r="Q135" s="3" t="s">
        <v>344</v>
      </c>
      <c r="R135" s="3" t="s">
        <v>345</v>
      </c>
      <c r="S135" s="3" t="s">
        <v>206</v>
      </c>
      <c r="T135" s="3" t="s">
        <v>346</v>
      </c>
      <c r="U135" s="3" t="s">
        <v>54</v>
      </c>
      <c r="V135" s="3" t="s">
        <v>72</v>
      </c>
      <c r="W135" s="3" t="s">
        <v>73</v>
      </c>
      <c r="X135" s="3" t="s">
        <v>74</v>
      </c>
      <c r="Y135" s="3" t="s">
        <v>75</v>
      </c>
      <c r="Z135" s="3" t="s">
        <v>76</v>
      </c>
      <c r="AA135" s="3" t="s">
        <v>348</v>
      </c>
      <c r="AB135" s="4">
        <v>0</v>
      </c>
      <c r="AC135" s="4">
        <v>2100000</v>
      </c>
      <c r="AD135" s="4">
        <v>1400000</v>
      </c>
      <c r="AE135" s="4">
        <v>3500000</v>
      </c>
      <c r="AF135" s="4">
        <v>0</v>
      </c>
      <c r="AG135" s="4">
        <v>0</v>
      </c>
      <c r="AH135" s="4">
        <v>0</v>
      </c>
      <c r="AI135" s="4">
        <v>0</v>
      </c>
      <c r="AJ135" s="4">
        <v>0</v>
      </c>
      <c r="AK135" s="4">
        <v>0</v>
      </c>
      <c r="AL135" s="4">
        <v>0</v>
      </c>
      <c r="AM135" s="4">
        <v>0</v>
      </c>
      <c r="AN135" s="4">
        <v>0</v>
      </c>
      <c r="AO135" s="4">
        <v>0</v>
      </c>
      <c r="AP135" s="4">
        <v>0</v>
      </c>
      <c r="AQ135" s="4">
        <v>3500000</v>
      </c>
      <c r="AR135" s="4">
        <v>3500000</v>
      </c>
      <c r="AS135" s="4">
        <v>3500000</v>
      </c>
      <c r="AT135" s="4">
        <v>0</v>
      </c>
      <c r="AU135" s="4">
        <v>0</v>
      </c>
      <c r="AV135" s="4">
        <v>0</v>
      </c>
      <c r="AW135" s="4">
        <v>0</v>
      </c>
      <c r="AX135" s="4">
        <v>0</v>
      </c>
      <c r="AY135" s="4">
        <v>0</v>
      </c>
    </row>
    <row r="136" spans="1:51">
      <c r="A136" s="3" t="s">
        <v>52</v>
      </c>
      <c r="B136" s="3" t="s">
        <v>53</v>
      </c>
      <c r="C136" s="3" t="s">
        <v>54</v>
      </c>
      <c r="D136" s="3" t="s">
        <v>55</v>
      </c>
      <c r="E136" s="3" t="s">
        <v>56</v>
      </c>
      <c r="F136" s="3" t="s">
        <v>57</v>
      </c>
      <c r="G136" s="3" t="s">
        <v>58</v>
      </c>
      <c r="H136" s="3" t="s">
        <v>59</v>
      </c>
      <c r="I136" s="3" t="s">
        <v>60</v>
      </c>
      <c r="J136" s="3" t="s">
        <v>61</v>
      </c>
      <c r="K136" s="3" t="s">
        <v>62</v>
      </c>
      <c r="L136" s="3" t="s">
        <v>63</v>
      </c>
      <c r="M136" s="3" t="s">
        <v>264</v>
      </c>
      <c r="N136" s="3" t="s">
        <v>265</v>
      </c>
      <c r="O136" s="3" t="s">
        <v>266</v>
      </c>
      <c r="P136" s="3" t="s">
        <v>267</v>
      </c>
      <c r="Q136" s="3" t="s">
        <v>344</v>
      </c>
      <c r="R136" s="3" t="s">
        <v>345</v>
      </c>
      <c r="S136" s="3" t="s">
        <v>206</v>
      </c>
      <c r="T136" s="3" t="s">
        <v>346</v>
      </c>
      <c r="U136" s="3" t="s">
        <v>54</v>
      </c>
      <c r="V136" s="3" t="s">
        <v>72</v>
      </c>
      <c r="W136" s="3" t="s">
        <v>123</v>
      </c>
      <c r="X136" s="3" t="s">
        <v>124</v>
      </c>
      <c r="Y136" s="3" t="s">
        <v>137</v>
      </c>
      <c r="Z136" s="3" t="s">
        <v>138</v>
      </c>
      <c r="AA136" s="3" t="s">
        <v>349</v>
      </c>
      <c r="AB136" s="4">
        <v>0</v>
      </c>
      <c r="AC136" s="4">
        <v>960000</v>
      </c>
      <c r="AD136" s="4">
        <v>640000</v>
      </c>
      <c r="AE136" s="4">
        <v>1600000</v>
      </c>
      <c r="AF136" s="4">
        <v>0</v>
      </c>
      <c r="AG136" s="4">
        <v>0</v>
      </c>
      <c r="AH136" s="4">
        <v>0</v>
      </c>
      <c r="AI136" s="4">
        <v>0</v>
      </c>
      <c r="AJ136" s="4">
        <v>0</v>
      </c>
      <c r="AK136" s="4">
        <v>0</v>
      </c>
      <c r="AL136" s="4">
        <v>0</v>
      </c>
      <c r="AM136" s="4">
        <v>0</v>
      </c>
      <c r="AN136" s="4">
        <v>0</v>
      </c>
      <c r="AO136" s="4">
        <v>0</v>
      </c>
      <c r="AP136" s="4">
        <v>0</v>
      </c>
      <c r="AQ136" s="4">
        <v>1600000</v>
      </c>
      <c r="AR136" s="4">
        <v>1180560</v>
      </c>
      <c r="AS136" s="4">
        <v>1180560</v>
      </c>
      <c r="AT136" s="4">
        <v>0</v>
      </c>
      <c r="AU136" s="4">
        <v>0</v>
      </c>
      <c r="AV136" s="4">
        <v>0</v>
      </c>
      <c r="AW136" s="4">
        <v>0</v>
      </c>
      <c r="AX136" s="4">
        <v>419440</v>
      </c>
      <c r="AY136" s="4">
        <v>419440</v>
      </c>
    </row>
    <row r="137" spans="1:51">
      <c r="A137" s="3" t="s">
        <v>52</v>
      </c>
      <c r="B137" s="3" t="s">
        <v>53</v>
      </c>
      <c r="C137" s="3" t="s">
        <v>54</v>
      </c>
      <c r="D137" s="3" t="s">
        <v>55</v>
      </c>
      <c r="E137" s="3" t="s">
        <v>56</v>
      </c>
      <c r="F137" s="3" t="s">
        <v>57</v>
      </c>
      <c r="G137" s="3" t="s">
        <v>58</v>
      </c>
      <c r="H137" s="3" t="s">
        <v>59</v>
      </c>
      <c r="I137" s="3" t="s">
        <v>60</v>
      </c>
      <c r="J137" s="3" t="s">
        <v>61</v>
      </c>
      <c r="K137" s="3" t="s">
        <v>62</v>
      </c>
      <c r="L137" s="3" t="s">
        <v>63</v>
      </c>
      <c r="M137" s="3" t="s">
        <v>264</v>
      </c>
      <c r="N137" s="3" t="s">
        <v>265</v>
      </c>
      <c r="O137" s="3" t="s">
        <v>266</v>
      </c>
      <c r="P137" s="3" t="s">
        <v>267</v>
      </c>
      <c r="Q137" s="3" t="s">
        <v>344</v>
      </c>
      <c r="R137" s="3" t="s">
        <v>345</v>
      </c>
      <c r="S137" s="3" t="s">
        <v>102</v>
      </c>
      <c r="T137" s="3" t="s">
        <v>350</v>
      </c>
      <c r="U137" s="3" t="s">
        <v>54</v>
      </c>
      <c r="V137" s="3" t="s">
        <v>72</v>
      </c>
      <c r="W137" s="3" t="s">
        <v>73</v>
      </c>
      <c r="X137" s="3" t="s">
        <v>74</v>
      </c>
      <c r="Y137" s="3" t="s">
        <v>78</v>
      </c>
      <c r="Z137" s="3" t="s">
        <v>79</v>
      </c>
      <c r="AA137" s="3" t="s">
        <v>351</v>
      </c>
      <c r="AB137" s="4">
        <v>0</v>
      </c>
      <c r="AC137" s="4">
        <v>0</v>
      </c>
      <c r="AD137" s="4">
        <v>1000000</v>
      </c>
      <c r="AE137" s="4">
        <v>1000000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4">
        <v>0</v>
      </c>
      <c r="AO137" s="4">
        <v>0</v>
      </c>
      <c r="AP137" s="4">
        <v>0</v>
      </c>
      <c r="AQ137" s="4">
        <v>1000000</v>
      </c>
      <c r="AR137" s="4">
        <v>0</v>
      </c>
      <c r="AS137" s="4">
        <v>0</v>
      </c>
      <c r="AT137" s="4">
        <v>0</v>
      </c>
      <c r="AU137" s="4">
        <v>0</v>
      </c>
      <c r="AV137" s="4">
        <v>0</v>
      </c>
      <c r="AW137" s="4">
        <v>0</v>
      </c>
      <c r="AX137" s="4">
        <v>1000000</v>
      </c>
      <c r="AY137" s="4">
        <v>1000000</v>
      </c>
    </row>
    <row r="138" spans="1:51">
      <c r="A138" s="3" t="s">
        <v>52</v>
      </c>
      <c r="B138" s="3" t="s">
        <v>53</v>
      </c>
      <c r="C138" s="3" t="s">
        <v>54</v>
      </c>
      <c r="D138" s="3" t="s">
        <v>55</v>
      </c>
      <c r="E138" s="3" t="s">
        <v>56</v>
      </c>
      <c r="F138" s="3" t="s">
        <v>57</v>
      </c>
      <c r="G138" s="3" t="s">
        <v>58</v>
      </c>
      <c r="H138" s="3" t="s">
        <v>59</v>
      </c>
      <c r="I138" s="3" t="s">
        <v>60</v>
      </c>
      <c r="J138" s="3" t="s">
        <v>61</v>
      </c>
      <c r="K138" s="3" t="s">
        <v>62</v>
      </c>
      <c r="L138" s="3" t="s">
        <v>63</v>
      </c>
      <c r="M138" s="3" t="s">
        <v>264</v>
      </c>
      <c r="N138" s="3" t="s">
        <v>265</v>
      </c>
      <c r="O138" s="3" t="s">
        <v>266</v>
      </c>
      <c r="P138" s="3" t="s">
        <v>267</v>
      </c>
      <c r="Q138" s="3" t="s">
        <v>344</v>
      </c>
      <c r="R138" s="3" t="s">
        <v>345</v>
      </c>
      <c r="S138" s="3" t="s">
        <v>102</v>
      </c>
      <c r="T138" s="3" t="s">
        <v>350</v>
      </c>
      <c r="U138" s="3" t="s">
        <v>54</v>
      </c>
      <c r="V138" s="3" t="s">
        <v>72</v>
      </c>
      <c r="W138" s="3" t="s">
        <v>94</v>
      </c>
      <c r="X138" s="3" t="s">
        <v>95</v>
      </c>
      <c r="Y138" s="3" t="s">
        <v>96</v>
      </c>
      <c r="Z138" s="3" t="s">
        <v>95</v>
      </c>
      <c r="AA138" s="3" t="s">
        <v>352</v>
      </c>
      <c r="AB138" s="4">
        <v>0</v>
      </c>
      <c r="AC138" s="4">
        <v>0</v>
      </c>
      <c r="AD138" s="4">
        <v>800000</v>
      </c>
      <c r="AE138" s="4">
        <v>800000</v>
      </c>
      <c r="AF138" s="4">
        <v>0</v>
      </c>
      <c r="AG138" s="4">
        <v>0</v>
      </c>
      <c r="AH138" s="4">
        <v>0</v>
      </c>
      <c r="AI138" s="4">
        <v>0</v>
      </c>
      <c r="AJ138" s="4">
        <v>0</v>
      </c>
      <c r="AK138" s="4">
        <v>0</v>
      </c>
      <c r="AL138" s="4">
        <v>0</v>
      </c>
      <c r="AM138" s="4">
        <v>0</v>
      </c>
      <c r="AN138" s="4">
        <v>0</v>
      </c>
      <c r="AO138" s="4">
        <v>0</v>
      </c>
      <c r="AP138" s="4">
        <v>0</v>
      </c>
      <c r="AQ138" s="4">
        <v>800000</v>
      </c>
      <c r="AR138" s="4">
        <v>529410</v>
      </c>
      <c r="AS138" s="4">
        <v>0</v>
      </c>
      <c r="AT138" s="4">
        <v>0</v>
      </c>
      <c r="AU138" s="4">
        <v>0</v>
      </c>
      <c r="AV138" s="4">
        <v>0</v>
      </c>
      <c r="AW138" s="4">
        <v>0</v>
      </c>
      <c r="AX138" s="4">
        <v>270590</v>
      </c>
      <c r="AY138" s="4">
        <v>800000</v>
      </c>
    </row>
    <row r="139" spans="1:51">
      <c r="A139" s="3" t="s">
        <v>52</v>
      </c>
      <c r="B139" s="3" t="s">
        <v>53</v>
      </c>
      <c r="C139" s="3" t="s">
        <v>54</v>
      </c>
      <c r="D139" s="3" t="s">
        <v>55</v>
      </c>
      <c r="E139" s="3" t="s">
        <v>56</v>
      </c>
      <c r="F139" s="3" t="s">
        <v>57</v>
      </c>
      <c r="G139" s="3" t="s">
        <v>58</v>
      </c>
      <c r="H139" s="3" t="s">
        <v>59</v>
      </c>
      <c r="I139" s="3" t="s">
        <v>60</v>
      </c>
      <c r="J139" s="3" t="s">
        <v>61</v>
      </c>
      <c r="K139" s="3" t="s">
        <v>62</v>
      </c>
      <c r="L139" s="3" t="s">
        <v>63</v>
      </c>
      <c r="M139" s="3" t="s">
        <v>264</v>
      </c>
      <c r="N139" s="3" t="s">
        <v>265</v>
      </c>
      <c r="O139" s="3" t="s">
        <v>266</v>
      </c>
      <c r="P139" s="3" t="s">
        <v>267</v>
      </c>
      <c r="Q139" s="3" t="s">
        <v>344</v>
      </c>
      <c r="R139" s="3" t="s">
        <v>345</v>
      </c>
      <c r="S139" s="3" t="s">
        <v>128</v>
      </c>
      <c r="T139" s="3" t="s">
        <v>353</v>
      </c>
      <c r="U139" s="3" t="s">
        <v>54</v>
      </c>
      <c r="V139" s="3" t="s">
        <v>72</v>
      </c>
      <c r="W139" s="3" t="s">
        <v>94</v>
      </c>
      <c r="X139" s="3" t="s">
        <v>95</v>
      </c>
      <c r="Y139" s="3" t="s">
        <v>96</v>
      </c>
      <c r="Z139" s="3" t="s">
        <v>95</v>
      </c>
      <c r="AA139" s="3" t="s">
        <v>354</v>
      </c>
      <c r="AB139" s="4">
        <v>0</v>
      </c>
      <c r="AC139" s="4">
        <v>2200000</v>
      </c>
      <c r="AD139" s="4">
        <v>0</v>
      </c>
      <c r="AE139" s="4">
        <v>2200000</v>
      </c>
      <c r="AF139" s="4">
        <v>0</v>
      </c>
      <c r="AG139" s="4">
        <v>0</v>
      </c>
      <c r="AH139" s="4">
        <v>0</v>
      </c>
      <c r="AI139" s="4">
        <v>0</v>
      </c>
      <c r="AJ139" s="4">
        <v>0</v>
      </c>
      <c r="AK139" s="4">
        <v>0</v>
      </c>
      <c r="AL139" s="4">
        <v>0</v>
      </c>
      <c r="AM139" s="4">
        <v>0</v>
      </c>
      <c r="AN139" s="4">
        <v>0</v>
      </c>
      <c r="AO139" s="4">
        <v>0</v>
      </c>
      <c r="AP139" s="4">
        <v>0</v>
      </c>
      <c r="AQ139" s="4">
        <v>2200000</v>
      </c>
      <c r="AR139" s="4">
        <v>1900000</v>
      </c>
      <c r="AS139" s="4">
        <v>1900000</v>
      </c>
      <c r="AT139" s="4">
        <v>0</v>
      </c>
      <c r="AU139" s="4">
        <v>0</v>
      </c>
      <c r="AV139" s="4">
        <v>0</v>
      </c>
      <c r="AW139" s="4">
        <v>0</v>
      </c>
      <c r="AX139" s="4">
        <v>300000</v>
      </c>
      <c r="AY139" s="4">
        <v>300000</v>
      </c>
    </row>
    <row r="140" spans="1:51">
      <c r="A140" s="3" t="s">
        <v>52</v>
      </c>
      <c r="B140" s="3" t="s">
        <v>53</v>
      </c>
      <c r="C140" s="3" t="s">
        <v>54</v>
      </c>
      <c r="D140" s="3" t="s">
        <v>55</v>
      </c>
      <c r="E140" s="3" t="s">
        <v>56</v>
      </c>
      <c r="F140" s="3" t="s">
        <v>57</v>
      </c>
      <c r="G140" s="3" t="s">
        <v>58</v>
      </c>
      <c r="H140" s="3" t="s">
        <v>59</v>
      </c>
      <c r="I140" s="3" t="s">
        <v>60</v>
      </c>
      <c r="J140" s="3" t="s">
        <v>61</v>
      </c>
      <c r="K140" s="3" t="s">
        <v>62</v>
      </c>
      <c r="L140" s="3" t="s">
        <v>63</v>
      </c>
      <c r="M140" s="3" t="s">
        <v>264</v>
      </c>
      <c r="N140" s="3" t="s">
        <v>265</v>
      </c>
      <c r="O140" s="3" t="s">
        <v>266</v>
      </c>
      <c r="P140" s="3" t="s">
        <v>267</v>
      </c>
      <c r="Q140" s="3" t="s">
        <v>344</v>
      </c>
      <c r="R140" s="3" t="s">
        <v>345</v>
      </c>
      <c r="S140" s="3" t="s">
        <v>128</v>
      </c>
      <c r="T140" s="3" t="s">
        <v>353</v>
      </c>
      <c r="U140" s="3" t="s">
        <v>54</v>
      </c>
      <c r="V140" s="3" t="s">
        <v>72</v>
      </c>
      <c r="W140" s="3" t="s">
        <v>94</v>
      </c>
      <c r="X140" s="3" t="s">
        <v>95</v>
      </c>
      <c r="Y140" s="3" t="s">
        <v>96</v>
      </c>
      <c r="Z140" s="3" t="s">
        <v>95</v>
      </c>
      <c r="AA140" s="3" t="s">
        <v>355</v>
      </c>
      <c r="AB140" s="4">
        <v>0</v>
      </c>
      <c r="AC140" s="4">
        <v>5000000</v>
      </c>
      <c r="AD140" s="4">
        <v>0</v>
      </c>
      <c r="AE140" s="4">
        <v>5000000</v>
      </c>
      <c r="AF140" s="4">
        <v>0</v>
      </c>
      <c r="AG140" s="4">
        <v>0</v>
      </c>
      <c r="AH140" s="4">
        <v>0</v>
      </c>
      <c r="AI140" s="4">
        <v>0</v>
      </c>
      <c r="AJ140" s="4">
        <v>0</v>
      </c>
      <c r="AK140" s="4">
        <v>0</v>
      </c>
      <c r="AL140" s="4">
        <v>0</v>
      </c>
      <c r="AM140" s="4">
        <v>0</v>
      </c>
      <c r="AN140" s="4">
        <v>0</v>
      </c>
      <c r="AO140" s="4">
        <v>0</v>
      </c>
      <c r="AP140" s="4">
        <v>0</v>
      </c>
      <c r="AQ140" s="4">
        <v>5000000</v>
      </c>
      <c r="AR140" s="4">
        <v>2500000</v>
      </c>
      <c r="AS140" s="4">
        <v>0</v>
      </c>
      <c r="AT140" s="4">
        <v>0</v>
      </c>
      <c r="AU140" s="4">
        <v>0</v>
      </c>
      <c r="AV140" s="4">
        <v>0</v>
      </c>
      <c r="AW140" s="4">
        <v>0</v>
      </c>
      <c r="AX140" s="4">
        <v>2500000</v>
      </c>
      <c r="AY140" s="4">
        <v>5000000</v>
      </c>
    </row>
    <row r="141" spans="1:51">
      <c r="A141" s="3" t="s">
        <v>52</v>
      </c>
      <c r="B141" s="3" t="s">
        <v>53</v>
      </c>
      <c r="C141" s="3" t="s">
        <v>54</v>
      </c>
      <c r="D141" s="3" t="s">
        <v>55</v>
      </c>
      <c r="E141" s="3" t="s">
        <v>56</v>
      </c>
      <c r="F141" s="3" t="s">
        <v>57</v>
      </c>
      <c r="G141" s="3" t="s">
        <v>58</v>
      </c>
      <c r="H141" s="3" t="s">
        <v>59</v>
      </c>
      <c r="I141" s="3" t="s">
        <v>60</v>
      </c>
      <c r="J141" s="3" t="s">
        <v>61</v>
      </c>
      <c r="K141" s="3" t="s">
        <v>62</v>
      </c>
      <c r="L141" s="3" t="s">
        <v>63</v>
      </c>
      <c r="M141" s="3" t="s">
        <v>264</v>
      </c>
      <c r="N141" s="3" t="s">
        <v>265</v>
      </c>
      <c r="O141" s="3" t="s">
        <v>266</v>
      </c>
      <c r="P141" s="3" t="s">
        <v>267</v>
      </c>
      <c r="Q141" s="3" t="s">
        <v>344</v>
      </c>
      <c r="R141" s="3" t="s">
        <v>345</v>
      </c>
      <c r="S141" s="3" t="s">
        <v>140</v>
      </c>
      <c r="T141" s="3" t="s">
        <v>356</v>
      </c>
      <c r="U141" s="3" t="s">
        <v>54</v>
      </c>
      <c r="V141" s="3" t="s">
        <v>72</v>
      </c>
      <c r="W141" s="3" t="s">
        <v>94</v>
      </c>
      <c r="X141" s="3" t="s">
        <v>95</v>
      </c>
      <c r="Y141" s="3" t="s">
        <v>96</v>
      </c>
      <c r="Z141" s="3" t="s">
        <v>95</v>
      </c>
      <c r="AA141" s="3" t="s">
        <v>357</v>
      </c>
      <c r="AB141" s="4">
        <v>0</v>
      </c>
      <c r="AC141" s="4">
        <v>1000000</v>
      </c>
      <c r="AD141" s="4">
        <v>0</v>
      </c>
      <c r="AE141" s="4">
        <v>1000000</v>
      </c>
      <c r="AF141" s="4">
        <v>0</v>
      </c>
      <c r="AG141" s="4">
        <v>0</v>
      </c>
      <c r="AH141" s="4">
        <v>0</v>
      </c>
      <c r="AI141" s="4">
        <v>0</v>
      </c>
      <c r="AJ141" s="4">
        <v>0</v>
      </c>
      <c r="AK141" s="4">
        <v>0</v>
      </c>
      <c r="AL141" s="4">
        <v>0</v>
      </c>
      <c r="AM141" s="4">
        <v>0</v>
      </c>
      <c r="AN141" s="4">
        <v>0</v>
      </c>
      <c r="AO141" s="4">
        <v>0</v>
      </c>
      <c r="AP141" s="4">
        <v>0</v>
      </c>
      <c r="AQ141" s="4">
        <v>1000000</v>
      </c>
      <c r="AR141" s="4">
        <v>1000000</v>
      </c>
      <c r="AS141" s="4">
        <v>0</v>
      </c>
      <c r="AT141" s="4">
        <v>0</v>
      </c>
      <c r="AU141" s="4">
        <v>0</v>
      </c>
      <c r="AV141" s="4">
        <v>0</v>
      </c>
      <c r="AW141" s="4">
        <v>0</v>
      </c>
      <c r="AX141" s="4">
        <v>0</v>
      </c>
      <c r="AY141" s="4">
        <v>1000000</v>
      </c>
    </row>
    <row r="142" spans="1:51">
      <c r="A142" s="3" t="s">
        <v>52</v>
      </c>
      <c r="B142" s="3" t="s">
        <v>53</v>
      </c>
      <c r="C142" s="3" t="s">
        <v>54</v>
      </c>
      <c r="D142" s="3" t="s">
        <v>55</v>
      </c>
      <c r="E142" s="3" t="s">
        <v>56</v>
      </c>
      <c r="F142" s="3" t="s">
        <v>57</v>
      </c>
      <c r="G142" s="3" t="s">
        <v>58</v>
      </c>
      <c r="H142" s="3" t="s">
        <v>59</v>
      </c>
      <c r="I142" s="3" t="s">
        <v>60</v>
      </c>
      <c r="J142" s="3" t="s">
        <v>61</v>
      </c>
      <c r="K142" s="3" t="s">
        <v>62</v>
      </c>
      <c r="L142" s="3" t="s">
        <v>63</v>
      </c>
      <c r="M142" s="3" t="s">
        <v>264</v>
      </c>
      <c r="N142" s="3" t="s">
        <v>265</v>
      </c>
      <c r="O142" s="3" t="s">
        <v>266</v>
      </c>
      <c r="P142" s="3" t="s">
        <v>267</v>
      </c>
      <c r="Q142" s="3" t="s">
        <v>344</v>
      </c>
      <c r="R142" s="3" t="s">
        <v>345</v>
      </c>
      <c r="S142" s="3" t="s">
        <v>140</v>
      </c>
      <c r="T142" s="3" t="s">
        <v>356</v>
      </c>
      <c r="U142" s="3" t="s">
        <v>54</v>
      </c>
      <c r="V142" s="3" t="s">
        <v>72</v>
      </c>
      <c r="W142" s="3" t="s">
        <v>94</v>
      </c>
      <c r="X142" s="3" t="s">
        <v>95</v>
      </c>
      <c r="Y142" s="3" t="s">
        <v>96</v>
      </c>
      <c r="Z142" s="3" t="s">
        <v>95</v>
      </c>
      <c r="AA142" s="3" t="s">
        <v>358</v>
      </c>
      <c r="AB142" s="4">
        <v>0</v>
      </c>
      <c r="AC142" s="4">
        <v>2000000</v>
      </c>
      <c r="AD142" s="4">
        <v>0</v>
      </c>
      <c r="AE142" s="4">
        <v>2000000</v>
      </c>
      <c r="AF142" s="4">
        <v>0</v>
      </c>
      <c r="AG142" s="4">
        <v>0</v>
      </c>
      <c r="AH142" s="4">
        <v>0</v>
      </c>
      <c r="AI142" s="4">
        <v>0</v>
      </c>
      <c r="AJ142" s="4">
        <v>0</v>
      </c>
      <c r="AK142" s="4">
        <v>0</v>
      </c>
      <c r="AL142" s="4">
        <v>0</v>
      </c>
      <c r="AM142" s="4">
        <v>0</v>
      </c>
      <c r="AN142" s="4">
        <v>0</v>
      </c>
      <c r="AO142" s="4">
        <v>0</v>
      </c>
      <c r="AP142" s="4">
        <v>0</v>
      </c>
      <c r="AQ142" s="4">
        <v>2000000</v>
      </c>
      <c r="AR142" s="4">
        <v>0</v>
      </c>
      <c r="AS142" s="4">
        <v>0</v>
      </c>
      <c r="AT142" s="4">
        <v>0</v>
      </c>
      <c r="AU142" s="4">
        <v>0</v>
      </c>
      <c r="AV142" s="4">
        <v>0</v>
      </c>
      <c r="AW142" s="4">
        <v>0</v>
      </c>
      <c r="AX142" s="4">
        <v>2000000</v>
      </c>
      <c r="AY142" s="4">
        <v>2000000</v>
      </c>
    </row>
    <row r="143" spans="1:51">
      <c r="A143" s="3" t="s">
        <v>52</v>
      </c>
      <c r="B143" s="3" t="s">
        <v>53</v>
      </c>
      <c r="C143" s="3" t="s">
        <v>54</v>
      </c>
      <c r="D143" s="3" t="s">
        <v>55</v>
      </c>
      <c r="E143" s="3" t="s">
        <v>56</v>
      </c>
      <c r="F143" s="3" t="s">
        <v>57</v>
      </c>
      <c r="G143" s="3" t="s">
        <v>58</v>
      </c>
      <c r="H143" s="3" t="s">
        <v>59</v>
      </c>
      <c r="I143" s="3" t="s">
        <v>60</v>
      </c>
      <c r="J143" s="3" t="s">
        <v>61</v>
      </c>
      <c r="K143" s="3" t="s">
        <v>62</v>
      </c>
      <c r="L143" s="3" t="s">
        <v>63</v>
      </c>
      <c r="M143" s="3" t="s">
        <v>264</v>
      </c>
      <c r="N143" s="3" t="s">
        <v>265</v>
      </c>
      <c r="O143" s="3" t="s">
        <v>266</v>
      </c>
      <c r="P143" s="3" t="s">
        <v>267</v>
      </c>
      <c r="Q143" s="3" t="s">
        <v>359</v>
      </c>
      <c r="R143" s="3" t="s">
        <v>360</v>
      </c>
      <c r="S143" s="3" t="s">
        <v>199</v>
      </c>
      <c r="T143" s="3" t="s">
        <v>306</v>
      </c>
      <c r="U143" s="3" t="s">
        <v>54</v>
      </c>
      <c r="V143" s="3" t="s">
        <v>72</v>
      </c>
      <c r="W143" s="3" t="s">
        <v>94</v>
      </c>
      <c r="X143" s="3" t="s">
        <v>95</v>
      </c>
      <c r="Y143" s="3" t="s">
        <v>96</v>
      </c>
      <c r="Z143" s="3" t="s">
        <v>95</v>
      </c>
      <c r="AA143" s="3" t="s">
        <v>361</v>
      </c>
      <c r="AB143" s="4">
        <v>1000000</v>
      </c>
      <c r="AC143" s="4">
        <v>0</v>
      </c>
      <c r="AD143" s="4">
        <v>0</v>
      </c>
      <c r="AE143" s="4">
        <v>1000000</v>
      </c>
      <c r="AF143" s="4">
        <v>0</v>
      </c>
      <c r="AG143" s="4">
        <v>0</v>
      </c>
      <c r="AH143" s="4">
        <v>0</v>
      </c>
      <c r="AI143" s="4">
        <v>0</v>
      </c>
      <c r="AJ143" s="4">
        <v>0</v>
      </c>
      <c r="AK143" s="4">
        <v>0</v>
      </c>
      <c r="AL143" s="4">
        <v>0</v>
      </c>
      <c r="AM143" s="4">
        <v>0</v>
      </c>
      <c r="AN143" s="4">
        <v>0</v>
      </c>
      <c r="AO143" s="4">
        <v>0</v>
      </c>
      <c r="AP143" s="4">
        <v>0</v>
      </c>
      <c r="AQ143" s="4">
        <v>1000000</v>
      </c>
      <c r="AR143" s="4">
        <v>0</v>
      </c>
      <c r="AS143" s="4">
        <v>0</v>
      </c>
      <c r="AT143" s="4">
        <v>0</v>
      </c>
      <c r="AU143" s="4">
        <v>0</v>
      </c>
      <c r="AV143" s="4">
        <v>0</v>
      </c>
      <c r="AW143" s="4">
        <v>0</v>
      </c>
      <c r="AX143" s="4">
        <v>1000000</v>
      </c>
      <c r="AY143" s="4">
        <v>1000000</v>
      </c>
    </row>
    <row r="144" spans="1:51">
      <c r="A144" s="3" t="s">
        <v>52</v>
      </c>
      <c r="B144" s="3" t="s">
        <v>53</v>
      </c>
      <c r="C144" s="3" t="s">
        <v>54</v>
      </c>
      <c r="D144" s="3" t="s">
        <v>55</v>
      </c>
      <c r="E144" s="3" t="s">
        <v>56</v>
      </c>
      <c r="F144" s="3" t="s">
        <v>57</v>
      </c>
      <c r="G144" s="3" t="s">
        <v>58</v>
      </c>
      <c r="H144" s="3" t="s">
        <v>59</v>
      </c>
      <c r="I144" s="3" t="s">
        <v>60</v>
      </c>
      <c r="J144" s="3" t="s">
        <v>61</v>
      </c>
      <c r="K144" s="3" t="s">
        <v>62</v>
      </c>
      <c r="L144" s="3" t="s">
        <v>63</v>
      </c>
      <c r="M144" s="3" t="s">
        <v>264</v>
      </c>
      <c r="N144" s="3" t="s">
        <v>265</v>
      </c>
      <c r="O144" s="3" t="s">
        <v>266</v>
      </c>
      <c r="P144" s="3" t="s">
        <v>267</v>
      </c>
      <c r="Q144" s="3" t="s">
        <v>359</v>
      </c>
      <c r="R144" s="3" t="s">
        <v>360</v>
      </c>
      <c r="S144" s="3" t="s">
        <v>199</v>
      </c>
      <c r="T144" s="3" t="s">
        <v>306</v>
      </c>
      <c r="U144" s="3" t="s">
        <v>54</v>
      </c>
      <c r="V144" s="3" t="s">
        <v>72</v>
      </c>
      <c r="W144" s="3" t="s">
        <v>94</v>
      </c>
      <c r="X144" s="3" t="s">
        <v>95</v>
      </c>
      <c r="Y144" s="3" t="s">
        <v>96</v>
      </c>
      <c r="Z144" s="3" t="s">
        <v>95</v>
      </c>
      <c r="AA144" s="3" t="s">
        <v>362</v>
      </c>
      <c r="AB144" s="4">
        <v>800000</v>
      </c>
      <c r="AC144" s="4">
        <v>0</v>
      </c>
      <c r="AD144" s="4">
        <v>0</v>
      </c>
      <c r="AE144" s="4">
        <v>800000</v>
      </c>
      <c r="AF144" s="4">
        <v>0</v>
      </c>
      <c r="AG144" s="4">
        <v>0</v>
      </c>
      <c r="AH144" s="4">
        <v>0</v>
      </c>
      <c r="AI144" s="4">
        <v>0</v>
      </c>
      <c r="AJ144" s="4">
        <v>0</v>
      </c>
      <c r="AK144" s="4">
        <v>0</v>
      </c>
      <c r="AL144" s="4">
        <v>0</v>
      </c>
      <c r="AM144" s="4">
        <v>0</v>
      </c>
      <c r="AN144" s="4">
        <v>0</v>
      </c>
      <c r="AO144" s="4">
        <v>0</v>
      </c>
      <c r="AP144" s="4">
        <v>0</v>
      </c>
      <c r="AQ144" s="4">
        <v>800000</v>
      </c>
      <c r="AR144" s="4">
        <v>0</v>
      </c>
      <c r="AS144" s="4">
        <v>0</v>
      </c>
      <c r="AT144" s="4">
        <v>0</v>
      </c>
      <c r="AU144" s="4">
        <v>0</v>
      </c>
      <c r="AV144" s="4">
        <v>0</v>
      </c>
      <c r="AW144" s="4">
        <v>0</v>
      </c>
      <c r="AX144" s="4">
        <v>800000</v>
      </c>
      <c r="AY144" s="4">
        <v>800000</v>
      </c>
    </row>
    <row r="145" spans="1:51">
      <c r="A145" s="3" t="s">
        <v>52</v>
      </c>
      <c r="B145" s="3" t="s">
        <v>53</v>
      </c>
      <c r="C145" s="3" t="s">
        <v>54</v>
      </c>
      <c r="D145" s="3" t="s">
        <v>55</v>
      </c>
      <c r="E145" s="3" t="s">
        <v>56</v>
      </c>
      <c r="F145" s="3" t="s">
        <v>57</v>
      </c>
      <c r="G145" s="3" t="s">
        <v>58</v>
      </c>
      <c r="H145" s="3" t="s">
        <v>59</v>
      </c>
      <c r="I145" s="3" t="s">
        <v>60</v>
      </c>
      <c r="J145" s="3" t="s">
        <v>61</v>
      </c>
      <c r="K145" s="3" t="s">
        <v>62</v>
      </c>
      <c r="L145" s="3" t="s">
        <v>63</v>
      </c>
      <c r="M145" s="3" t="s">
        <v>264</v>
      </c>
      <c r="N145" s="3" t="s">
        <v>265</v>
      </c>
      <c r="O145" s="3" t="s">
        <v>266</v>
      </c>
      <c r="P145" s="3" t="s">
        <v>267</v>
      </c>
      <c r="Q145" s="3" t="s">
        <v>363</v>
      </c>
      <c r="R145" s="3" t="s">
        <v>364</v>
      </c>
      <c r="S145" s="3" t="s">
        <v>199</v>
      </c>
      <c r="T145" s="3" t="s">
        <v>306</v>
      </c>
      <c r="U145" s="3" t="s">
        <v>54</v>
      </c>
      <c r="V145" s="3" t="s">
        <v>72</v>
      </c>
      <c r="W145" s="3" t="s">
        <v>94</v>
      </c>
      <c r="X145" s="3" t="s">
        <v>95</v>
      </c>
      <c r="Y145" s="3" t="s">
        <v>96</v>
      </c>
      <c r="Z145" s="3" t="s">
        <v>95</v>
      </c>
      <c r="AA145" s="3" t="s">
        <v>365</v>
      </c>
      <c r="AB145" s="4">
        <v>1000000</v>
      </c>
      <c r="AC145" s="4">
        <v>0</v>
      </c>
      <c r="AD145" s="4">
        <v>0</v>
      </c>
      <c r="AE145" s="4">
        <v>1000000</v>
      </c>
      <c r="AF145" s="4">
        <v>0</v>
      </c>
      <c r="AG145" s="4">
        <v>0</v>
      </c>
      <c r="AH145" s="4">
        <v>0</v>
      </c>
      <c r="AI145" s="4">
        <v>0</v>
      </c>
      <c r="AJ145" s="4">
        <v>0</v>
      </c>
      <c r="AK145" s="4">
        <v>0</v>
      </c>
      <c r="AL145" s="4">
        <v>0</v>
      </c>
      <c r="AM145" s="4">
        <v>0</v>
      </c>
      <c r="AN145" s="4">
        <v>0</v>
      </c>
      <c r="AO145" s="4">
        <v>0</v>
      </c>
      <c r="AP145" s="4">
        <v>0</v>
      </c>
      <c r="AQ145" s="4">
        <v>1000000</v>
      </c>
      <c r="AR145" s="4">
        <v>105000</v>
      </c>
      <c r="AS145" s="4">
        <v>105000</v>
      </c>
      <c r="AT145" s="4">
        <v>0</v>
      </c>
      <c r="AU145" s="4">
        <v>0</v>
      </c>
      <c r="AV145" s="4">
        <v>0</v>
      </c>
      <c r="AW145" s="4">
        <v>0</v>
      </c>
      <c r="AX145" s="4">
        <v>895000</v>
      </c>
      <c r="AY145" s="4">
        <v>895000</v>
      </c>
    </row>
    <row r="146" spans="1:51">
      <c r="A146" s="3" t="s">
        <v>52</v>
      </c>
      <c r="B146" s="3" t="s">
        <v>53</v>
      </c>
      <c r="C146" s="3" t="s">
        <v>54</v>
      </c>
      <c r="D146" s="3" t="s">
        <v>55</v>
      </c>
      <c r="E146" s="3" t="s">
        <v>56</v>
      </c>
      <c r="F146" s="3" t="s">
        <v>57</v>
      </c>
      <c r="G146" s="3" t="s">
        <v>58</v>
      </c>
      <c r="H146" s="3" t="s">
        <v>59</v>
      </c>
      <c r="I146" s="3" t="s">
        <v>60</v>
      </c>
      <c r="J146" s="3" t="s">
        <v>61</v>
      </c>
      <c r="K146" s="3" t="s">
        <v>62</v>
      </c>
      <c r="L146" s="3" t="s">
        <v>63</v>
      </c>
      <c r="M146" s="3" t="s">
        <v>264</v>
      </c>
      <c r="N146" s="3" t="s">
        <v>265</v>
      </c>
      <c r="O146" s="3" t="s">
        <v>266</v>
      </c>
      <c r="P146" s="3" t="s">
        <v>267</v>
      </c>
      <c r="Q146" s="3" t="s">
        <v>363</v>
      </c>
      <c r="R146" s="3" t="s">
        <v>364</v>
      </c>
      <c r="S146" s="3" t="s">
        <v>199</v>
      </c>
      <c r="T146" s="3" t="s">
        <v>306</v>
      </c>
      <c r="U146" s="3" t="s">
        <v>54</v>
      </c>
      <c r="V146" s="3" t="s">
        <v>72</v>
      </c>
      <c r="W146" s="3" t="s">
        <v>94</v>
      </c>
      <c r="X146" s="3" t="s">
        <v>95</v>
      </c>
      <c r="Y146" s="3" t="s">
        <v>96</v>
      </c>
      <c r="Z146" s="3" t="s">
        <v>95</v>
      </c>
      <c r="AA146" s="3" t="s">
        <v>366</v>
      </c>
      <c r="AB146" s="4">
        <v>1000000</v>
      </c>
      <c r="AC146" s="4">
        <v>0</v>
      </c>
      <c r="AD146" s="4">
        <v>0</v>
      </c>
      <c r="AE146" s="4">
        <v>1000000</v>
      </c>
      <c r="AF146" s="4">
        <v>0</v>
      </c>
      <c r="AG146" s="4">
        <v>0</v>
      </c>
      <c r="AH146" s="4">
        <v>0</v>
      </c>
      <c r="AI146" s="4">
        <v>0</v>
      </c>
      <c r="AJ146" s="4">
        <v>0</v>
      </c>
      <c r="AK146" s="4">
        <v>0</v>
      </c>
      <c r="AL146" s="4">
        <v>0</v>
      </c>
      <c r="AM146" s="4">
        <v>0</v>
      </c>
      <c r="AN146" s="4">
        <v>0</v>
      </c>
      <c r="AO146" s="4">
        <v>0</v>
      </c>
      <c r="AP146" s="4">
        <v>0</v>
      </c>
      <c r="AQ146" s="4">
        <v>1000000</v>
      </c>
      <c r="AR146" s="4">
        <v>43600</v>
      </c>
      <c r="AS146" s="4">
        <v>43600</v>
      </c>
      <c r="AT146" s="4">
        <v>0</v>
      </c>
      <c r="AU146" s="4">
        <v>0</v>
      </c>
      <c r="AV146" s="4">
        <v>0</v>
      </c>
      <c r="AW146" s="4">
        <v>0</v>
      </c>
      <c r="AX146" s="4">
        <v>956400</v>
      </c>
      <c r="AY146" s="4">
        <v>956400</v>
      </c>
    </row>
    <row r="147" spans="1:51">
      <c r="A147" s="3" t="s">
        <v>52</v>
      </c>
      <c r="B147" s="3" t="s">
        <v>53</v>
      </c>
      <c r="C147" s="3" t="s">
        <v>54</v>
      </c>
      <c r="D147" s="3" t="s">
        <v>55</v>
      </c>
      <c r="E147" s="3" t="s">
        <v>56</v>
      </c>
      <c r="F147" s="3" t="s">
        <v>57</v>
      </c>
      <c r="G147" s="3" t="s">
        <v>58</v>
      </c>
      <c r="H147" s="3" t="s">
        <v>59</v>
      </c>
      <c r="I147" s="3" t="s">
        <v>60</v>
      </c>
      <c r="J147" s="3" t="s">
        <v>61</v>
      </c>
      <c r="K147" s="3" t="s">
        <v>62</v>
      </c>
      <c r="L147" s="3" t="s">
        <v>63</v>
      </c>
      <c r="M147" s="3" t="s">
        <v>264</v>
      </c>
      <c r="N147" s="3" t="s">
        <v>265</v>
      </c>
      <c r="O147" s="3" t="s">
        <v>266</v>
      </c>
      <c r="P147" s="3" t="s">
        <v>267</v>
      </c>
      <c r="Q147" s="3" t="s">
        <v>363</v>
      </c>
      <c r="R147" s="3" t="s">
        <v>364</v>
      </c>
      <c r="S147" s="3" t="s">
        <v>199</v>
      </c>
      <c r="T147" s="3" t="s">
        <v>306</v>
      </c>
      <c r="U147" s="3" t="s">
        <v>86</v>
      </c>
      <c r="V147" s="3" t="s">
        <v>87</v>
      </c>
      <c r="W147" s="3" t="s">
        <v>88</v>
      </c>
      <c r="X147" s="3" t="s">
        <v>89</v>
      </c>
      <c r="Y147" s="3" t="s">
        <v>90</v>
      </c>
      <c r="Z147" s="3" t="s">
        <v>89</v>
      </c>
      <c r="AA147" s="3" t="s">
        <v>367</v>
      </c>
      <c r="AB147" s="4">
        <v>300000</v>
      </c>
      <c r="AC147" s="4">
        <v>0</v>
      </c>
      <c r="AD147" s="4">
        <v>0</v>
      </c>
      <c r="AE147" s="4">
        <v>300000</v>
      </c>
      <c r="AF147" s="4">
        <v>0</v>
      </c>
      <c r="AG147" s="4">
        <v>0</v>
      </c>
      <c r="AH147" s="4">
        <v>0</v>
      </c>
      <c r="AI147" s="4">
        <v>0</v>
      </c>
      <c r="AJ147" s="4">
        <v>0</v>
      </c>
      <c r="AK147" s="4">
        <v>0</v>
      </c>
      <c r="AL147" s="4">
        <v>0</v>
      </c>
      <c r="AM147" s="4">
        <v>0</v>
      </c>
      <c r="AN147" s="4">
        <v>0</v>
      </c>
      <c r="AO147" s="4">
        <v>0</v>
      </c>
      <c r="AP147" s="4">
        <v>0</v>
      </c>
      <c r="AQ147" s="4">
        <v>300000</v>
      </c>
      <c r="AR147" s="4">
        <v>146000</v>
      </c>
      <c r="AS147" s="4">
        <v>146000</v>
      </c>
      <c r="AT147" s="4">
        <v>0</v>
      </c>
      <c r="AU147" s="4">
        <v>0</v>
      </c>
      <c r="AV147" s="4">
        <v>0</v>
      </c>
      <c r="AW147" s="4">
        <v>0</v>
      </c>
      <c r="AX147" s="4">
        <v>154000</v>
      </c>
      <c r="AY147" s="4">
        <v>154000</v>
      </c>
    </row>
    <row r="148" spans="1:51">
      <c r="A148" s="3" t="s">
        <v>52</v>
      </c>
      <c r="B148" s="3" t="s">
        <v>53</v>
      </c>
      <c r="C148" s="3" t="s">
        <v>54</v>
      </c>
      <c r="D148" s="3" t="s">
        <v>55</v>
      </c>
      <c r="E148" s="3" t="s">
        <v>56</v>
      </c>
      <c r="F148" s="3" t="s">
        <v>57</v>
      </c>
      <c r="G148" s="3" t="s">
        <v>58</v>
      </c>
      <c r="H148" s="3" t="s">
        <v>59</v>
      </c>
      <c r="I148" s="3" t="s">
        <v>60</v>
      </c>
      <c r="J148" s="3" t="s">
        <v>61</v>
      </c>
      <c r="K148" s="3" t="s">
        <v>62</v>
      </c>
      <c r="L148" s="3" t="s">
        <v>63</v>
      </c>
      <c r="M148" s="3" t="s">
        <v>264</v>
      </c>
      <c r="N148" s="3" t="s">
        <v>265</v>
      </c>
      <c r="O148" s="3" t="s">
        <v>266</v>
      </c>
      <c r="P148" s="3" t="s">
        <v>267</v>
      </c>
      <c r="Q148" s="3" t="s">
        <v>363</v>
      </c>
      <c r="R148" s="3" t="s">
        <v>364</v>
      </c>
      <c r="S148" s="3" t="s">
        <v>199</v>
      </c>
      <c r="T148" s="3" t="s">
        <v>306</v>
      </c>
      <c r="U148" s="3" t="s">
        <v>191</v>
      </c>
      <c r="V148" s="3" t="s">
        <v>192</v>
      </c>
      <c r="W148" s="3" t="s">
        <v>193</v>
      </c>
      <c r="X148" s="3" t="s">
        <v>192</v>
      </c>
      <c r="Y148" s="3" t="s">
        <v>194</v>
      </c>
      <c r="Z148" s="3" t="s">
        <v>192</v>
      </c>
      <c r="AA148" s="3" t="s">
        <v>368</v>
      </c>
      <c r="AB148" s="4">
        <v>700000</v>
      </c>
      <c r="AC148" s="4">
        <v>0</v>
      </c>
      <c r="AD148" s="4">
        <v>0</v>
      </c>
      <c r="AE148" s="4">
        <v>700000</v>
      </c>
      <c r="AF148" s="4">
        <v>0</v>
      </c>
      <c r="AG148" s="4">
        <v>0</v>
      </c>
      <c r="AH148" s="4">
        <v>0</v>
      </c>
      <c r="AI148" s="4">
        <v>0</v>
      </c>
      <c r="AJ148" s="4">
        <v>0</v>
      </c>
      <c r="AK148" s="4">
        <v>0</v>
      </c>
      <c r="AL148" s="4">
        <v>0</v>
      </c>
      <c r="AM148" s="4">
        <v>0</v>
      </c>
      <c r="AN148" s="4">
        <v>0</v>
      </c>
      <c r="AO148" s="4">
        <v>0</v>
      </c>
      <c r="AP148" s="4">
        <v>0</v>
      </c>
      <c r="AQ148" s="4">
        <v>700000</v>
      </c>
      <c r="AR148" s="4">
        <v>0</v>
      </c>
      <c r="AS148" s="4">
        <v>0</v>
      </c>
      <c r="AT148" s="4">
        <v>0</v>
      </c>
      <c r="AU148" s="4">
        <v>0</v>
      </c>
      <c r="AV148" s="4">
        <v>0</v>
      </c>
      <c r="AW148" s="4">
        <v>0</v>
      </c>
      <c r="AX148" s="4">
        <v>700000</v>
      </c>
      <c r="AY148" s="4">
        <v>700000</v>
      </c>
    </row>
    <row r="149" spans="1:51">
      <c r="A149" s="3" t="s">
        <v>52</v>
      </c>
      <c r="B149" s="3" t="s">
        <v>53</v>
      </c>
      <c r="C149" s="3" t="s">
        <v>54</v>
      </c>
      <c r="D149" s="3" t="s">
        <v>55</v>
      </c>
      <c r="E149" s="3" t="s">
        <v>56</v>
      </c>
      <c r="F149" s="3" t="s">
        <v>57</v>
      </c>
      <c r="G149" s="3" t="s">
        <v>58</v>
      </c>
      <c r="H149" s="3" t="s">
        <v>59</v>
      </c>
      <c r="I149" s="3" t="s">
        <v>60</v>
      </c>
      <c r="J149" s="3" t="s">
        <v>61</v>
      </c>
      <c r="K149" s="3" t="s">
        <v>62</v>
      </c>
      <c r="L149" s="3" t="s">
        <v>63</v>
      </c>
      <c r="M149" s="3" t="s">
        <v>264</v>
      </c>
      <c r="N149" s="3" t="s">
        <v>265</v>
      </c>
      <c r="O149" s="3" t="s">
        <v>266</v>
      </c>
      <c r="P149" s="3" t="s">
        <v>267</v>
      </c>
      <c r="Q149" s="3" t="s">
        <v>363</v>
      </c>
      <c r="R149" s="3" t="s">
        <v>364</v>
      </c>
      <c r="S149" s="3" t="s">
        <v>150</v>
      </c>
      <c r="T149" s="3" t="s">
        <v>270</v>
      </c>
      <c r="U149" s="3" t="s">
        <v>54</v>
      </c>
      <c r="V149" s="3" t="s">
        <v>72</v>
      </c>
      <c r="W149" s="3" t="s">
        <v>94</v>
      </c>
      <c r="X149" s="3" t="s">
        <v>95</v>
      </c>
      <c r="Y149" s="3" t="s">
        <v>96</v>
      </c>
      <c r="Z149" s="3" t="s">
        <v>95</v>
      </c>
      <c r="AA149" s="3" t="s">
        <v>369</v>
      </c>
      <c r="AB149" s="4">
        <v>1000000</v>
      </c>
      <c r="AC149" s="4">
        <v>0</v>
      </c>
      <c r="AD149" s="4">
        <v>0</v>
      </c>
      <c r="AE149" s="4">
        <v>1000000</v>
      </c>
      <c r="AF149" s="4">
        <v>0</v>
      </c>
      <c r="AG149" s="4">
        <v>0</v>
      </c>
      <c r="AH149" s="4">
        <v>0</v>
      </c>
      <c r="AI149" s="4">
        <v>0</v>
      </c>
      <c r="AJ149" s="4">
        <v>0</v>
      </c>
      <c r="AK149" s="4">
        <v>0</v>
      </c>
      <c r="AL149" s="4">
        <v>0</v>
      </c>
      <c r="AM149" s="4">
        <v>0</v>
      </c>
      <c r="AN149" s="4">
        <v>0</v>
      </c>
      <c r="AO149" s="4">
        <v>0</v>
      </c>
      <c r="AP149" s="4">
        <v>0</v>
      </c>
      <c r="AQ149" s="4">
        <v>1000000</v>
      </c>
      <c r="AR149" s="4">
        <v>569510</v>
      </c>
      <c r="AS149" s="4">
        <v>416110</v>
      </c>
      <c r="AT149" s="4">
        <v>0</v>
      </c>
      <c r="AU149" s="4">
        <v>0</v>
      </c>
      <c r="AV149" s="4">
        <v>0</v>
      </c>
      <c r="AW149" s="4">
        <v>0</v>
      </c>
      <c r="AX149" s="4">
        <v>430490</v>
      </c>
      <c r="AY149" s="4">
        <v>583890</v>
      </c>
    </row>
    <row r="150" spans="1:51">
      <c r="A150" s="3" t="s">
        <v>52</v>
      </c>
      <c r="B150" s="3" t="s">
        <v>53</v>
      </c>
      <c r="C150" s="3" t="s">
        <v>54</v>
      </c>
      <c r="D150" s="3" t="s">
        <v>55</v>
      </c>
      <c r="E150" s="3" t="s">
        <v>56</v>
      </c>
      <c r="F150" s="3" t="s">
        <v>57</v>
      </c>
      <c r="G150" s="3" t="s">
        <v>58</v>
      </c>
      <c r="H150" s="3" t="s">
        <v>59</v>
      </c>
      <c r="I150" s="3" t="s">
        <v>60</v>
      </c>
      <c r="J150" s="3" t="s">
        <v>61</v>
      </c>
      <c r="K150" s="3" t="s">
        <v>62</v>
      </c>
      <c r="L150" s="3" t="s">
        <v>63</v>
      </c>
      <c r="M150" s="3" t="s">
        <v>264</v>
      </c>
      <c r="N150" s="3" t="s">
        <v>265</v>
      </c>
      <c r="O150" s="3" t="s">
        <v>266</v>
      </c>
      <c r="P150" s="3" t="s">
        <v>267</v>
      </c>
      <c r="Q150" s="3" t="s">
        <v>363</v>
      </c>
      <c r="R150" s="3" t="s">
        <v>364</v>
      </c>
      <c r="S150" s="3" t="s">
        <v>150</v>
      </c>
      <c r="T150" s="3" t="s">
        <v>270</v>
      </c>
      <c r="U150" s="3" t="s">
        <v>54</v>
      </c>
      <c r="V150" s="3" t="s">
        <v>72</v>
      </c>
      <c r="W150" s="3" t="s">
        <v>94</v>
      </c>
      <c r="X150" s="3" t="s">
        <v>95</v>
      </c>
      <c r="Y150" s="3" t="s">
        <v>96</v>
      </c>
      <c r="Z150" s="3" t="s">
        <v>95</v>
      </c>
      <c r="AA150" s="3" t="s">
        <v>370</v>
      </c>
      <c r="AB150" s="4">
        <v>2000000</v>
      </c>
      <c r="AC150" s="4">
        <v>0</v>
      </c>
      <c r="AD150" s="4">
        <v>0</v>
      </c>
      <c r="AE150" s="4">
        <v>2000000</v>
      </c>
      <c r="AF150" s="4">
        <v>0</v>
      </c>
      <c r="AG150" s="4">
        <v>0</v>
      </c>
      <c r="AH150" s="4">
        <v>0</v>
      </c>
      <c r="AI150" s="4">
        <v>0</v>
      </c>
      <c r="AJ150" s="4">
        <v>0</v>
      </c>
      <c r="AK150" s="4">
        <v>0</v>
      </c>
      <c r="AL150" s="4">
        <v>0</v>
      </c>
      <c r="AM150" s="4">
        <v>0</v>
      </c>
      <c r="AN150" s="4">
        <v>0</v>
      </c>
      <c r="AO150" s="4">
        <v>0</v>
      </c>
      <c r="AP150" s="4">
        <v>0</v>
      </c>
      <c r="AQ150" s="4">
        <v>2000000</v>
      </c>
      <c r="AR150" s="4">
        <v>1055590</v>
      </c>
      <c r="AS150" s="4">
        <v>1008690</v>
      </c>
      <c r="AT150" s="4">
        <v>0</v>
      </c>
      <c r="AU150" s="4">
        <v>0</v>
      </c>
      <c r="AV150" s="4">
        <v>0</v>
      </c>
      <c r="AW150" s="4">
        <v>0</v>
      </c>
      <c r="AX150" s="4">
        <v>944410</v>
      </c>
      <c r="AY150" s="4">
        <v>991310</v>
      </c>
    </row>
    <row r="151" spans="1:51">
      <c r="A151" s="3" t="s">
        <v>52</v>
      </c>
      <c r="B151" s="3" t="s">
        <v>53</v>
      </c>
      <c r="C151" s="3" t="s">
        <v>54</v>
      </c>
      <c r="D151" s="3" t="s">
        <v>55</v>
      </c>
      <c r="E151" s="3" t="s">
        <v>56</v>
      </c>
      <c r="F151" s="3" t="s">
        <v>57</v>
      </c>
      <c r="G151" s="3" t="s">
        <v>58</v>
      </c>
      <c r="H151" s="3" t="s">
        <v>59</v>
      </c>
      <c r="I151" s="3" t="s">
        <v>60</v>
      </c>
      <c r="J151" s="3" t="s">
        <v>61</v>
      </c>
      <c r="K151" s="3" t="s">
        <v>62</v>
      </c>
      <c r="L151" s="3" t="s">
        <v>63</v>
      </c>
      <c r="M151" s="3" t="s">
        <v>264</v>
      </c>
      <c r="N151" s="3" t="s">
        <v>265</v>
      </c>
      <c r="O151" s="3" t="s">
        <v>266</v>
      </c>
      <c r="P151" s="3" t="s">
        <v>267</v>
      </c>
      <c r="Q151" s="3" t="s">
        <v>363</v>
      </c>
      <c r="R151" s="3" t="s">
        <v>364</v>
      </c>
      <c r="S151" s="3" t="s">
        <v>128</v>
      </c>
      <c r="T151" s="3" t="s">
        <v>371</v>
      </c>
      <c r="U151" s="3" t="s">
        <v>54</v>
      </c>
      <c r="V151" s="3" t="s">
        <v>72</v>
      </c>
      <c r="W151" s="3" t="s">
        <v>94</v>
      </c>
      <c r="X151" s="3" t="s">
        <v>95</v>
      </c>
      <c r="Y151" s="3" t="s">
        <v>96</v>
      </c>
      <c r="Z151" s="3" t="s">
        <v>95</v>
      </c>
      <c r="AA151" s="3" t="s">
        <v>372</v>
      </c>
      <c r="AB151" s="4">
        <v>4400000</v>
      </c>
      <c r="AC151" s="4">
        <v>0</v>
      </c>
      <c r="AD151" s="4">
        <v>0</v>
      </c>
      <c r="AE151" s="4">
        <v>4400000</v>
      </c>
      <c r="AF151" s="4">
        <v>0</v>
      </c>
      <c r="AG151" s="4">
        <v>0</v>
      </c>
      <c r="AH151" s="4">
        <v>0</v>
      </c>
      <c r="AI151" s="4">
        <v>0</v>
      </c>
      <c r="AJ151" s="4">
        <v>0</v>
      </c>
      <c r="AK151" s="4">
        <v>0</v>
      </c>
      <c r="AL151" s="4">
        <v>0</v>
      </c>
      <c r="AM151" s="4">
        <v>0</v>
      </c>
      <c r="AN151" s="4">
        <v>0</v>
      </c>
      <c r="AO151" s="4">
        <v>0</v>
      </c>
      <c r="AP151" s="4">
        <v>0</v>
      </c>
      <c r="AQ151" s="4">
        <v>4400000</v>
      </c>
      <c r="AR151" s="4">
        <v>2200000</v>
      </c>
      <c r="AS151" s="4">
        <v>2200000</v>
      </c>
      <c r="AT151" s="4">
        <v>0</v>
      </c>
      <c r="AU151" s="4">
        <v>0</v>
      </c>
      <c r="AV151" s="4">
        <v>0</v>
      </c>
      <c r="AW151" s="4">
        <v>0</v>
      </c>
      <c r="AX151" s="4">
        <v>2200000</v>
      </c>
      <c r="AY151" s="4">
        <v>2200000</v>
      </c>
    </row>
    <row r="152" spans="1:51">
      <c r="A152" s="3" t="s">
        <v>52</v>
      </c>
      <c r="B152" s="3" t="s">
        <v>53</v>
      </c>
      <c r="C152" s="3" t="s">
        <v>54</v>
      </c>
      <c r="D152" s="3" t="s">
        <v>55</v>
      </c>
      <c r="E152" s="3" t="s">
        <v>56</v>
      </c>
      <c r="F152" s="3" t="s">
        <v>57</v>
      </c>
      <c r="G152" s="3" t="s">
        <v>58</v>
      </c>
      <c r="H152" s="3" t="s">
        <v>59</v>
      </c>
      <c r="I152" s="3" t="s">
        <v>60</v>
      </c>
      <c r="J152" s="3" t="s">
        <v>61</v>
      </c>
      <c r="K152" s="3" t="s">
        <v>62</v>
      </c>
      <c r="L152" s="3" t="s">
        <v>63</v>
      </c>
      <c r="M152" s="3" t="s">
        <v>264</v>
      </c>
      <c r="N152" s="3" t="s">
        <v>265</v>
      </c>
      <c r="O152" s="3" t="s">
        <v>266</v>
      </c>
      <c r="P152" s="3" t="s">
        <v>267</v>
      </c>
      <c r="Q152" s="3" t="s">
        <v>363</v>
      </c>
      <c r="R152" s="3" t="s">
        <v>364</v>
      </c>
      <c r="S152" s="3" t="s">
        <v>128</v>
      </c>
      <c r="T152" s="3" t="s">
        <v>371</v>
      </c>
      <c r="U152" s="3" t="s">
        <v>54</v>
      </c>
      <c r="V152" s="3" t="s">
        <v>72</v>
      </c>
      <c r="W152" s="3" t="s">
        <v>94</v>
      </c>
      <c r="X152" s="3" t="s">
        <v>95</v>
      </c>
      <c r="Y152" s="3" t="s">
        <v>96</v>
      </c>
      <c r="Z152" s="3" t="s">
        <v>95</v>
      </c>
      <c r="AA152" s="3" t="s">
        <v>373</v>
      </c>
      <c r="AB152" s="4">
        <v>1384000</v>
      </c>
      <c r="AC152" s="4">
        <v>-100000</v>
      </c>
      <c r="AD152" s="4">
        <v>0</v>
      </c>
      <c r="AE152" s="4">
        <v>1284000</v>
      </c>
      <c r="AF152" s="4">
        <v>0</v>
      </c>
      <c r="AG152" s="4">
        <v>0</v>
      </c>
      <c r="AH152" s="4">
        <v>0</v>
      </c>
      <c r="AI152" s="4">
        <v>0</v>
      </c>
      <c r="AJ152" s="4">
        <v>0</v>
      </c>
      <c r="AK152" s="4">
        <v>0</v>
      </c>
      <c r="AL152" s="4">
        <v>0</v>
      </c>
      <c r="AM152" s="4">
        <v>0</v>
      </c>
      <c r="AN152" s="4">
        <v>0</v>
      </c>
      <c r="AO152" s="4">
        <v>0</v>
      </c>
      <c r="AP152" s="4">
        <v>0</v>
      </c>
      <c r="AQ152" s="4">
        <v>1284000</v>
      </c>
      <c r="AR152" s="4">
        <v>600000</v>
      </c>
      <c r="AS152" s="4">
        <v>600000</v>
      </c>
      <c r="AT152" s="4">
        <v>0</v>
      </c>
      <c r="AU152" s="4">
        <v>0</v>
      </c>
      <c r="AV152" s="4">
        <v>0</v>
      </c>
      <c r="AW152" s="4">
        <v>0</v>
      </c>
      <c r="AX152" s="4">
        <v>684000</v>
      </c>
      <c r="AY152" s="4">
        <v>684000</v>
      </c>
    </row>
    <row r="153" spans="1:51">
      <c r="A153" s="3" t="s">
        <v>52</v>
      </c>
      <c r="B153" s="3" t="s">
        <v>53</v>
      </c>
      <c r="C153" s="3" t="s">
        <v>54</v>
      </c>
      <c r="D153" s="3" t="s">
        <v>55</v>
      </c>
      <c r="E153" s="3" t="s">
        <v>56</v>
      </c>
      <c r="F153" s="3" t="s">
        <v>57</v>
      </c>
      <c r="G153" s="3" t="s">
        <v>58</v>
      </c>
      <c r="H153" s="3" t="s">
        <v>59</v>
      </c>
      <c r="I153" s="3" t="s">
        <v>60</v>
      </c>
      <c r="J153" s="3" t="s">
        <v>61</v>
      </c>
      <c r="K153" s="3" t="s">
        <v>62</v>
      </c>
      <c r="L153" s="3" t="s">
        <v>63</v>
      </c>
      <c r="M153" s="3" t="s">
        <v>264</v>
      </c>
      <c r="N153" s="3" t="s">
        <v>265</v>
      </c>
      <c r="O153" s="3" t="s">
        <v>266</v>
      </c>
      <c r="P153" s="3" t="s">
        <v>267</v>
      </c>
      <c r="Q153" s="3" t="s">
        <v>363</v>
      </c>
      <c r="R153" s="3" t="s">
        <v>364</v>
      </c>
      <c r="S153" s="3" t="s">
        <v>128</v>
      </c>
      <c r="T153" s="3" t="s">
        <v>371</v>
      </c>
      <c r="U153" s="3" t="s">
        <v>54</v>
      </c>
      <c r="V153" s="3" t="s">
        <v>72</v>
      </c>
      <c r="W153" s="3" t="s">
        <v>123</v>
      </c>
      <c r="X153" s="3" t="s">
        <v>124</v>
      </c>
      <c r="Y153" s="3" t="s">
        <v>137</v>
      </c>
      <c r="Z153" s="3" t="s">
        <v>138</v>
      </c>
      <c r="AA153" s="3" t="s">
        <v>374</v>
      </c>
      <c r="AB153" s="4">
        <v>0</v>
      </c>
      <c r="AC153" s="4">
        <v>100000</v>
      </c>
      <c r="AD153" s="4">
        <v>0</v>
      </c>
      <c r="AE153" s="4">
        <v>100000</v>
      </c>
      <c r="AF153" s="4">
        <v>0</v>
      </c>
      <c r="AG153" s="4">
        <v>0</v>
      </c>
      <c r="AH153" s="4">
        <v>0</v>
      </c>
      <c r="AI153" s="4">
        <v>0</v>
      </c>
      <c r="AJ153" s="4">
        <v>0</v>
      </c>
      <c r="AK153" s="4">
        <v>0</v>
      </c>
      <c r="AL153" s="4">
        <v>0</v>
      </c>
      <c r="AM153" s="4">
        <v>0</v>
      </c>
      <c r="AN153" s="4">
        <v>0</v>
      </c>
      <c r="AO153" s="4">
        <v>0</v>
      </c>
      <c r="AP153" s="4">
        <v>0</v>
      </c>
      <c r="AQ153" s="4">
        <v>100000</v>
      </c>
      <c r="AR153" s="4">
        <v>0</v>
      </c>
      <c r="AS153" s="4">
        <v>0</v>
      </c>
      <c r="AT153" s="4">
        <v>0</v>
      </c>
      <c r="AU153" s="4">
        <v>0</v>
      </c>
      <c r="AV153" s="4">
        <v>0</v>
      </c>
      <c r="AW153" s="4">
        <v>0</v>
      </c>
      <c r="AX153" s="4">
        <v>100000</v>
      </c>
      <c r="AY153" s="4">
        <v>100000</v>
      </c>
    </row>
    <row r="154" spans="1:51">
      <c r="A154" s="3" t="s">
        <v>52</v>
      </c>
      <c r="B154" s="3" t="s">
        <v>53</v>
      </c>
      <c r="C154" s="3" t="s">
        <v>54</v>
      </c>
      <c r="D154" s="3" t="s">
        <v>55</v>
      </c>
      <c r="E154" s="3" t="s">
        <v>56</v>
      </c>
      <c r="F154" s="3" t="s">
        <v>57</v>
      </c>
      <c r="G154" s="3" t="s">
        <v>58</v>
      </c>
      <c r="H154" s="3" t="s">
        <v>59</v>
      </c>
      <c r="I154" s="3" t="s">
        <v>60</v>
      </c>
      <c r="J154" s="3" t="s">
        <v>61</v>
      </c>
      <c r="K154" s="3" t="s">
        <v>62</v>
      </c>
      <c r="L154" s="3" t="s">
        <v>63</v>
      </c>
      <c r="M154" s="3" t="s">
        <v>264</v>
      </c>
      <c r="N154" s="3" t="s">
        <v>265</v>
      </c>
      <c r="O154" s="3" t="s">
        <v>266</v>
      </c>
      <c r="P154" s="3" t="s">
        <v>267</v>
      </c>
      <c r="Q154" s="3" t="s">
        <v>375</v>
      </c>
      <c r="R154" s="3" t="s">
        <v>376</v>
      </c>
      <c r="S154" s="3" t="s">
        <v>128</v>
      </c>
      <c r="T154" s="3" t="s">
        <v>377</v>
      </c>
      <c r="U154" s="3" t="s">
        <v>54</v>
      </c>
      <c r="V154" s="3" t="s">
        <v>72</v>
      </c>
      <c r="W154" s="3" t="s">
        <v>94</v>
      </c>
      <c r="X154" s="3" t="s">
        <v>95</v>
      </c>
      <c r="Y154" s="3" t="s">
        <v>96</v>
      </c>
      <c r="Z154" s="3" t="s">
        <v>95</v>
      </c>
      <c r="AA154" s="3" t="s">
        <v>378</v>
      </c>
      <c r="AB154" s="4">
        <v>0</v>
      </c>
      <c r="AC154" s="4">
        <v>300000</v>
      </c>
      <c r="AD154" s="4">
        <v>0</v>
      </c>
      <c r="AE154" s="4">
        <v>300000</v>
      </c>
      <c r="AF154" s="4">
        <v>0</v>
      </c>
      <c r="AG154" s="4">
        <v>0</v>
      </c>
      <c r="AH154" s="4">
        <v>0</v>
      </c>
      <c r="AI154" s="4">
        <v>0</v>
      </c>
      <c r="AJ154" s="4">
        <v>0</v>
      </c>
      <c r="AK154" s="4">
        <v>0</v>
      </c>
      <c r="AL154" s="4">
        <v>0</v>
      </c>
      <c r="AM154" s="4">
        <v>0</v>
      </c>
      <c r="AN154" s="4">
        <v>0</v>
      </c>
      <c r="AO154" s="4">
        <v>0</v>
      </c>
      <c r="AP154" s="4">
        <v>0</v>
      </c>
      <c r="AQ154" s="4">
        <v>300000</v>
      </c>
      <c r="AR154" s="4">
        <v>0</v>
      </c>
      <c r="AS154" s="4">
        <v>0</v>
      </c>
      <c r="AT154" s="4">
        <v>0</v>
      </c>
      <c r="AU154" s="4">
        <v>0</v>
      </c>
      <c r="AV154" s="4">
        <v>0</v>
      </c>
      <c r="AW154" s="4">
        <v>0</v>
      </c>
      <c r="AX154" s="4">
        <v>300000</v>
      </c>
      <c r="AY154" s="4">
        <v>300000</v>
      </c>
    </row>
    <row r="155" spans="1:51">
      <c r="A155" s="3" t="s">
        <v>52</v>
      </c>
      <c r="B155" s="3" t="s">
        <v>53</v>
      </c>
      <c r="C155" s="3" t="s">
        <v>54</v>
      </c>
      <c r="D155" s="3" t="s">
        <v>55</v>
      </c>
      <c r="E155" s="3" t="s">
        <v>56</v>
      </c>
      <c r="F155" s="3" t="s">
        <v>57</v>
      </c>
      <c r="G155" s="3" t="s">
        <v>58</v>
      </c>
      <c r="H155" s="3" t="s">
        <v>59</v>
      </c>
      <c r="I155" s="3" t="s">
        <v>60</v>
      </c>
      <c r="J155" s="3" t="s">
        <v>61</v>
      </c>
      <c r="K155" s="3" t="s">
        <v>62</v>
      </c>
      <c r="L155" s="3" t="s">
        <v>63</v>
      </c>
      <c r="M155" s="3" t="s">
        <v>264</v>
      </c>
      <c r="N155" s="3" t="s">
        <v>265</v>
      </c>
      <c r="O155" s="3" t="s">
        <v>266</v>
      </c>
      <c r="P155" s="3" t="s">
        <v>267</v>
      </c>
      <c r="Q155" s="3" t="s">
        <v>375</v>
      </c>
      <c r="R155" s="3" t="s">
        <v>376</v>
      </c>
      <c r="S155" s="3" t="s">
        <v>128</v>
      </c>
      <c r="T155" s="3" t="s">
        <v>377</v>
      </c>
      <c r="U155" s="3" t="s">
        <v>54</v>
      </c>
      <c r="V155" s="3" t="s">
        <v>72</v>
      </c>
      <c r="W155" s="3" t="s">
        <v>94</v>
      </c>
      <c r="X155" s="3" t="s">
        <v>95</v>
      </c>
      <c r="Y155" s="3" t="s">
        <v>96</v>
      </c>
      <c r="Z155" s="3" t="s">
        <v>95</v>
      </c>
      <c r="AA155" s="3" t="s">
        <v>379</v>
      </c>
      <c r="AB155" s="4">
        <v>0</v>
      </c>
      <c r="AC155" s="4">
        <v>400000</v>
      </c>
      <c r="AD155" s="4">
        <v>0</v>
      </c>
      <c r="AE155" s="4">
        <v>400000</v>
      </c>
      <c r="AF155" s="4">
        <v>0</v>
      </c>
      <c r="AG155" s="4">
        <v>0</v>
      </c>
      <c r="AH155" s="4">
        <v>0</v>
      </c>
      <c r="AI155" s="4">
        <v>0</v>
      </c>
      <c r="AJ155" s="4">
        <v>0</v>
      </c>
      <c r="AK155" s="4">
        <v>0</v>
      </c>
      <c r="AL155" s="4">
        <v>0</v>
      </c>
      <c r="AM155" s="4">
        <v>0</v>
      </c>
      <c r="AN155" s="4">
        <v>0</v>
      </c>
      <c r="AO155" s="4">
        <v>0</v>
      </c>
      <c r="AP155" s="4">
        <v>0</v>
      </c>
      <c r="AQ155" s="4">
        <v>400000</v>
      </c>
      <c r="AR155" s="4">
        <v>0</v>
      </c>
      <c r="AS155" s="4">
        <v>0</v>
      </c>
      <c r="AT155" s="4">
        <v>0</v>
      </c>
      <c r="AU155" s="4">
        <v>0</v>
      </c>
      <c r="AV155" s="4">
        <v>0</v>
      </c>
      <c r="AW155" s="4">
        <v>0</v>
      </c>
      <c r="AX155" s="4">
        <v>400000</v>
      </c>
      <c r="AY155" s="4">
        <v>400000</v>
      </c>
    </row>
    <row r="156" spans="1:51">
      <c r="A156" s="3" t="s">
        <v>52</v>
      </c>
      <c r="B156" s="3" t="s">
        <v>53</v>
      </c>
      <c r="C156" s="3" t="s">
        <v>54</v>
      </c>
      <c r="D156" s="3" t="s">
        <v>55</v>
      </c>
      <c r="E156" s="3" t="s">
        <v>56</v>
      </c>
      <c r="F156" s="3" t="s">
        <v>57</v>
      </c>
      <c r="G156" s="3" t="s">
        <v>58</v>
      </c>
      <c r="H156" s="3" t="s">
        <v>59</v>
      </c>
      <c r="I156" s="3" t="s">
        <v>60</v>
      </c>
      <c r="J156" s="3" t="s">
        <v>61</v>
      </c>
      <c r="K156" s="3" t="s">
        <v>62</v>
      </c>
      <c r="L156" s="3" t="s">
        <v>63</v>
      </c>
      <c r="M156" s="3" t="s">
        <v>264</v>
      </c>
      <c r="N156" s="3" t="s">
        <v>265</v>
      </c>
      <c r="O156" s="3" t="s">
        <v>266</v>
      </c>
      <c r="P156" s="3" t="s">
        <v>267</v>
      </c>
      <c r="Q156" s="3" t="s">
        <v>375</v>
      </c>
      <c r="R156" s="3" t="s">
        <v>376</v>
      </c>
      <c r="S156" s="3" t="s">
        <v>128</v>
      </c>
      <c r="T156" s="3" t="s">
        <v>377</v>
      </c>
      <c r="U156" s="3" t="s">
        <v>54</v>
      </c>
      <c r="V156" s="3" t="s">
        <v>72</v>
      </c>
      <c r="W156" s="3" t="s">
        <v>94</v>
      </c>
      <c r="X156" s="3" t="s">
        <v>95</v>
      </c>
      <c r="Y156" s="3" t="s">
        <v>96</v>
      </c>
      <c r="Z156" s="3" t="s">
        <v>95</v>
      </c>
      <c r="AA156" s="3" t="s">
        <v>380</v>
      </c>
      <c r="AB156" s="4">
        <v>0</v>
      </c>
      <c r="AC156" s="4">
        <v>50000</v>
      </c>
      <c r="AD156" s="4">
        <v>0</v>
      </c>
      <c r="AE156" s="4">
        <v>50000</v>
      </c>
      <c r="AF156" s="4">
        <v>0</v>
      </c>
      <c r="AG156" s="4">
        <v>0</v>
      </c>
      <c r="AH156" s="4">
        <v>0</v>
      </c>
      <c r="AI156" s="4">
        <v>0</v>
      </c>
      <c r="AJ156" s="4">
        <v>0</v>
      </c>
      <c r="AK156" s="4">
        <v>0</v>
      </c>
      <c r="AL156" s="4">
        <v>0</v>
      </c>
      <c r="AM156" s="4">
        <v>0</v>
      </c>
      <c r="AN156" s="4">
        <v>0</v>
      </c>
      <c r="AO156" s="4">
        <v>0</v>
      </c>
      <c r="AP156" s="4">
        <v>0</v>
      </c>
      <c r="AQ156" s="4">
        <v>50000</v>
      </c>
      <c r="AR156" s="4">
        <v>0</v>
      </c>
      <c r="AS156" s="4">
        <v>0</v>
      </c>
      <c r="AT156" s="4">
        <v>0</v>
      </c>
      <c r="AU156" s="4">
        <v>0</v>
      </c>
      <c r="AV156" s="4">
        <v>0</v>
      </c>
      <c r="AW156" s="4">
        <v>0</v>
      </c>
      <c r="AX156" s="4">
        <v>50000</v>
      </c>
      <c r="AY156" s="4">
        <v>50000</v>
      </c>
    </row>
    <row r="157" spans="1:51">
      <c r="A157" s="3" t="s">
        <v>52</v>
      </c>
      <c r="B157" s="3" t="s">
        <v>53</v>
      </c>
      <c r="C157" s="3" t="s">
        <v>54</v>
      </c>
      <c r="D157" s="3" t="s">
        <v>55</v>
      </c>
      <c r="E157" s="3" t="s">
        <v>56</v>
      </c>
      <c r="F157" s="3" t="s">
        <v>57</v>
      </c>
      <c r="G157" s="3" t="s">
        <v>58</v>
      </c>
      <c r="H157" s="3" t="s">
        <v>59</v>
      </c>
      <c r="I157" s="3" t="s">
        <v>60</v>
      </c>
      <c r="J157" s="3" t="s">
        <v>61</v>
      </c>
      <c r="K157" s="3" t="s">
        <v>62</v>
      </c>
      <c r="L157" s="3" t="s">
        <v>63</v>
      </c>
      <c r="M157" s="3" t="s">
        <v>264</v>
      </c>
      <c r="N157" s="3" t="s">
        <v>265</v>
      </c>
      <c r="O157" s="3" t="s">
        <v>266</v>
      </c>
      <c r="P157" s="3" t="s">
        <v>267</v>
      </c>
      <c r="Q157" s="3" t="s">
        <v>375</v>
      </c>
      <c r="R157" s="3" t="s">
        <v>376</v>
      </c>
      <c r="S157" s="3" t="s">
        <v>128</v>
      </c>
      <c r="T157" s="3" t="s">
        <v>377</v>
      </c>
      <c r="U157" s="3" t="s">
        <v>54</v>
      </c>
      <c r="V157" s="3" t="s">
        <v>72</v>
      </c>
      <c r="W157" s="3" t="s">
        <v>94</v>
      </c>
      <c r="X157" s="3" t="s">
        <v>95</v>
      </c>
      <c r="Y157" s="3" t="s">
        <v>96</v>
      </c>
      <c r="Z157" s="3" t="s">
        <v>95</v>
      </c>
      <c r="AA157" s="3" t="s">
        <v>381</v>
      </c>
      <c r="AB157" s="4">
        <v>0</v>
      </c>
      <c r="AC157" s="4">
        <v>200000</v>
      </c>
      <c r="AD157" s="4">
        <v>0</v>
      </c>
      <c r="AE157" s="4">
        <v>200000</v>
      </c>
      <c r="AF157" s="4">
        <v>0</v>
      </c>
      <c r="AG157" s="4">
        <v>0</v>
      </c>
      <c r="AH157" s="4">
        <v>0</v>
      </c>
      <c r="AI157" s="4">
        <v>0</v>
      </c>
      <c r="AJ157" s="4">
        <v>0</v>
      </c>
      <c r="AK157" s="4">
        <v>0</v>
      </c>
      <c r="AL157" s="4">
        <v>0</v>
      </c>
      <c r="AM157" s="4">
        <v>0</v>
      </c>
      <c r="AN157" s="4">
        <v>0</v>
      </c>
      <c r="AO157" s="4">
        <v>0</v>
      </c>
      <c r="AP157" s="4">
        <v>0</v>
      </c>
      <c r="AQ157" s="4">
        <v>200000</v>
      </c>
      <c r="AR157" s="4">
        <v>0</v>
      </c>
      <c r="AS157" s="4">
        <v>0</v>
      </c>
      <c r="AT157" s="4">
        <v>0</v>
      </c>
      <c r="AU157" s="4">
        <v>0</v>
      </c>
      <c r="AV157" s="4">
        <v>0</v>
      </c>
      <c r="AW157" s="4">
        <v>0</v>
      </c>
      <c r="AX157" s="4">
        <v>200000</v>
      </c>
      <c r="AY157" s="4">
        <v>200000</v>
      </c>
    </row>
    <row r="158" spans="1:51">
      <c r="A158" s="3" t="s">
        <v>52</v>
      </c>
      <c r="B158" s="3" t="s">
        <v>53</v>
      </c>
      <c r="C158" s="3" t="s">
        <v>54</v>
      </c>
      <c r="D158" s="3" t="s">
        <v>55</v>
      </c>
      <c r="E158" s="3" t="s">
        <v>56</v>
      </c>
      <c r="F158" s="3" t="s">
        <v>57</v>
      </c>
      <c r="G158" s="3" t="s">
        <v>58</v>
      </c>
      <c r="H158" s="3" t="s">
        <v>59</v>
      </c>
      <c r="I158" s="3" t="s">
        <v>60</v>
      </c>
      <c r="J158" s="3" t="s">
        <v>61</v>
      </c>
      <c r="K158" s="3" t="s">
        <v>62</v>
      </c>
      <c r="L158" s="3" t="s">
        <v>63</v>
      </c>
      <c r="M158" s="3" t="s">
        <v>264</v>
      </c>
      <c r="N158" s="3" t="s">
        <v>265</v>
      </c>
      <c r="O158" s="3" t="s">
        <v>266</v>
      </c>
      <c r="P158" s="3" t="s">
        <v>267</v>
      </c>
      <c r="Q158" s="3" t="s">
        <v>375</v>
      </c>
      <c r="R158" s="3" t="s">
        <v>376</v>
      </c>
      <c r="S158" s="3" t="s">
        <v>128</v>
      </c>
      <c r="T158" s="3" t="s">
        <v>377</v>
      </c>
      <c r="U158" s="3" t="s">
        <v>86</v>
      </c>
      <c r="V158" s="3" t="s">
        <v>87</v>
      </c>
      <c r="W158" s="3" t="s">
        <v>88</v>
      </c>
      <c r="X158" s="3" t="s">
        <v>89</v>
      </c>
      <c r="Y158" s="3" t="s">
        <v>105</v>
      </c>
      <c r="Z158" s="3" t="s">
        <v>106</v>
      </c>
      <c r="AA158" s="3" t="s">
        <v>382</v>
      </c>
      <c r="AB158" s="4">
        <v>0</v>
      </c>
      <c r="AC158" s="4">
        <v>50000</v>
      </c>
      <c r="AD158" s="4">
        <v>0</v>
      </c>
      <c r="AE158" s="4">
        <v>50000</v>
      </c>
      <c r="AF158" s="4">
        <v>0</v>
      </c>
      <c r="AG158" s="4">
        <v>0</v>
      </c>
      <c r="AH158" s="4">
        <v>0</v>
      </c>
      <c r="AI158" s="4">
        <v>0</v>
      </c>
      <c r="AJ158" s="4">
        <v>0</v>
      </c>
      <c r="AK158" s="4">
        <v>0</v>
      </c>
      <c r="AL158" s="4">
        <v>0</v>
      </c>
      <c r="AM158" s="4">
        <v>0</v>
      </c>
      <c r="AN158" s="4">
        <v>0</v>
      </c>
      <c r="AO158" s="4">
        <v>0</v>
      </c>
      <c r="AP158" s="4">
        <v>0</v>
      </c>
      <c r="AQ158" s="4">
        <v>50000</v>
      </c>
      <c r="AR158" s="4">
        <v>50000</v>
      </c>
      <c r="AS158" s="4">
        <v>50000</v>
      </c>
      <c r="AT158" s="4">
        <v>0</v>
      </c>
      <c r="AU158" s="4">
        <v>0</v>
      </c>
      <c r="AV158" s="4">
        <v>0</v>
      </c>
      <c r="AW158" s="4">
        <v>0</v>
      </c>
      <c r="AX158" s="4">
        <v>0</v>
      </c>
      <c r="AY158" s="4">
        <v>0</v>
      </c>
    </row>
    <row r="159" spans="1:51">
      <c r="A159" s="3" t="s">
        <v>52</v>
      </c>
      <c r="B159" s="3" t="s">
        <v>53</v>
      </c>
      <c r="C159" s="3" t="s">
        <v>54</v>
      </c>
      <c r="D159" s="3" t="s">
        <v>55</v>
      </c>
      <c r="E159" s="3" t="s">
        <v>56</v>
      </c>
      <c r="F159" s="3" t="s">
        <v>57</v>
      </c>
      <c r="G159" s="3" t="s">
        <v>58</v>
      </c>
      <c r="H159" s="3" t="s">
        <v>59</v>
      </c>
      <c r="I159" s="3" t="s">
        <v>60</v>
      </c>
      <c r="J159" s="3" t="s">
        <v>61</v>
      </c>
      <c r="K159" s="3" t="s">
        <v>62</v>
      </c>
      <c r="L159" s="3" t="s">
        <v>63</v>
      </c>
      <c r="M159" s="3" t="s">
        <v>264</v>
      </c>
      <c r="N159" s="3" t="s">
        <v>265</v>
      </c>
      <c r="O159" s="3" t="s">
        <v>383</v>
      </c>
      <c r="P159" s="3" t="s">
        <v>384</v>
      </c>
      <c r="Q159" s="3" t="s">
        <v>385</v>
      </c>
      <c r="R159" s="3" t="s">
        <v>386</v>
      </c>
      <c r="S159" s="3" t="s">
        <v>99</v>
      </c>
      <c r="T159" s="3" t="s">
        <v>387</v>
      </c>
      <c r="U159" s="3" t="s">
        <v>54</v>
      </c>
      <c r="V159" s="3" t="s">
        <v>72</v>
      </c>
      <c r="W159" s="3" t="s">
        <v>94</v>
      </c>
      <c r="X159" s="3" t="s">
        <v>95</v>
      </c>
      <c r="Y159" s="3" t="s">
        <v>96</v>
      </c>
      <c r="Z159" s="3" t="s">
        <v>95</v>
      </c>
      <c r="AA159" s="3" t="s">
        <v>387</v>
      </c>
      <c r="AB159" s="4">
        <v>10500000</v>
      </c>
      <c r="AC159" s="4">
        <v>0</v>
      </c>
      <c r="AD159" s="4">
        <v>0</v>
      </c>
      <c r="AE159" s="4">
        <v>10500000</v>
      </c>
      <c r="AF159" s="4">
        <v>0</v>
      </c>
      <c r="AG159" s="4">
        <v>0</v>
      </c>
      <c r="AH159" s="4">
        <v>0</v>
      </c>
      <c r="AI159" s="4">
        <v>0</v>
      </c>
      <c r="AJ159" s="4">
        <v>0</v>
      </c>
      <c r="AK159" s="4">
        <v>0</v>
      </c>
      <c r="AL159" s="4">
        <v>0</v>
      </c>
      <c r="AM159" s="4">
        <v>0</v>
      </c>
      <c r="AN159" s="4">
        <v>0</v>
      </c>
      <c r="AO159" s="4">
        <v>0</v>
      </c>
      <c r="AP159" s="4">
        <v>0</v>
      </c>
      <c r="AQ159" s="4">
        <v>10500000</v>
      </c>
      <c r="AR159" s="4">
        <v>5341350</v>
      </c>
      <c r="AS159" s="4">
        <v>5321350</v>
      </c>
      <c r="AT159" s="4">
        <v>0</v>
      </c>
      <c r="AU159" s="4">
        <v>0</v>
      </c>
      <c r="AV159" s="4">
        <v>0</v>
      </c>
      <c r="AW159" s="4">
        <v>0</v>
      </c>
      <c r="AX159" s="4">
        <v>5158650</v>
      </c>
      <c r="AY159" s="4">
        <v>5178650</v>
      </c>
    </row>
    <row r="160" spans="1:51">
      <c r="A160" s="3" t="s">
        <v>52</v>
      </c>
      <c r="B160" s="3" t="s">
        <v>53</v>
      </c>
      <c r="C160" s="3" t="s">
        <v>54</v>
      </c>
      <c r="D160" s="3" t="s">
        <v>55</v>
      </c>
      <c r="E160" s="3" t="s">
        <v>56</v>
      </c>
      <c r="F160" s="3" t="s">
        <v>57</v>
      </c>
      <c r="G160" s="3" t="s">
        <v>58</v>
      </c>
      <c r="H160" s="3" t="s">
        <v>59</v>
      </c>
      <c r="I160" s="3" t="s">
        <v>60</v>
      </c>
      <c r="J160" s="3" t="s">
        <v>61</v>
      </c>
      <c r="K160" s="3" t="s">
        <v>62</v>
      </c>
      <c r="L160" s="3" t="s">
        <v>63</v>
      </c>
      <c r="M160" s="3" t="s">
        <v>264</v>
      </c>
      <c r="N160" s="3" t="s">
        <v>265</v>
      </c>
      <c r="O160" s="3" t="s">
        <v>383</v>
      </c>
      <c r="P160" s="3" t="s">
        <v>384</v>
      </c>
      <c r="Q160" s="3" t="s">
        <v>388</v>
      </c>
      <c r="R160" s="3" t="s">
        <v>389</v>
      </c>
      <c r="S160" s="3" t="s">
        <v>206</v>
      </c>
      <c r="T160" s="3" t="s">
        <v>390</v>
      </c>
      <c r="U160" s="3" t="s">
        <v>54</v>
      </c>
      <c r="V160" s="3" t="s">
        <v>72</v>
      </c>
      <c r="W160" s="3" t="s">
        <v>73</v>
      </c>
      <c r="X160" s="3" t="s">
        <v>74</v>
      </c>
      <c r="Y160" s="3" t="s">
        <v>78</v>
      </c>
      <c r="Z160" s="3" t="s">
        <v>79</v>
      </c>
      <c r="AA160" s="3" t="s">
        <v>391</v>
      </c>
      <c r="AB160" s="4">
        <v>1000000</v>
      </c>
      <c r="AC160" s="4">
        <v>0</v>
      </c>
      <c r="AD160" s="4">
        <v>0</v>
      </c>
      <c r="AE160" s="4">
        <v>1000000</v>
      </c>
      <c r="AF160" s="4">
        <v>0</v>
      </c>
      <c r="AG160" s="4">
        <v>0</v>
      </c>
      <c r="AH160" s="4">
        <v>0</v>
      </c>
      <c r="AI160" s="4">
        <v>0</v>
      </c>
      <c r="AJ160" s="4">
        <v>0</v>
      </c>
      <c r="AK160" s="4">
        <v>0</v>
      </c>
      <c r="AL160" s="4">
        <v>0</v>
      </c>
      <c r="AM160" s="4">
        <v>0</v>
      </c>
      <c r="AN160" s="4">
        <v>0</v>
      </c>
      <c r="AO160" s="4">
        <v>0</v>
      </c>
      <c r="AP160" s="4">
        <v>0</v>
      </c>
      <c r="AQ160" s="4">
        <v>1000000</v>
      </c>
      <c r="AR160" s="4">
        <v>0</v>
      </c>
      <c r="AS160" s="4">
        <v>0</v>
      </c>
      <c r="AT160" s="4">
        <v>0</v>
      </c>
      <c r="AU160" s="4">
        <v>0</v>
      </c>
      <c r="AV160" s="4">
        <v>0</v>
      </c>
      <c r="AW160" s="4">
        <v>0</v>
      </c>
      <c r="AX160" s="4">
        <v>1000000</v>
      </c>
      <c r="AY160" s="4">
        <v>1000000</v>
      </c>
    </row>
    <row r="161" spans="1:51">
      <c r="A161" s="3" t="s">
        <v>52</v>
      </c>
      <c r="B161" s="3" t="s">
        <v>53</v>
      </c>
      <c r="C161" s="3" t="s">
        <v>54</v>
      </c>
      <c r="D161" s="3" t="s">
        <v>55</v>
      </c>
      <c r="E161" s="3" t="s">
        <v>56</v>
      </c>
      <c r="F161" s="3" t="s">
        <v>57</v>
      </c>
      <c r="G161" s="3" t="s">
        <v>58</v>
      </c>
      <c r="H161" s="3" t="s">
        <v>59</v>
      </c>
      <c r="I161" s="3" t="s">
        <v>60</v>
      </c>
      <c r="J161" s="3" t="s">
        <v>61</v>
      </c>
      <c r="K161" s="3" t="s">
        <v>62</v>
      </c>
      <c r="L161" s="3" t="s">
        <v>63</v>
      </c>
      <c r="M161" s="3" t="s">
        <v>264</v>
      </c>
      <c r="N161" s="3" t="s">
        <v>265</v>
      </c>
      <c r="O161" s="3" t="s">
        <v>383</v>
      </c>
      <c r="P161" s="3" t="s">
        <v>384</v>
      </c>
      <c r="Q161" s="3" t="s">
        <v>388</v>
      </c>
      <c r="R161" s="3" t="s">
        <v>389</v>
      </c>
      <c r="S161" s="3" t="s">
        <v>206</v>
      </c>
      <c r="T161" s="3" t="s">
        <v>390</v>
      </c>
      <c r="U161" s="3" t="s">
        <v>54</v>
      </c>
      <c r="V161" s="3" t="s">
        <v>72</v>
      </c>
      <c r="W161" s="3" t="s">
        <v>94</v>
      </c>
      <c r="X161" s="3" t="s">
        <v>95</v>
      </c>
      <c r="Y161" s="3" t="s">
        <v>96</v>
      </c>
      <c r="Z161" s="3" t="s">
        <v>95</v>
      </c>
      <c r="AA161" s="3" t="s">
        <v>392</v>
      </c>
      <c r="AB161" s="4">
        <v>1000000</v>
      </c>
      <c r="AC161" s="4">
        <v>0</v>
      </c>
      <c r="AD161" s="4">
        <v>0</v>
      </c>
      <c r="AE161" s="4">
        <v>1000000</v>
      </c>
      <c r="AF161" s="4">
        <v>0</v>
      </c>
      <c r="AG161" s="4">
        <v>0</v>
      </c>
      <c r="AH161" s="4">
        <v>0</v>
      </c>
      <c r="AI161" s="4">
        <v>0</v>
      </c>
      <c r="AJ161" s="4">
        <v>0</v>
      </c>
      <c r="AK161" s="4">
        <v>0</v>
      </c>
      <c r="AL161" s="4">
        <v>0</v>
      </c>
      <c r="AM161" s="4">
        <v>0</v>
      </c>
      <c r="AN161" s="4">
        <v>0</v>
      </c>
      <c r="AO161" s="4">
        <v>0</v>
      </c>
      <c r="AP161" s="4">
        <v>0</v>
      </c>
      <c r="AQ161" s="4">
        <v>1000000</v>
      </c>
      <c r="AR161" s="4">
        <v>986280</v>
      </c>
      <c r="AS161" s="4">
        <v>986280</v>
      </c>
      <c r="AT161" s="4">
        <v>0</v>
      </c>
      <c r="AU161" s="4">
        <v>0</v>
      </c>
      <c r="AV161" s="4">
        <v>0</v>
      </c>
      <c r="AW161" s="4">
        <v>0</v>
      </c>
      <c r="AX161" s="4">
        <v>13720</v>
      </c>
      <c r="AY161" s="4">
        <v>13720</v>
      </c>
    </row>
    <row r="162" spans="1:51">
      <c r="A162" s="3" t="s">
        <v>52</v>
      </c>
      <c r="B162" s="3" t="s">
        <v>53</v>
      </c>
      <c r="C162" s="3" t="s">
        <v>54</v>
      </c>
      <c r="D162" s="3" t="s">
        <v>55</v>
      </c>
      <c r="E162" s="3" t="s">
        <v>56</v>
      </c>
      <c r="F162" s="3" t="s">
        <v>57</v>
      </c>
      <c r="G162" s="3" t="s">
        <v>58</v>
      </c>
      <c r="H162" s="3" t="s">
        <v>59</v>
      </c>
      <c r="I162" s="3" t="s">
        <v>60</v>
      </c>
      <c r="J162" s="3" t="s">
        <v>61</v>
      </c>
      <c r="K162" s="3" t="s">
        <v>62</v>
      </c>
      <c r="L162" s="3" t="s">
        <v>63</v>
      </c>
      <c r="M162" s="3" t="s">
        <v>264</v>
      </c>
      <c r="N162" s="3" t="s">
        <v>265</v>
      </c>
      <c r="O162" s="3" t="s">
        <v>383</v>
      </c>
      <c r="P162" s="3" t="s">
        <v>384</v>
      </c>
      <c r="Q162" s="3" t="s">
        <v>393</v>
      </c>
      <c r="R162" s="3" t="s">
        <v>394</v>
      </c>
      <c r="S162" s="3" t="s">
        <v>102</v>
      </c>
      <c r="T162" s="3" t="s">
        <v>395</v>
      </c>
      <c r="U162" s="3" t="s">
        <v>54</v>
      </c>
      <c r="V162" s="3" t="s">
        <v>72</v>
      </c>
      <c r="W162" s="3" t="s">
        <v>73</v>
      </c>
      <c r="X162" s="3" t="s">
        <v>74</v>
      </c>
      <c r="Y162" s="3" t="s">
        <v>78</v>
      </c>
      <c r="Z162" s="3" t="s">
        <v>79</v>
      </c>
      <c r="AA162" s="3" t="s">
        <v>396</v>
      </c>
      <c r="AB162" s="4">
        <v>0</v>
      </c>
      <c r="AC162" s="4">
        <v>6300000</v>
      </c>
      <c r="AD162" s="4">
        <v>0</v>
      </c>
      <c r="AE162" s="4">
        <v>6300000</v>
      </c>
      <c r="AF162" s="4">
        <v>0</v>
      </c>
      <c r="AG162" s="4">
        <v>0</v>
      </c>
      <c r="AH162" s="4">
        <v>0</v>
      </c>
      <c r="AI162" s="4">
        <v>0</v>
      </c>
      <c r="AJ162" s="4">
        <v>0</v>
      </c>
      <c r="AK162" s="4">
        <v>0</v>
      </c>
      <c r="AL162" s="4">
        <v>0</v>
      </c>
      <c r="AM162" s="4">
        <v>0</v>
      </c>
      <c r="AN162" s="4">
        <v>0</v>
      </c>
      <c r="AO162" s="4">
        <v>0</v>
      </c>
      <c r="AP162" s="4">
        <v>0</v>
      </c>
      <c r="AQ162" s="4">
        <v>6300000</v>
      </c>
      <c r="AR162" s="4">
        <v>1925000</v>
      </c>
      <c r="AS162" s="4">
        <v>1925000</v>
      </c>
      <c r="AT162" s="4">
        <v>0</v>
      </c>
      <c r="AU162" s="4">
        <v>0</v>
      </c>
      <c r="AV162" s="4">
        <v>0</v>
      </c>
      <c r="AW162" s="4">
        <v>0</v>
      </c>
      <c r="AX162" s="4">
        <v>4375000</v>
      </c>
      <c r="AY162" s="4">
        <v>4375000</v>
      </c>
    </row>
    <row r="163" spans="1:51">
      <c r="A163" s="3" t="s">
        <v>52</v>
      </c>
      <c r="B163" s="3" t="s">
        <v>53</v>
      </c>
      <c r="C163" s="3" t="s">
        <v>54</v>
      </c>
      <c r="D163" s="3" t="s">
        <v>55</v>
      </c>
      <c r="E163" s="3" t="s">
        <v>56</v>
      </c>
      <c r="F163" s="3" t="s">
        <v>57</v>
      </c>
      <c r="G163" s="3" t="s">
        <v>58</v>
      </c>
      <c r="H163" s="3" t="s">
        <v>59</v>
      </c>
      <c r="I163" s="3" t="s">
        <v>60</v>
      </c>
      <c r="J163" s="3" t="s">
        <v>61</v>
      </c>
      <c r="K163" s="3" t="s">
        <v>62</v>
      </c>
      <c r="L163" s="3" t="s">
        <v>63</v>
      </c>
      <c r="M163" s="3" t="s">
        <v>264</v>
      </c>
      <c r="N163" s="3" t="s">
        <v>265</v>
      </c>
      <c r="O163" s="3" t="s">
        <v>383</v>
      </c>
      <c r="P163" s="3" t="s">
        <v>384</v>
      </c>
      <c r="Q163" s="3" t="s">
        <v>393</v>
      </c>
      <c r="R163" s="3" t="s">
        <v>394</v>
      </c>
      <c r="S163" s="3" t="s">
        <v>102</v>
      </c>
      <c r="T163" s="3" t="s">
        <v>395</v>
      </c>
      <c r="U163" s="3" t="s">
        <v>54</v>
      </c>
      <c r="V163" s="3" t="s">
        <v>72</v>
      </c>
      <c r="W163" s="3" t="s">
        <v>73</v>
      </c>
      <c r="X163" s="3" t="s">
        <v>74</v>
      </c>
      <c r="Y163" s="3" t="s">
        <v>78</v>
      </c>
      <c r="Z163" s="3" t="s">
        <v>79</v>
      </c>
      <c r="AA163" s="3" t="s">
        <v>397</v>
      </c>
      <c r="AB163" s="4">
        <v>0</v>
      </c>
      <c r="AC163" s="4">
        <v>6300000</v>
      </c>
      <c r="AD163" s="4">
        <v>0</v>
      </c>
      <c r="AE163" s="4">
        <v>6300000</v>
      </c>
      <c r="AF163" s="4">
        <v>0</v>
      </c>
      <c r="AG163" s="4">
        <v>0</v>
      </c>
      <c r="AH163" s="4">
        <v>0</v>
      </c>
      <c r="AI163" s="4">
        <v>0</v>
      </c>
      <c r="AJ163" s="4">
        <v>0</v>
      </c>
      <c r="AK163" s="4">
        <v>0</v>
      </c>
      <c r="AL163" s="4">
        <v>0</v>
      </c>
      <c r="AM163" s="4">
        <v>0</v>
      </c>
      <c r="AN163" s="4">
        <v>0</v>
      </c>
      <c r="AO163" s="4">
        <v>0</v>
      </c>
      <c r="AP163" s="4">
        <v>0</v>
      </c>
      <c r="AQ163" s="4">
        <v>6300000</v>
      </c>
      <c r="AR163" s="4">
        <v>1260000</v>
      </c>
      <c r="AS163" s="4">
        <v>1260000</v>
      </c>
      <c r="AT163" s="4">
        <v>0</v>
      </c>
      <c r="AU163" s="4">
        <v>0</v>
      </c>
      <c r="AV163" s="4">
        <v>0</v>
      </c>
      <c r="AW163" s="4">
        <v>0</v>
      </c>
      <c r="AX163" s="4">
        <v>5040000</v>
      </c>
      <c r="AY163" s="4">
        <v>5040000</v>
      </c>
    </row>
    <row r="164" spans="1:51">
      <c r="A164" s="3" t="s">
        <v>52</v>
      </c>
      <c r="B164" s="3" t="s">
        <v>53</v>
      </c>
      <c r="C164" s="3" t="s">
        <v>54</v>
      </c>
      <c r="D164" s="3" t="s">
        <v>55</v>
      </c>
      <c r="E164" s="3" t="s">
        <v>56</v>
      </c>
      <c r="F164" s="3" t="s">
        <v>57</v>
      </c>
      <c r="G164" s="3" t="s">
        <v>58</v>
      </c>
      <c r="H164" s="3" t="s">
        <v>59</v>
      </c>
      <c r="I164" s="3" t="s">
        <v>60</v>
      </c>
      <c r="J164" s="3" t="s">
        <v>61</v>
      </c>
      <c r="K164" s="3" t="s">
        <v>62</v>
      </c>
      <c r="L164" s="3" t="s">
        <v>63</v>
      </c>
      <c r="M164" s="3" t="s">
        <v>264</v>
      </c>
      <c r="N164" s="3" t="s">
        <v>265</v>
      </c>
      <c r="O164" s="3" t="s">
        <v>383</v>
      </c>
      <c r="P164" s="3" t="s">
        <v>384</v>
      </c>
      <c r="Q164" s="3" t="s">
        <v>393</v>
      </c>
      <c r="R164" s="3" t="s">
        <v>394</v>
      </c>
      <c r="S164" s="3" t="s">
        <v>102</v>
      </c>
      <c r="T164" s="3" t="s">
        <v>395</v>
      </c>
      <c r="U164" s="3" t="s">
        <v>54</v>
      </c>
      <c r="V164" s="3" t="s">
        <v>72</v>
      </c>
      <c r="W164" s="3" t="s">
        <v>73</v>
      </c>
      <c r="X164" s="3" t="s">
        <v>74</v>
      </c>
      <c r="Y164" s="3" t="s">
        <v>78</v>
      </c>
      <c r="Z164" s="3" t="s">
        <v>79</v>
      </c>
      <c r="AA164" s="3" t="s">
        <v>398</v>
      </c>
      <c r="AB164" s="4">
        <v>0</v>
      </c>
      <c r="AC164" s="4">
        <v>6300000</v>
      </c>
      <c r="AD164" s="4">
        <v>0</v>
      </c>
      <c r="AE164" s="4">
        <v>6300000</v>
      </c>
      <c r="AF164" s="4">
        <v>0</v>
      </c>
      <c r="AG164" s="4">
        <v>0</v>
      </c>
      <c r="AH164" s="4">
        <v>0</v>
      </c>
      <c r="AI164" s="4">
        <v>0</v>
      </c>
      <c r="AJ164" s="4">
        <v>0</v>
      </c>
      <c r="AK164" s="4">
        <v>0</v>
      </c>
      <c r="AL164" s="4">
        <v>0</v>
      </c>
      <c r="AM164" s="4">
        <v>0</v>
      </c>
      <c r="AN164" s="4">
        <v>0</v>
      </c>
      <c r="AO164" s="4">
        <v>0</v>
      </c>
      <c r="AP164" s="4">
        <v>0</v>
      </c>
      <c r="AQ164" s="4">
        <v>6300000</v>
      </c>
      <c r="AR164" s="4">
        <v>1890000</v>
      </c>
      <c r="AS164" s="4">
        <v>1890000</v>
      </c>
      <c r="AT164" s="4">
        <v>0</v>
      </c>
      <c r="AU164" s="4">
        <v>0</v>
      </c>
      <c r="AV164" s="4">
        <v>0</v>
      </c>
      <c r="AW164" s="4">
        <v>0</v>
      </c>
      <c r="AX164" s="4">
        <v>4410000</v>
      </c>
      <c r="AY164" s="4">
        <v>4410000</v>
      </c>
    </row>
    <row r="165" spans="1:51">
      <c r="A165" s="3" t="s">
        <v>52</v>
      </c>
      <c r="B165" s="3" t="s">
        <v>53</v>
      </c>
      <c r="C165" s="3" t="s">
        <v>54</v>
      </c>
      <c r="D165" s="3" t="s">
        <v>55</v>
      </c>
      <c r="E165" s="3" t="s">
        <v>56</v>
      </c>
      <c r="F165" s="3" t="s">
        <v>57</v>
      </c>
      <c r="G165" s="3" t="s">
        <v>58</v>
      </c>
      <c r="H165" s="3" t="s">
        <v>59</v>
      </c>
      <c r="I165" s="3" t="s">
        <v>60</v>
      </c>
      <c r="J165" s="3" t="s">
        <v>61</v>
      </c>
      <c r="K165" s="3" t="s">
        <v>62</v>
      </c>
      <c r="L165" s="3" t="s">
        <v>63</v>
      </c>
      <c r="M165" s="3" t="s">
        <v>264</v>
      </c>
      <c r="N165" s="3" t="s">
        <v>265</v>
      </c>
      <c r="O165" s="3" t="s">
        <v>383</v>
      </c>
      <c r="P165" s="3" t="s">
        <v>384</v>
      </c>
      <c r="Q165" s="3" t="s">
        <v>393</v>
      </c>
      <c r="R165" s="3" t="s">
        <v>394</v>
      </c>
      <c r="S165" s="3" t="s">
        <v>102</v>
      </c>
      <c r="T165" s="3" t="s">
        <v>395</v>
      </c>
      <c r="U165" s="3" t="s">
        <v>54</v>
      </c>
      <c r="V165" s="3" t="s">
        <v>72</v>
      </c>
      <c r="W165" s="3" t="s">
        <v>94</v>
      </c>
      <c r="X165" s="3" t="s">
        <v>95</v>
      </c>
      <c r="Y165" s="3" t="s">
        <v>96</v>
      </c>
      <c r="Z165" s="3" t="s">
        <v>95</v>
      </c>
      <c r="AA165" s="3" t="s">
        <v>399</v>
      </c>
      <c r="AB165" s="4">
        <v>0</v>
      </c>
      <c r="AC165" s="4">
        <v>1100000</v>
      </c>
      <c r="AD165" s="4">
        <v>0</v>
      </c>
      <c r="AE165" s="4">
        <v>1100000</v>
      </c>
      <c r="AF165" s="4">
        <v>0</v>
      </c>
      <c r="AG165" s="4">
        <v>0</v>
      </c>
      <c r="AH165" s="4">
        <v>0</v>
      </c>
      <c r="AI165" s="4">
        <v>0</v>
      </c>
      <c r="AJ165" s="4">
        <v>0</v>
      </c>
      <c r="AK165" s="4">
        <v>0</v>
      </c>
      <c r="AL165" s="4">
        <v>0</v>
      </c>
      <c r="AM165" s="4">
        <v>0</v>
      </c>
      <c r="AN165" s="4">
        <v>0</v>
      </c>
      <c r="AO165" s="4">
        <v>0</v>
      </c>
      <c r="AP165" s="4">
        <v>0</v>
      </c>
      <c r="AQ165" s="4">
        <v>1100000</v>
      </c>
      <c r="AR165" s="4">
        <v>0</v>
      </c>
      <c r="AS165" s="4">
        <v>0</v>
      </c>
      <c r="AT165" s="4">
        <v>0</v>
      </c>
      <c r="AU165" s="4">
        <v>0</v>
      </c>
      <c r="AV165" s="4">
        <v>0</v>
      </c>
      <c r="AW165" s="4">
        <v>0</v>
      </c>
      <c r="AX165" s="4">
        <v>1100000</v>
      </c>
      <c r="AY165" s="4">
        <v>1100000</v>
      </c>
    </row>
    <row r="166" spans="1:51">
      <c r="A166" s="3" t="s">
        <v>52</v>
      </c>
      <c r="B166" s="3" t="s">
        <v>53</v>
      </c>
      <c r="C166" s="3" t="s">
        <v>54</v>
      </c>
      <c r="D166" s="3" t="s">
        <v>55</v>
      </c>
      <c r="E166" s="3" t="s">
        <v>56</v>
      </c>
      <c r="F166" s="3" t="s">
        <v>57</v>
      </c>
      <c r="G166" s="3" t="s">
        <v>58</v>
      </c>
      <c r="H166" s="3" t="s">
        <v>59</v>
      </c>
      <c r="I166" s="3" t="s">
        <v>60</v>
      </c>
      <c r="J166" s="3" t="s">
        <v>61</v>
      </c>
      <c r="K166" s="3" t="s">
        <v>62</v>
      </c>
      <c r="L166" s="3" t="s">
        <v>63</v>
      </c>
      <c r="M166" s="3" t="s">
        <v>400</v>
      </c>
      <c r="N166" s="3" t="s">
        <v>401</v>
      </c>
      <c r="O166" s="3" t="s">
        <v>402</v>
      </c>
      <c r="P166" s="3" t="s">
        <v>403</v>
      </c>
      <c r="Q166" s="3" t="s">
        <v>404</v>
      </c>
      <c r="R166" s="3" t="s">
        <v>405</v>
      </c>
      <c r="S166" s="3" t="s">
        <v>102</v>
      </c>
      <c r="T166" s="3" t="s">
        <v>406</v>
      </c>
      <c r="U166" s="3" t="s">
        <v>54</v>
      </c>
      <c r="V166" s="3" t="s">
        <v>72</v>
      </c>
      <c r="W166" s="3" t="s">
        <v>73</v>
      </c>
      <c r="X166" s="3" t="s">
        <v>74</v>
      </c>
      <c r="Y166" s="3" t="s">
        <v>78</v>
      </c>
      <c r="Z166" s="3" t="s">
        <v>79</v>
      </c>
      <c r="AA166" s="3" t="s">
        <v>407</v>
      </c>
      <c r="AB166" s="4">
        <v>100000</v>
      </c>
      <c r="AC166" s="4">
        <v>0</v>
      </c>
      <c r="AD166" s="4">
        <v>0</v>
      </c>
      <c r="AE166" s="4">
        <v>100000</v>
      </c>
      <c r="AF166" s="4">
        <v>0</v>
      </c>
      <c r="AG166" s="4">
        <v>0</v>
      </c>
      <c r="AH166" s="4">
        <v>0</v>
      </c>
      <c r="AI166" s="4">
        <v>0</v>
      </c>
      <c r="AJ166" s="4">
        <v>0</v>
      </c>
      <c r="AK166" s="4">
        <v>0</v>
      </c>
      <c r="AL166" s="4">
        <v>0</v>
      </c>
      <c r="AM166" s="4">
        <v>0</v>
      </c>
      <c r="AN166" s="4">
        <v>0</v>
      </c>
      <c r="AO166" s="4">
        <v>0</v>
      </c>
      <c r="AP166" s="4">
        <v>0</v>
      </c>
      <c r="AQ166" s="4">
        <v>100000</v>
      </c>
      <c r="AR166" s="4">
        <v>0</v>
      </c>
      <c r="AS166" s="4">
        <v>0</v>
      </c>
      <c r="AT166" s="4">
        <v>0</v>
      </c>
      <c r="AU166" s="4">
        <v>0</v>
      </c>
      <c r="AV166" s="4">
        <v>0</v>
      </c>
      <c r="AW166" s="4">
        <v>0</v>
      </c>
      <c r="AX166" s="4">
        <v>100000</v>
      </c>
      <c r="AY166" s="4">
        <v>100000</v>
      </c>
    </row>
    <row r="167" spans="1:51">
      <c r="A167" s="3" t="s">
        <v>52</v>
      </c>
      <c r="B167" s="3" t="s">
        <v>53</v>
      </c>
      <c r="C167" s="3" t="s">
        <v>54</v>
      </c>
      <c r="D167" s="3" t="s">
        <v>55</v>
      </c>
      <c r="E167" s="3" t="s">
        <v>56</v>
      </c>
      <c r="F167" s="3" t="s">
        <v>57</v>
      </c>
      <c r="G167" s="3" t="s">
        <v>58</v>
      </c>
      <c r="H167" s="3" t="s">
        <v>59</v>
      </c>
      <c r="I167" s="3" t="s">
        <v>60</v>
      </c>
      <c r="J167" s="3" t="s">
        <v>61</v>
      </c>
      <c r="K167" s="3" t="s">
        <v>62</v>
      </c>
      <c r="L167" s="3" t="s">
        <v>63</v>
      </c>
      <c r="M167" s="3" t="s">
        <v>400</v>
      </c>
      <c r="N167" s="3" t="s">
        <v>401</v>
      </c>
      <c r="O167" s="3" t="s">
        <v>402</v>
      </c>
      <c r="P167" s="3" t="s">
        <v>403</v>
      </c>
      <c r="Q167" s="3" t="s">
        <v>404</v>
      </c>
      <c r="R167" s="3" t="s">
        <v>405</v>
      </c>
      <c r="S167" s="3" t="s">
        <v>102</v>
      </c>
      <c r="T167" s="3" t="s">
        <v>406</v>
      </c>
      <c r="U167" s="3" t="s">
        <v>86</v>
      </c>
      <c r="V167" s="3" t="s">
        <v>87</v>
      </c>
      <c r="W167" s="3" t="s">
        <v>88</v>
      </c>
      <c r="X167" s="3" t="s">
        <v>89</v>
      </c>
      <c r="Y167" s="3" t="s">
        <v>90</v>
      </c>
      <c r="Z167" s="3" t="s">
        <v>89</v>
      </c>
      <c r="AA167" s="3" t="s">
        <v>408</v>
      </c>
      <c r="AB167" s="4">
        <v>210000</v>
      </c>
      <c r="AC167" s="4">
        <v>0</v>
      </c>
      <c r="AD167" s="4">
        <v>0</v>
      </c>
      <c r="AE167" s="4">
        <v>210000</v>
      </c>
      <c r="AF167" s="4">
        <v>0</v>
      </c>
      <c r="AG167" s="4">
        <v>0</v>
      </c>
      <c r="AH167" s="4">
        <v>0</v>
      </c>
      <c r="AI167" s="4">
        <v>0</v>
      </c>
      <c r="AJ167" s="4">
        <v>0</v>
      </c>
      <c r="AK167" s="4">
        <v>0</v>
      </c>
      <c r="AL167" s="4">
        <v>0</v>
      </c>
      <c r="AM167" s="4">
        <v>0</v>
      </c>
      <c r="AN167" s="4">
        <v>0</v>
      </c>
      <c r="AO167" s="4">
        <v>0</v>
      </c>
      <c r="AP167" s="4">
        <v>0</v>
      </c>
      <c r="AQ167" s="4">
        <v>210000</v>
      </c>
      <c r="AR167" s="4">
        <v>0</v>
      </c>
      <c r="AS167" s="4">
        <v>0</v>
      </c>
      <c r="AT167" s="4">
        <v>0</v>
      </c>
      <c r="AU167" s="4">
        <v>0</v>
      </c>
      <c r="AV167" s="4">
        <v>0</v>
      </c>
      <c r="AW167" s="4">
        <v>0</v>
      </c>
      <c r="AX167" s="4">
        <v>210000</v>
      </c>
      <c r="AY167" s="4">
        <v>210000</v>
      </c>
    </row>
    <row r="168" spans="1:51">
      <c r="A168" s="3" t="s">
        <v>52</v>
      </c>
      <c r="B168" s="3" t="s">
        <v>53</v>
      </c>
      <c r="C168" s="3" t="s">
        <v>54</v>
      </c>
      <c r="D168" s="3" t="s">
        <v>55</v>
      </c>
      <c r="E168" s="3" t="s">
        <v>56</v>
      </c>
      <c r="F168" s="3" t="s">
        <v>57</v>
      </c>
      <c r="G168" s="3" t="s">
        <v>58</v>
      </c>
      <c r="H168" s="3" t="s">
        <v>59</v>
      </c>
      <c r="I168" s="3" t="s">
        <v>60</v>
      </c>
      <c r="J168" s="3" t="s">
        <v>61</v>
      </c>
      <c r="K168" s="3" t="s">
        <v>62</v>
      </c>
      <c r="L168" s="3" t="s">
        <v>63</v>
      </c>
      <c r="M168" s="3" t="s">
        <v>400</v>
      </c>
      <c r="N168" s="3" t="s">
        <v>401</v>
      </c>
      <c r="O168" s="3" t="s">
        <v>402</v>
      </c>
      <c r="P168" s="3" t="s">
        <v>403</v>
      </c>
      <c r="Q168" s="3" t="s">
        <v>404</v>
      </c>
      <c r="R168" s="3" t="s">
        <v>405</v>
      </c>
      <c r="S168" s="3" t="s">
        <v>128</v>
      </c>
      <c r="T168" s="3" t="s">
        <v>409</v>
      </c>
      <c r="U168" s="3" t="s">
        <v>54</v>
      </c>
      <c r="V168" s="3" t="s">
        <v>72</v>
      </c>
      <c r="W168" s="3" t="s">
        <v>94</v>
      </c>
      <c r="X168" s="3" t="s">
        <v>95</v>
      </c>
      <c r="Y168" s="3" t="s">
        <v>96</v>
      </c>
      <c r="Z168" s="3" t="s">
        <v>95</v>
      </c>
      <c r="AA168" s="3" t="s">
        <v>410</v>
      </c>
      <c r="AB168" s="4">
        <v>982000</v>
      </c>
      <c r="AC168" s="4">
        <v>0</v>
      </c>
      <c r="AD168" s="4">
        <v>393000</v>
      </c>
      <c r="AE168" s="4">
        <v>1375000</v>
      </c>
      <c r="AF168" s="4">
        <v>0</v>
      </c>
      <c r="AG168" s="4">
        <v>0</v>
      </c>
      <c r="AH168" s="4">
        <v>0</v>
      </c>
      <c r="AI168" s="4">
        <v>0</v>
      </c>
      <c r="AJ168" s="4">
        <v>0</v>
      </c>
      <c r="AK168" s="4">
        <v>0</v>
      </c>
      <c r="AL168" s="4">
        <v>0</v>
      </c>
      <c r="AM168" s="4">
        <v>0</v>
      </c>
      <c r="AN168" s="4">
        <v>0</v>
      </c>
      <c r="AO168" s="4">
        <v>0</v>
      </c>
      <c r="AP168" s="4">
        <v>0</v>
      </c>
      <c r="AQ168" s="4">
        <v>1375000</v>
      </c>
      <c r="AR168" s="4">
        <v>1375000</v>
      </c>
      <c r="AS168" s="4">
        <v>1375000</v>
      </c>
      <c r="AT168" s="4">
        <v>0</v>
      </c>
      <c r="AU168" s="4">
        <v>0</v>
      </c>
      <c r="AV168" s="4">
        <v>0</v>
      </c>
      <c r="AW168" s="4">
        <v>0</v>
      </c>
      <c r="AX168" s="4">
        <v>0</v>
      </c>
      <c r="AY168" s="4">
        <v>0</v>
      </c>
    </row>
    <row r="169" spans="1:51">
      <c r="A169" s="3" t="s">
        <v>52</v>
      </c>
      <c r="B169" s="3" t="s">
        <v>53</v>
      </c>
      <c r="C169" s="3" t="s">
        <v>54</v>
      </c>
      <c r="D169" s="3" t="s">
        <v>55</v>
      </c>
      <c r="E169" s="3" t="s">
        <v>56</v>
      </c>
      <c r="F169" s="3" t="s">
        <v>57</v>
      </c>
      <c r="G169" s="3" t="s">
        <v>58</v>
      </c>
      <c r="H169" s="3" t="s">
        <v>59</v>
      </c>
      <c r="I169" s="3" t="s">
        <v>60</v>
      </c>
      <c r="J169" s="3" t="s">
        <v>61</v>
      </c>
      <c r="K169" s="3" t="s">
        <v>62</v>
      </c>
      <c r="L169" s="3" t="s">
        <v>63</v>
      </c>
      <c r="M169" s="3" t="s">
        <v>400</v>
      </c>
      <c r="N169" s="3" t="s">
        <v>401</v>
      </c>
      <c r="O169" s="3" t="s">
        <v>402</v>
      </c>
      <c r="P169" s="3" t="s">
        <v>403</v>
      </c>
      <c r="Q169" s="3" t="s">
        <v>404</v>
      </c>
      <c r="R169" s="3" t="s">
        <v>405</v>
      </c>
      <c r="S169" s="3" t="s">
        <v>128</v>
      </c>
      <c r="T169" s="3" t="s">
        <v>409</v>
      </c>
      <c r="U169" s="3" t="s">
        <v>54</v>
      </c>
      <c r="V169" s="3" t="s">
        <v>72</v>
      </c>
      <c r="W169" s="3" t="s">
        <v>94</v>
      </c>
      <c r="X169" s="3" t="s">
        <v>95</v>
      </c>
      <c r="Y169" s="3" t="s">
        <v>96</v>
      </c>
      <c r="Z169" s="3" t="s">
        <v>95</v>
      </c>
      <c r="AA169" s="3" t="s">
        <v>411</v>
      </c>
      <c r="AB169" s="4">
        <v>380000</v>
      </c>
      <c r="AC169" s="4">
        <v>0</v>
      </c>
      <c r="AD169" s="4">
        <v>0</v>
      </c>
      <c r="AE169" s="4">
        <v>380000</v>
      </c>
      <c r="AF169" s="4">
        <v>0</v>
      </c>
      <c r="AG169" s="4">
        <v>0</v>
      </c>
      <c r="AH169" s="4">
        <v>0</v>
      </c>
      <c r="AI169" s="4">
        <v>0</v>
      </c>
      <c r="AJ169" s="4">
        <v>0</v>
      </c>
      <c r="AK169" s="4">
        <v>0</v>
      </c>
      <c r="AL169" s="4">
        <v>0</v>
      </c>
      <c r="AM169" s="4">
        <v>0</v>
      </c>
      <c r="AN169" s="4">
        <v>0</v>
      </c>
      <c r="AO169" s="4">
        <v>0</v>
      </c>
      <c r="AP169" s="4">
        <v>0</v>
      </c>
      <c r="AQ169" s="4">
        <v>380000</v>
      </c>
      <c r="AR169" s="4">
        <v>360000</v>
      </c>
      <c r="AS169" s="4">
        <v>360000</v>
      </c>
      <c r="AT169" s="4">
        <v>0</v>
      </c>
      <c r="AU169" s="4">
        <v>0</v>
      </c>
      <c r="AV169" s="4">
        <v>0</v>
      </c>
      <c r="AW169" s="4">
        <v>0</v>
      </c>
      <c r="AX169" s="4">
        <v>20000</v>
      </c>
      <c r="AY169" s="4">
        <v>20000</v>
      </c>
    </row>
    <row r="170" spans="1:51">
      <c r="A170" s="3" t="s">
        <v>52</v>
      </c>
      <c r="B170" s="3" t="s">
        <v>53</v>
      </c>
      <c r="C170" s="3" t="s">
        <v>54</v>
      </c>
      <c r="D170" s="3" t="s">
        <v>55</v>
      </c>
      <c r="E170" s="3" t="s">
        <v>56</v>
      </c>
      <c r="F170" s="3" t="s">
        <v>57</v>
      </c>
      <c r="G170" s="3" t="s">
        <v>58</v>
      </c>
      <c r="H170" s="3" t="s">
        <v>59</v>
      </c>
      <c r="I170" s="3" t="s">
        <v>60</v>
      </c>
      <c r="J170" s="3" t="s">
        <v>61</v>
      </c>
      <c r="K170" s="3" t="s">
        <v>62</v>
      </c>
      <c r="L170" s="3" t="s">
        <v>63</v>
      </c>
      <c r="M170" s="3" t="s">
        <v>400</v>
      </c>
      <c r="N170" s="3" t="s">
        <v>401</v>
      </c>
      <c r="O170" s="3" t="s">
        <v>402</v>
      </c>
      <c r="P170" s="3" t="s">
        <v>403</v>
      </c>
      <c r="Q170" s="3" t="s">
        <v>404</v>
      </c>
      <c r="R170" s="3" t="s">
        <v>405</v>
      </c>
      <c r="S170" s="3" t="s">
        <v>128</v>
      </c>
      <c r="T170" s="3" t="s">
        <v>409</v>
      </c>
      <c r="U170" s="3" t="s">
        <v>54</v>
      </c>
      <c r="V170" s="3" t="s">
        <v>72</v>
      </c>
      <c r="W170" s="3" t="s">
        <v>94</v>
      </c>
      <c r="X170" s="3" t="s">
        <v>95</v>
      </c>
      <c r="Y170" s="3" t="s">
        <v>96</v>
      </c>
      <c r="Z170" s="3" t="s">
        <v>95</v>
      </c>
      <c r="AA170" s="3" t="s">
        <v>412</v>
      </c>
      <c r="AB170" s="4">
        <v>720000</v>
      </c>
      <c r="AC170" s="4">
        <v>0</v>
      </c>
      <c r="AD170" s="4">
        <v>0</v>
      </c>
      <c r="AE170" s="4">
        <v>720000</v>
      </c>
      <c r="AF170" s="4">
        <v>0</v>
      </c>
      <c r="AG170" s="4">
        <v>0</v>
      </c>
      <c r="AH170" s="4">
        <v>0</v>
      </c>
      <c r="AI170" s="4">
        <v>0</v>
      </c>
      <c r="AJ170" s="4">
        <v>0</v>
      </c>
      <c r="AK170" s="4">
        <v>0</v>
      </c>
      <c r="AL170" s="4">
        <v>0</v>
      </c>
      <c r="AM170" s="4">
        <v>0</v>
      </c>
      <c r="AN170" s="4">
        <v>0</v>
      </c>
      <c r="AO170" s="4">
        <v>0</v>
      </c>
      <c r="AP170" s="4">
        <v>0</v>
      </c>
      <c r="AQ170" s="4">
        <v>720000</v>
      </c>
      <c r="AR170" s="4">
        <v>480000</v>
      </c>
      <c r="AS170" s="4">
        <v>480000</v>
      </c>
      <c r="AT170" s="4">
        <v>0</v>
      </c>
      <c r="AU170" s="4">
        <v>0</v>
      </c>
      <c r="AV170" s="4">
        <v>0</v>
      </c>
      <c r="AW170" s="4">
        <v>0</v>
      </c>
      <c r="AX170" s="4">
        <v>240000</v>
      </c>
      <c r="AY170" s="4">
        <v>240000</v>
      </c>
    </row>
    <row r="171" spans="1:51">
      <c r="A171" s="3" t="s">
        <v>52</v>
      </c>
      <c r="B171" s="3" t="s">
        <v>53</v>
      </c>
      <c r="C171" s="3" t="s">
        <v>54</v>
      </c>
      <c r="D171" s="3" t="s">
        <v>55</v>
      </c>
      <c r="E171" s="3" t="s">
        <v>56</v>
      </c>
      <c r="F171" s="3" t="s">
        <v>57</v>
      </c>
      <c r="G171" s="3" t="s">
        <v>58</v>
      </c>
      <c r="H171" s="3" t="s">
        <v>59</v>
      </c>
      <c r="I171" s="3" t="s">
        <v>60</v>
      </c>
      <c r="J171" s="3" t="s">
        <v>61</v>
      </c>
      <c r="K171" s="3" t="s">
        <v>62</v>
      </c>
      <c r="L171" s="3" t="s">
        <v>63</v>
      </c>
      <c r="M171" s="3" t="s">
        <v>400</v>
      </c>
      <c r="N171" s="3" t="s">
        <v>401</v>
      </c>
      <c r="O171" s="3" t="s">
        <v>402</v>
      </c>
      <c r="P171" s="3" t="s">
        <v>403</v>
      </c>
      <c r="Q171" s="3" t="s">
        <v>404</v>
      </c>
      <c r="R171" s="3" t="s">
        <v>405</v>
      </c>
      <c r="S171" s="3" t="s">
        <v>128</v>
      </c>
      <c r="T171" s="3" t="s">
        <v>409</v>
      </c>
      <c r="U171" s="3" t="s">
        <v>54</v>
      </c>
      <c r="V171" s="3" t="s">
        <v>72</v>
      </c>
      <c r="W171" s="3" t="s">
        <v>94</v>
      </c>
      <c r="X171" s="3" t="s">
        <v>95</v>
      </c>
      <c r="Y171" s="3" t="s">
        <v>96</v>
      </c>
      <c r="Z171" s="3" t="s">
        <v>95</v>
      </c>
      <c r="AA171" s="3" t="s">
        <v>413</v>
      </c>
      <c r="AB171" s="4">
        <v>720000</v>
      </c>
      <c r="AC171" s="4">
        <v>0</v>
      </c>
      <c r="AD171" s="4">
        <v>240000</v>
      </c>
      <c r="AE171" s="4">
        <v>960000</v>
      </c>
      <c r="AF171" s="4">
        <v>0</v>
      </c>
      <c r="AG171" s="4">
        <v>0</v>
      </c>
      <c r="AH171" s="4">
        <v>0</v>
      </c>
      <c r="AI171" s="4">
        <v>0</v>
      </c>
      <c r="AJ171" s="4">
        <v>0</v>
      </c>
      <c r="AK171" s="4">
        <v>0</v>
      </c>
      <c r="AL171" s="4">
        <v>0</v>
      </c>
      <c r="AM171" s="4">
        <v>0</v>
      </c>
      <c r="AN171" s="4">
        <v>0</v>
      </c>
      <c r="AO171" s="4">
        <v>0</v>
      </c>
      <c r="AP171" s="4">
        <v>0</v>
      </c>
      <c r="AQ171" s="4">
        <v>960000</v>
      </c>
      <c r="AR171" s="4">
        <v>960000</v>
      </c>
      <c r="AS171" s="4">
        <v>960000</v>
      </c>
      <c r="AT171" s="4">
        <v>0</v>
      </c>
      <c r="AU171" s="4">
        <v>0</v>
      </c>
      <c r="AV171" s="4">
        <v>0</v>
      </c>
      <c r="AW171" s="4">
        <v>0</v>
      </c>
      <c r="AX171" s="4">
        <v>0</v>
      </c>
      <c r="AY171" s="4">
        <v>0</v>
      </c>
    </row>
    <row r="172" spans="1:51">
      <c r="A172" s="3" t="s">
        <v>52</v>
      </c>
      <c r="B172" s="3" t="s">
        <v>53</v>
      </c>
      <c r="C172" s="3" t="s">
        <v>54</v>
      </c>
      <c r="D172" s="3" t="s">
        <v>55</v>
      </c>
      <c r="E172" s="3" t="s">
        <v>56</v>
      </c>
      <c r="F172" s="3" t="s">
        <v>57</v>
      </c>
      <c r="G172" s="3" t="s">
        <v>58</v>
      </c>
      <c r="H172" s="3" t="s">
        <v>59</v>
      </c>
      <c r="I172" s="3" t="s">
        <v>60</v>
      </c>
      <c r="J172" s="3" t="s">
        <v>61</v>
      </c>
      <c r="K172" s="3" t="s">
        <v>62</v>
      </c>
      <c r="L172" s="3" t="s">
        <v>63</v>
      </c>
      <c r="M172" s="3" t="s">
        <v>400</v>
      </c>
      <c r="N172" s="3" t="s">
        <v>401</v>
      </c>
      <c r="O172" s="3" t="s">
        <v>402</v>
      </c>
      <c r="P172" s="3" t="s">
        <v>403</v>
      </c>
      <c r="Q172" s="3" t="s">
        <v>404</v>
      </c>
      <c r="R172" s="3" t="s">
        <v>405</v>
      </c>
      <c r="S172" s="3" t="s">
        <v>128</v>
      </c>
      <c r="T172" s="3" t="s">
        <v>409</v>
      </c>
      <c r="U172" s="3" t="s">
        <v>54</v>
      </c>
      <c r="V172" s="3" t="s">
        <v>72</v>
      </c>
      <c r="W172" s="3" t="s">
        <v>94</v>
      </c>
      <c r="X172" s="3" t="s">
        <v>95</v>
      </c>
      <c r="Y172" s="3" t="s">
        <v>96</v>
      </c>
      <c r="Z172" s="3" t="s">
        <v>95</v>
      </c>
      <c r="AA172" s="3" t="s">
        <v>414</v>
      </c>
      <c r="AB172" s="4">
        <v>162000</v>
      </c>
      <c r="AC172" s="4">
        <v>-162000</v>
      </c>
      <c r="AD172" s="4">
        <v>0</v>
      </c>
      <c r="AE172" s="4">
        <v>0</v>
      </c>
      <c r="AF172" s="4">
        <v>0</v>
      </c>
      <c r="AG172" s="4">
        <v>0</v>
      </c>
      <c r="AH172" s="4">
        <v>0</v>
      </c>
      <c r="AI172" s="4">
        <v>0</v>
      </c>
      <c r="AJ172" s="4">
        <v>0</v>
      </c>
      <c r="AK172" s="4">
        <v>0</v>
      </c>
      <c r="AL172" s="4">
        <v>0</v>
      </c>
      <c r="AM172" s="4">
        <v>0</v>
      </c>
      <c r="AN172" s="4">
        <v>0</v>
      </c>
      <c r="AO172" s="4">
        <v>0</v>
      </c>
      <c r="AP172" s="4">
        <v>0</v>
      </c>
      <c r="AQ172" s="4">
        <v>0</v>
      </c>
      <c r="AR172" s="4">
        <v>0</v>
      </c>
      <c r="AS172" s="4">
        <v>0</v>
      </c>
      <c r="AT172" s="4">
        <v>0</v>
      </c>
      <c r="AU172" s="4">
        <v>0</v>
      </c>
      <c r="AV172" s="4">
        <v>0</v>
      </c>
      <c r="AW172" s="4">
        <v>0</v>
      </c>
      <c r="AX172" s="4">
        <v>0</v>
      </c>
      <c r="AY172" s="4">
        <v>0</v>
      </c>
    </row>
    <row r="173" spans="1:51">
      <c r="A173" s="3" t="s">
        <v>52</v>
      </c>
      <c r="B173" s="3" t="s">
        <v>53</v>
      </c>
      <c r="C173" s="3" t="s">
        <v>54</v>
      </c>
      <c r="D173" s="3" t="s">
        <v>55</v>
      </c>
      <c r="E173" s="3" t="s">
        <v>56</v>
      </c>
      <c r="F173" s="3" t="s">
        <v>57</v>
      </c>
      <c r="G173" s="3" t="s">
        <v>58</v>
      </c>
      <c r="H173" s="3" t="s">
        <v>59</v>
      </c>
      <c r="I173" s="3" t="s">
        <v>60</v>
      </c>
      <c r="J173" s="3" t="s">
        <v>61</v>
      </c>
      <c r="K173" s="3" t="s">
        <v>62</v>
      </c>
      <c r="L173" s="3" t="s">
        <v>63</v>
      </c>
      <c r="M173" s="3" t="s">
        <v>400</v>
      </c>
      <c r="N173" s="3" t="s">
        <v>401</v>
      </c>
      <c r="O173" s="3" t="s">
        <v>402</v>
      </c>
      <c r="P173" s="3" t="s">
        <v>403</v>
      </c>
      <c r="Q173" s="3" t="s">
        <v>404</v>
      </c>
      <c r="R173" s="3" t="s">
        <v>405</v>
      </c>
      <c r="S173" s="3" t="s">
        <v>128</v>
      </c>
      <c r="T173" s="3" t="s">
        <v>409</v>
      </c>
      <c r="U173" s="3" t="s">
        <v>54</v>
      </c>
      <c r="V173" s="3" t="s">
        <v>72</v>
      </c>
      <c r="W173" s="3" t="s">
        <v>94</v>
      </c>
      <c r="X173" s="3" t="s">
        <v>95</v>
      </c>
      <c r="Y173" s="3" t="s">
        <v>96</v>
      </c>
      <c r="Z173" s="3" t="s">
        <v>95</v>
      </c>
      <c r="AA173" s="3" t="s">
        <v>415</v>
      </c>
      <c r="AB173" s="4">
        <v>1434000</v>
      </c>
      <c r="AC173" s="4">
        <v>0</v>
      </c>
      <c r="AD173" s="4">
        <v>0</v>
      </c>
      <c r="AE173" s="4">
        <v>1434000</v>
      </c>
      <c r="AF173" s="4">
        <v>0</v>
      </c>
      <c r="AG173" s="4">
        <v>0</v>
      </c>
      <c r="AH173" s="4">
        <v>0</v>
      </c>
      <c r="AI173" s="4">
        <v>0</v>
      </c>
      <c r="AJ173" s="4">
        <v>0</v>
      </c>
      <c r="AK173" s="4">
        <v>0</v>
      </c>
      <c r="AL173" s="4">
        <v>0</v>
      </c>
      <c r="AM173" s="4">
        <v>0</v>
      </c>
      <c r="AN173" s="4">
        <v>0</v>
      </c>
      <c r="AO173" s="4">
        <v>0</v>
      </c>
      <c r="AP173" s="4">
        <v>0</v>
      </c>
      <c r="AQ173" s="4">
        <v>1434000</v>
      </c>
      <c r="AR173" s="4">
        <v>793750</v>
      </c>
      <c r="AS173" s="4">
        <v>793750</v>
      </c>
      <c r="AT173" s="4">
        <v>0</v>
      </c>
      <c r="AU173" s="4">
        <v>0</v>
      </c>
      <c r="AV173" s="4">
        <v>0</v>
      </c>
      <c r="AW173" s="4">
        <v>0</v>
      </c>
      <c r="AX173" s="4">
        <v>640250</v>
      </c>
      <c r="AY173" s="4">
        <v>640250</v>
      </c>
    </row>
    <row r="174" spans="1:51">
      <c r="A174" s="3" t="s">
        <v>52</v>
      </c>
      <c r="B174" s="3" t="s">
        <v>53</v>
      </c>
      <c r="C174" s="3" t="s">
        <v>54</v>
      </c>
      <c r="D174" s="3" t="s">
        <v>55</v>
      </c>
      <c r="E174" s="3" t="s">
        <v>56</v>
      </c>
      <c r="F174" s="3" t="s">
        <v>57</v>
      </c>
      <c r="G174" s="3" t="s">
        <v>58</v>
      </c>
      <c r="H174" s="3" t="s">
        <v>59</v>
      </c>
      <c r="I174" s="3" t="s">
        <v>60</v>
      </c>
      <c r="J174" s="3" t="s">
        <v>61</v>
      </c>
      <c r="K174" s="3" t="s">
        <v>62</v>
      </c>
      <c r="L174" s="3" t="s">
        <v>63</v>
      </c>
      <c r="M174" s="3" t="s">
        <v>400</v>
      </c>
      <c r="N174" s="3" t="s">
        <v>401</v>
      </c>
      <c r="O174" s="3" t="s">
        <v>402</v>
      </c>
      <c r="P174" s="3" t="s">
        <v>403</v>
      </c>
      <c r="Q174" s="3" t="s">
        <v>404</v>
      </c>
      <c r="R174" s="3" t="s">
        <v>405</v>
      </c>
      <c r="S174" s="3" t="s">
        <v>128</v>
      </c>
      <c r="T174" s="3" t="s">
        <v>409</v>
      </c>
      <c r="U174" s="3" t="s">
        <v>54</v>
      </c>
      <c r="V174" s="3" t="s">
        <v>72</v>
      </c>
      <c r="W174" s="3" t="s">
        <v>94</v>
      </c>
      <c r="X174" s="3" t="s">
        <v>95</v>
      </c>
      <c r="Y174" s="3" t="s">
        <v>96</v>
      </c>
      <c r="Z174" s="3" t="s">
        <v>95</v>
      </c>
      <c r="AA174" s="3" t="s">
        <v>416</v>
      </c>
      <c r="AB174" s="4">
        <v>1964000</v>
      </c>
      <c r="AC174" s="4">
        <v>0</v>
      </c>
      <c r="AD174" s="4">
        <v>161000</v>
      </c>
      <c r="AE174" s="4">
        <v>2125000</v>
      </c>
      <c r="AF174" s="4">
        <v>0</v>
      </c>
      <c r="AG174" s="4">
        <v>0</v>
      </c>
      <c r="AH174" s="4">
        <v>0</v>
      </c>
      <c r="AI174" s="4">
        <v>0</v>
      </c>
      <c r="AJ174" s="4">
        <v>0</v>
      </c>
      <c r="AK174" s="4">
        <v>0</v>
      </c>
      <c r="AL174" s="4">
        <v>0</v>
      </c>
      <c r="AM174" s="4">
        <v>0</v>
      </c>
      <c r="AN174" s="4">
        <v>0</v>
      </c>
      <c r="AO174" s="4">
        <v>0</v>
      </c>
      <c r="AP174" s="4">
        <v>0</v>
      </c>
      <c r="AQ174" s="4">
        <v>2125000</v>
      </c>
      <c r="AR174" s="4">
        <v>2125000</v>
      </c>
      <c r="AS174" s="4">
        <v>2125000</v>
      </c>
      <c r="AT174" s="4">
        <v>0</v>
      </c>
      <c r="AU174" s="4">
        <v>0</v>
      </c>
      <c r="AV174" s="4">
        <v>0</v>
      </c>
      <c r="AW174" s="4">
        <v>0</v>
      </c>
      <c r="AX174" s="4">
        <v>0</v>
      </c>
      <c r="AY174" s="4">
        <v>0</v>
      </c>
    </row>
    <row r="175" spans="1:51">
      <c r="A175" s="3" t="s">
        <v>52</v>
      </c>
      <c r="B175" s="3" t="s">
        <v>53</v>
      </c>
      <c r="C175" s="3" t="s">
        <v>54</v>
      </c>
      <c r="D175" s="3" t="s">
        <v>55</v>
      </c>
      <c r="E175" s="3" t="s">
        <v>56</v>
      </c>
      <c r="F175" s="3" t="s">
        <v>57</v>
      </c>
      <c r="G175" s="3" t="s">
        <v>58</v>
      </c>
      <c r="H175" s="3" t="s">
        <v>59</v>
      </c>
      <c r="I175" s="3" t="s">
        <v>60</v>
      </c>
      <c r="J175" s="3" t="s">
        <v>61</v>
      </c>
      <c r="K175" s="3" t="s">
        <v>62</v>
      </c>
      <c r="L175" s="3" t="s">
        <v>63</v>
      </c>
      <c r="M175" s="3" t="s">
        <v>400</v>
      </c>
      <c r="N175" s="3" t="s">
        <v>401</v>
      </c>
      <c r="O175" s="3" t="s">
        <v>402</v>
      </c>
      <c r="P175" s="3" t="s">
        <v>403</v>
      </c>
      <c r="Q175" s="3" t="s">
        <v>404</v>
      </c>
      <c r="R175" s="3" t="s">
        <v>405</v>
      </c>
      <c r="S175" s="3" t="s">
        <v>128</v>
      </c>
      <c r="T175" s="3" t="s">
        <v>409</v>
      </c>
      <c r="U175" s="3" t="s">
        <v>54</v>
      </c>
      <c r="V175" s="3" t="s">
        <v>72</v>
      </c>
      <c r="W175" s="3" t="s">
        <v>94</v>
      </c>
      <c r="X175" s="3" t="s">
        <v>95</v>
      </c>
      <c r="Y175" s="3" t="s">
        <v>96</v>
      </c>
      <c r="Z175" s="3" t="s">
        <v>95</v>
      </c>
      <c r="AA175" s="3" t="s">
        <v>417</v>
      </c>
      <c r="AB175" s="4">
        <v>1350000</v>
      </c>
      <c r="AC175" s="4">
        <v>0</v>
      </c>
      <c r="AD175" s="4">
        <v>0</v>
      </c>
      <c r="AE175" s="4">
        <v>1350000</v>
      </c>
      <c r="AF175" s="4">
        <v>0</v>
      </c>
      <c r="AG175" s="4">
        <v>0</v>
      </c>
      <c r="AH175" s="4">
        <v>0</v>
      </c>
      <c r="AI175" s="4">
        <v>0</v>
      </c>
      <c r="AJ175" s="4">
        <v>0</v>
      </c>
      <c r="AK175" s="4">
        <v>0</v>
      </c>
      <c r="AL175" s="4">
        <v>0</v>
      </c>
      <c r="AM175" s="4">
        <v>0</v>
      </c>
      <c r="AN175" s="4">
        <v>0</v>
      </c>
      <c r="AO175" s="4">
        <v>0</v>
      </c>
      <c r="AP175" s="4">
        <v>0</v>
      </c>
      <c r="AQ175" s="4">
        <v>1350000</v>
      </c>
      <c r="AR175" s="4">
        <v>800000</v>
      </c>
      <c r="AS175" s="4">
        <v>800000</v>
      </c>
      <c r="AT175" s="4">
        <v>0</v>
      </c>
      <c r="AU175" s="4">
        <v>0</v>
      </c>
      <c r="AV175" s="4">
        <v>0</v>
      </c>
      <c r="AW175" s="4">
        <v>0</v>
      </c>
      <c r="AX175" s="4">
        <v>550000</v>
      </c>
      <c r="AY175" s="4">
        <v>550000</v>
      </c>
    </row>
    <row r="176" spans="1:51">
      <c r="A176" s="3" t="s">
        <v>52</v>
      </c>
      <c r="B176" s="3" t="s">
        <v>53</v>
      </c>
      <c r="C176" s="3" t="s">
        <v>54</v>
      </c>
      <c r="D176" s="3" t="s">
        <v>55</v>
      </c>
      <c r="E176" s="3" t="s">
        <v>56</v>
      </c>
      <c r="F176" s="3" t="s">
        <v>57</v>
      </c>
      <c r="G176" s="3" t="s">
        <v>58</v>
      </c>
      <c r="H176" s="3" t="s">
        <v>59</v>
      </c>
      <c r="I176" s="3" t="s">
        <v>60</v>
      </c>
      <c r="J176" s="3" t="s">
        <v>61</v>
      </c>
      <c r="K176" s="3" t="s">
        <v>62</v>
      </c>
      <c r="L176" s="3" t="s">
        <v>63</v>
      </c>
      <c r="M176" s="3" t="s">
        <v>400</v>
      </c>
      <c r="N176" s="3" t="s">
        <v>401</v>
      </c>
      <c r="O176" s="3" t="s">
        <v>402</v>
      </c>
      <c r="P176" s="3" t="s">
        <v>403</v>
      </c>
      <c r="Q176" s="3" t="s">
        <v>404</v>
      </c>
      <c r="R176" s="3" t="s">
        <v>405</v>
      </c>
      <c r="S176" s="3" t="s">
        <v>128</v>
      </c>
      <c r="T176" s="3" t="s">
        <v>409</v>
      </c>
      <c r="U176" s="3" t="s">
        <v>54</v>
      </c>
      <c r="V176" s="3" t="s">
        <v>72</v>
      </c>
      <c r="W176" s="3" t="s">
        <v>94</v>
      </c>
      <c r="X176" s="3" t="s">
        <v>95</v>
      </c>
      <c r="Y176" s="3" t="s">
        <v>96</v>
      </c>
      <c r="Z176" s="3" t="s">
        <v>95</v>
      </c>
      <c r="AA176" s="3" t="s">
        <v>418</v>
      </c>
      <c r="AB176" s="4">
        <v>330000</v>
      </c>
      <c r="AC176" s="4">
        <v>0</v>
      </c>
      <c r="AD176" s="4">
        <v>290000</v>
      </c>
      <c r="AE176" s="4">
        <v>620000</v>
      </c>
      <c r="AF176" s="4">
        <v>0</v>
      </c>
      <c r="AG176" s="4">
        <v>0</v>
      </c>
      <c r="AH176" s="4">
        <v>0</v>
      </c>
      <c r="AI176" s="4">
        <v>0</v>
      </c>
      <c r="AJ176" s="4">
        <v>0</v>
      </c>
      <c r="AK176" s="4">
        <v>0</v>
      </c>
      <c r="AL176" s="4">
        <v>0</v>
      </c>
      <c r="AM176" s="4">
        <v>0</v>
      </c>
      <c r="AN176" s="4">
        <v>0</v>
      </c>
      <c r="AO176" s="4">
        <v>0</v>
      </c>
      <c r="AP176" s="4">
        <v>0</v>
      </c>
      <c r="AQ176" s="4">
        <v>620000</v>
      </c>
      <c r="AR176" s="4">
        <v>620000</v>
      </c>
      <c r="AS176" s="4">
        <v>620000</v>
      </c>
      <c r="AT176" s="4">
        <v>0</v>
      </c>
      <c r="AU176" s="4">
        <v>0</v>
      </c>
      <c r="AV176" s="4">
        <v>0</v>
      </c>
      <c r="AW176" s="4">
        <v>0</v>
      </c>
      <c r="AX176" s="4">
        <v>0</v>
      </c>
      <c r="AY176" s="4">
        <v>0</v>
      </c>
    </row>
    <row r="177" spans="1:51">
      <c r="A177" s="3" t="s">
        <v>52</v>
      </c>
      <c r="B177" s="3" t="s">
        <v>53</v>
      </c>
      <c r="C177" s="3" t="s">
        <v>54</v>
      </c>
      <c r="D177" s="3" t="s">
        <v>55</v>
      </c>
      <c r="E177" s="3" t="s">
        <v>56</v>
      </c>
      <c r="F177" s="3" t="s">
        <v>57</v>
      </c>
      <c r="G177" s="3" t="s">
        <v>58</v>
      </c>
      <c r="H177" s="3" t="s">
        <v>59</v>
      </c>
      <c r="I177" s="3" t="s">
        <v>60</v>
      </c>
      <c r="J177" s="3" t="s">
        <v>61</v>
      </c>
      <c r="K177" s="3" t="s">
        <v>62</v>
      </c>
      <c r="L177" s="3" t="s">
        <v>63</v>
      </c>
      <c r="M177" s="3" t="s">
        <v>400</v>
      </c>
      <c r="N177" s="3" t="s">
        <v>401</v>
      </c>
      <c r="O177" s="3" t="s">
        <v>402</v>
      </c>
      <c r="P177" s="3" t="s">
        <v>403</v>
      </c>
      <c r="Q177" s="3" t="s">
        <v>404</v>
      </c>
      <c r="R177" s="3" t="s">
        <v>405</v>
      </c>
      <c r="S177" s="3" t="s">
        <v>128</v>
      </c>
      <c r="T177" s="3" t="s">
        <v>409</v>
      </c>
      <c r="U177" s="3" t="s">
        <v>54</v>
      </c>
      <c r="V177" s="3" t="s">
        <v>72</v>
      </c>
      <c r="W177" s="3" t="s">
        <v>94</v>
      </c>
      <c r="X177" s="3" t="s">
        <v>95</v>
      </c>
      <c r="Y177" s="3" t="s">
        <v>96</v>
      </c>
      <c r="Z177" s="3" t="s">
        <v>95</v>
      </c>
      <c r="AA177" s="3" t="s">
        <v>419</v>
      </c>
      <c r="AB177" s="4">
        <v>495000</v>
      </c>
      <c r="AC177" s="4">
        <v>0</v>
      </c>
      <c r="AD177" s="4">
        <v>0</v>
      </c>
      <c r="AE177" s="4">
        <v>495000</v>
      </c>
      <c r="AF177" s="4">
        <v>0</v>
      </c>
      <c r="AG177" s="4">
        <v>0</v>
      </c>
      <c r="AH177" s="4">
        <v>0</v>
      </c>
      <c r="AI177" s="4">
        <v>0</v>
      </c>
      <c r="AJ177" s="4">
        <v>0</v>
      </c>
      <c r="AK177" s="4">
        <v>0</v>
      </c>
      <c r="AL177" s="4">
        <v>0</v>
      </c>
      <c r="AM177" s="4">
        <v>0</v>
      </c>
      <c r="AN177" s="4">
        <v>0</v>
      </c>
      <c r="AO177" s="4">
        <v>0</v>
      </c>
      <c r="AP177" s="4">
        <v>0</v>
      </c>
      <c r="AQ177" s="4">
        <v>495000</v>
      </c>
      <c r="AR177" s="4">
        <v>380000</v>
      </c>
      <c r="AS177" s="4">
        <v>380000</v>
      </c>
      <c r="AT177" s="4">
        <v>0</v>
      </c>
      <c r="AU177" s="4">
        <v>0</v>
      </c>
      <c r="AV177" s="4">
        <v>0</v>
      </c>
      <c r="AW177" s="4">
        <v>0</v>
      </c>
      <c r="AX177" s="4">
        <v>115000</v>
      </c>
      <c r="AY177" s="4">
        <v>115000</v>
      </c>
    </row>
    <row r="178" spans="1:51">
      <c r="A178" s="3" t="s">
        <v>52</v>
      </c>
      <c r="B178" s="3" t="s">
        <v>53</v>
      </c>
      <c r="C178" s="3" t="s">
        <v>54</v>
      </c>
      <c r="D178" s="3" t="s">
        <v>55</v>
      </c>
      <c r="E178" s="3" t="s">
        <v>56</v>
      </c>
      <c r="F178" s="3" t="s">
        <v>57</v>
      </c>
      <c r="G178" s="3" t="s">
        <v>58</v>
      </c>
      <c r="H178" s="3" t="s">
        <v>59</v>
      </c>
      <c r="I178" s="3" t="s">
        <v>60</v>
      </c>
      <c r="J178" s="3" t="s">
        <v>61</v>
      </c>
      <c r="K178" s="3" t="s">
        <v>62</v>
      </c>
      <c r="L178" s="3" t="s">
        <v>63</v>
      </c>
      <c r="M178" s="3" t="s">
        <v>400</v>
      </c>
      <c r="N178" s="3" t="s">
        <v>401</v>
      </c>
      <c r="O178" s="3" t="s">
        <v>402</v>
      </c>
      <c r="P178" s="3" t="s">
        <v>403</v>
      </c>
      <c r="Q178" s="3" t="s">
        <v>404</v>
      </c>
      <c r="R178" s="3" t="s">
        <v>405</v>
      </c>
      <c r="S178" s="3" t="s">
        <v>128</v>
      </c>
      <c r="T178" s="3" t="s">
        <v>409</v>
      </c>
      <c r="U178" s="3" t="s">
        <v>54</v>
      </c>
      <c r="V178" s="3" t="s">
        <v>72</v>
      </c>
      <c r="W178" s="3" t="s">
        <v>94</v>
      </c>
      <c r="X178" s="3" t="s">
        <v>95</v>
      </c>
      <c r="Y178" s="3" t="s">
        <v>96</v>
      </c>
      <c r="Z178" s="3" t="s">
        <v>95</v>
      </c>
      <c r="AA178" s="3" t="s">
        <v>420</v>
      </c>
      <c r="AB178" s="4">
        <v>2398000</v>
      </c>
      <c r="AC178" s="4">
        <v>0</v>
      </c>
      <c r="AD178" s="4">
        <v>0</v>
      </c>
      <c r="AE178" s="4">
        <v>2398000</v>
      </c>
      <c r="AF178" s="4">
        <v>0</v>
      </c>
      <c r="AG178" s="4">
        <v>0</v>
      </c>
      <c r="AH178" s="4">
        <v>0</v>
      </c>
      <c r="AI178" s="4">
        <v>0</v>
      </c>
      <c r="AJ178" s="4">
        <v>0</v>
      </c>
      <c r="AK178" s="4">
        <v>0</v>
      </c>
      <c r="AL178" s="4">
        <v>0</v>
      </c>
      <c r="AM178" s="4">
        <v>0</v>
      </c>
      <c r="AN178" s="4">
        <v>0</v>
      </c>
      <c r="AO178" s="4">
        <v>0</v>
      </c>
      <c r="AP178" s="4">
        <v>0</v>
      </c>
      <c r="AQ178" s="4">
        <v>2398000</v>
      </c>
      <c r="AR178" s="4">
        <v>1996500</v>
      </c>
      <c r="AS178" s="4">
        <v>1996500</v>
      </c>
      <c r="AT178" s="4">
        <v>0</v>
      </c>
      <c r="AU178" s="4">
        <v>0</v>
      </c>
      <c r="AV178" s="4">
        <v>0</v>
      </c>
      <c r="AW178" s="4">
        <v>0</v>
      </c>
      <c r="AX178" s="4">
        <v>401500</v>
      </c>
      <c r="AY178" s="4">
        <v>401500</v>
      </c>
    </row>
    <row r="179" spans="1:51">
      <c r="A179" s="3" t="s">
        <v>52</v>
      </c>
      <c r="B179" s="3" t="s">
        <v>53</v>
      </c>
      <c r="C179" s="3" t="s">
        <v>54</v>
      </c>
      <c r="D179" s="3" t="s">
        <v>55</v>
      </c>
      <c r="E179" s="3" t="s">
        <v>56</v>
      </c>
      <c r="F179" s="3" t="s">
        <v>57</v>
      </c>
      <c r="G179" s="3" t="s">
        <v>58</v>
      </c>
      <c r="H179" s="3" t="s">
        <v>59</v>
      </c>
      <c r="I179" s="3" t="s">
        <v>60</v>
      </c>
      <c r="J179" s="3" t="s">
        <v>61</v>
      </c>
      <c r="K179" s="3" t="s">
        <v>62</v>
      </c>
      <c r="L179" s="3" t="s">
        <v>63</v>
      </c>
      <c r="M179" s="3" t="s">
        <v>400</v>
      </c>
      <c r="N179" s="3" t="s">
        <v>401</v>
      </c>
      <c r="O179" s="3" t="s">
        <v>402</v>
      </c>
      <c r="P179" s="3" t="s">
        <v>403</v>
      </c>
      <c r="Q179" s="3" t="s">
        <v>404</v>
      </c>
      <c r="R179" s="3" t="s">
        <v>405</v>
      </c>
      <c r="S179" s="3" t="s">
        <v>128</v>
      </c>
      <c r="T179" s="3" t="s">
        <v>409</v>
      </c>
      <c r="U179" s="3" t="s">
        <v>54</v>
      </c>
      <c r="V179" s="3" t="s">
        <v>72</v>
      </c>
      <c r="W179" s="3" t="s">
        <v>94</v>
      </c>
      <c r="X179" s="3" t="s">
        <v>95</v>
      </c>
      <c r="Y179" s="3" t="s">
        <v>96</v>
      </c>
      <c r="Z179" s="3" t="s">
        <v>95</v>
      </c>
      <c r="AA179" s="3" t="s">
        <v>421</v>
      </c>
      <c r="AB179" s="4">
        <v>1892000</v>
      </c>
      <c r="AC179" s="4">
        <v>0</v>
      </c>
      <c r="AD179" s="4">
        <v>0</v>
      </c>
      <c r="AE179" s="4">
        <v>1892000</v>
      </c>
      <c r="AF179" s="4">
        <v>0</v>
      </c>
      <c r="AG179" s="4">
        <v>0</v>
      </c>
      <c r="AH179" s="4">
        <v>0</v>
      </c>
      <c r="AI179" s="4">
        <v>0</v>
      </c>
      <c r="AJ179" s="4">
        <v>0</v>
      </c>
      <c r="AK179" s="4">
        <v>0</v>
      </c>
      <c r="AL179" s="4">
        <v>0</v>
      </c>
      <c r="AM179" s="4">
        <v>0</v>
      </c>
      <c r="AN179" s="4">
        <v>0</v>
      </c>
      <c r="AO179" s="4">
        <v>0</v>
      </c>
      <c r="AP179" s="4">
        <v>0</v>
      </c>
      <c r="AQ179" s="4">
        <v>1892000</v>
      </c>
      <c r="AR179" s="4">
        <v>1032000</v>
      </c>
      <c r="AS179" s="4">
        <v>1032000</v>
      </c>
      <c r="AT179" s="4">
        <v>0</v>
      </c>
      <c r="AU179" s="4">
        <v>0</v>
      </c>
      <c r="AV179" s="4">
        <v>0</v>
      </c>
      <c r="AW179" s="4">
        <v>0</v>
      </c>
      <c r="AX179" s="4">
        <v>860000</v>
      </c>
      <c r="AY179" s="4">
        <v>860000</v>
      </c>
    </row>
    <row r="180" spans="1:51">
      <c r="A180" s="3" t="s">
        <v>52</v>
      </c>
      <c r="B180" s="3" t="s">
        <v>53</v>
      </c>
      <c r="C180" s="3" t="s">
        <v>54</v>
      </c>
      <c r="D180" s="3" t="s">
        <v>55</v>
      </c>
      <c r="E180" s="3" t="s">
        <v>56</v>
      </c>
      <c r="F180" s="3" t="s">
        <v>57</v>
      </c>
      <c r="G180" s="3" t="s">
        <v>58</v>
      </c>
      <c r="H180" s="3" t="s">
        <v>59</v>
      </c>
      <c r="I180" s="3" t="s">
        <v>60</v>
      </c>
      <c r="J180" s="3" t="s">
        <v>61</v>
      </c>
      <c r="K180" s="3" t="s">
        <v>62</v>
      </c>
      <c r="L180" s="3" t="s">
        <v>63</v>
      </c>
      <c r="M180" s="3" t="s">
        <v>400</v>
      </c>
      <c r="N180" s="3" t="s">
        <v>401</v>
      </c>
      <c r="O180" s="3" t="s">
        <v>402</v>
      </c>
      <c r="P180" s="3" t="s">
        <v>403</v>
      </c>
      <c r="Q180" s="3" t="s">
        <v>404</v>
      </c>
      <c r="R180" s="3" t="s">
        <v>405</v>
      </c>
      <c r="S180" s="3" t="s">
        <v>128</v>
      </c>
      <c r="T180" s="3" t="s">
        <v>409</v>
      </c>
      <c r="U180" s="3" t="s">
        <v>54</v>
      </c>
      <c r="V180" s="3" t="s">
        <v>72</v>
      </c>
      <c r="W180" s="3" t="s">
        <v>94</v>
      </c>
      <c r="X180" s="3" t="s">
        <v>95</v>
      </c>
      <c r="Y180" s="3" t="s">
        <v>96</v>
      </c>
      <c r="Z180" s="3" t="s">
        <v>95</v>
      </c>
      <c r="AA180" s="3" t="s">
        <v>422</v>
      </c>
      <c r="AB180" s="4">
        <v>1120000</v>
      </c>
      <c r="AC180" s="4">
        <v>0</v>
      </c>
      <c r="AD180" s="4">
        <v>0</v>
      </c>
      <c r="AE180" s="4">
        <v>1120000</v>
      </c>
      <c r="AF180" s="4">
        <v>0</v>
      </c>
      <c r="AG180" s="4">
        <v>0</v>
      </c>
      <c r="AH180" s="4">
        <v>0</v>
      </c>
      <c r="AI180" s="4">
        <v>0</v>
      </c>
      <c r="AJ180" s="4">
        <v>0</v>
      </c>
      <c r="AK180" s="4">
        <v>0</v>
      </c>
      <c r="AL180" s="4">
        <v>0</v>
      </c>
      <c r="AM180" s="4">
        <v>0</v>
      </c>
      <c r="AN180" s="4">
        <v>0</v>
      </c>
      <c r="AO180" s="4">
        <v>0</v>
      </c>
      <c r="AP180" s="4">
        <v>0</v>
      </c>
      <c r="AQ180" s="4">
        <v>1120000</v>
      </c>
      <c r="AR180" s="4">
        <v>775000</v>
      </c>
      <c r="AS180" s="4">
        <v>775000</v>
      </c>
      <c r="AT180" s="4">
        <v>0</v>
      </c>
      <c r="AU180" s="4">
        <v>0</v>
      </c>
      <c r="AV180" s="4">
        <v>0</v>
      </c>
      <c r="AW180" s="4">
        <v>0</v>
      </c>
      <c r="AX180" s="4">
        <v>345000</v>
      </c>
      <c r="AY180" s="4">
        <v>345000</v>
      </c>
    </row>
    <row r="181" spans="1:51">
      <c r="A181" s="3" t="s">
        <v>52</v>
      </c>
      <c r="B181" s="3" t="s">
        <v>53</v>
      </c>
      <c r="C181" s="3" t="s">
        <v>54</v>
      </c>
      <c r="D181" s="3" t="s">
        <v>55</v>
      </c>
      <c r="E181" s="3" t="s">
        <v>56</v>
      </c>
      <c r="F181" s="3" t="s">
        <v>57</v>
      </c>
      <c r="G181" s="3" t="s">
        <v>58</v>
      </c>
      <c r="H181" s="3" t="s">
        <v>59</v>
      </c>
      <c r="I181" s="3" t="s">
        <v>60</v>
      </c>
      <c r="J181" s="3" t="s">
        <v>61</v>
      </c>
      <c r="K181" s="3" t="s">
        <v>62</v>
      </c>
      <c r="L181" s="3" t="s">
        <v>63</v>
      </c>
      <c r="M181" s="3" t="s">
        <v>400</v>
      </c>
      <c r="N181" s="3" t="s">
        <v>401</v>
      </c>
      <c r="O181" s="3" t="s">
        <v>402</v>
      </c>
      <c r="P181" s="3" t="s">
        <v>403</v>
      </c>
      <c r="Q181" s="3" t="s">
        <v>404</v>
      </c>
      <c r="R181" s="3" t="s">
        <v>405</v>
      </c>
      <c r="S181" s="3" t="s">
        <v>128</v>
      </c>
      <c r="T181" s="3" t="s">
        <v>409</v>
      </c>
      <c r="U181" s="3" t="s">
        <v>54</v>
      </c>
      <c r="V181" s="3" t="s">
        <v>72</v>
      </c>
      <c r="W181" s="3" t="s">
        <v>94</v>
      </c>
      <c r="X181" s="3" t="s">
        <v>95</v>
      </c>
      <c r="Y181" s="3" t="s">
        <v>96</v>
      </c>
      <c r="Z181" s="3" t="s">
        <v>95</v>
      </c>
      <c r="AA181" s="3" t="s">
        <v>423</v>
      </c>
      <c r="AB181" s="4">
        <v>1275000</v>
      </c>
      <c r="AC181" s="4">
        <v>-1275000</v>
      </c>
      <c r="AD181" s="4">
        <v>0</v>
      </c>
      <c r="AE181" s="4">
        <v>0</v>
      </c>
      <c r="AF181" s="4">
        <v>0</v>
      </c>
      <c r="AG181" s="4">
        <v>0</v>
      </c>
      <c r="AH181" s="4">
        <v>0</v>
      </c>
      <c r="AI181" s="4">
        <v>0</v>
      </c>
      <c r="AJ181" s="4">
        <v>0</v>
      </c>
      <c r="AK181" s="4">
        <v>0</v>
      </c>
      <c r="AL181" s="4">
        <v>0</v>
      </c>
      <c r="AM181" s="4">
        <v>0</v>
      </c>
      <c r="AN181" s="4">
        <v>0</v>
      </c>
      <c r="AO181" s="4">
        <v>0</v>
      </c>
      <c r="AP181" s="4">
        <v>0</v>
      </c>
      <c r="AQ181" s="4">
        <v>0</v>
      </c>
      <c r="AR181" s="4">
        <v>0</v>
      </c>
      <c r="AS181" s="4">
        <v>0</v>
      </c>
      <c r="AT181" s="4">
        <v>0</v>
      </c>
      <c r="AU181" s="4">
        <v>0</v>
      </c>
      <c r="AV181" s="4">
        <v>0</v>
      </c>
      <c r="AW181" s="4">
        <v>0</v>
      </c>
      <c r="AX181" s="4">
        <v>0</v>
      </c>
      <c r="AY181" s="4">
        <v>0</v>
      </c>
    </row>
    <row r="182" spans="1:51">
      <c r="A182" s="3" t="s">
        <v>52</v>
      </c>
      <c r="B182" s="3" t="s">
        <v>53</v>
      </c>
      <c r="C182" s="3" t="s">
        <v>54</v>
      </c>
      <c r="D182" s="3" t="s">
        <v>55</v>
      </c>
      <c r="E182" s="3" t="s">
        <v>56</v>
      </c>
      <c r="F182" s="3" t="s">
        <v>57</v>
      </c>
      <c r="G182" s="3" t="s">
        <v>58</v>
      </c>
      <c r="H182" s="3" t="s">
        <v>59</v>
      </c>
      <c r="I182" s="3" t="s">
        <v>60</v>
      </c>
      <c r="J182" s="3" t="s">
        <v>61</v>
      </c>
      <c r="K182" s="3" t="s">
        <v>62</v>
      </c>
      <c r="L182" s="3" t="s">
        <v>63</v>
      </c>
      <c r="M182" s="3" t="s">
        <v>400</v>
      </c>
      <c r="N182" s="3" t="s">
        <v>401</v>
      </c>
      <c r="O182" s="3" t="s">
        <v>402</v>
      </c>
      <c r="P182" s="3" t="s">
        <v>403</v>
      </c>
      <c r="Q182" s="3" t="s">
        <v>404</v>
      </c>
      <c r="R182" s="3" t="s">
        <v>405</v>
      </c>
      <c r="S182" s="3" t="s">
        <v>128</v>
      </c>
      <c r="T182" s="3" t="s">
        <v>409</v>
      </c>
      <c r="U182" s="3" t="s">
        <v>54</v>
      </c>
      <c r="V182" s="3" t="s">
        <v>72</v>
      </c>
      <c r="W182" s="3" t="s">
        <v>94</v>
      </c>
      <c r="X182" s="3" t="s">
        <v>95</v>
      </c>
      <c r="Y182" s="3" t="s">
        <v>96</v>
      </c>
      <c r="Z182" s="3" t="s">
        <v>95</v>
      </c>
      <c r="AA182" s="3" t="s">
        <v>424</v>
      </c>
      <c r="AB182" s="4">
        <v>923000</v>
      </c>
      <c r="AC182" s="4">
        <v>0</v>
      </c>
      <c r="AD182" s="4">
        <v>0</v>
      </c>
      <c r="AE182" s="4">
        <v>923000</v>
      </c>
      <c r="AF182" s="4">
        <v>0</v>
      </c>
      <c r="AG182" s="4">
        <v>0</v>
      </c>
      <c r="AH182" s="4">
        <v>0</v>
      </c>
      <c r="AI182" s="4">
        <v>0</v>
      </c>
      <c r="AJ182" s="4">
        <v>0</v>
      </c>
      <c r="AK182" s="4">
        <v>0</v>
      </c>
      <c r="AL182" s="4">
        <v>0</v>
      </c>
      <c r="AM182" s="4">
        <v>0</v>
      </c>
      <c r="AN182" s="4">
        <v>0</v>
      </c>
      <c r="AO182" s="4">
        <v>0</v>
      </c>
      <c r="AP182" s="4">
        <v>0</v>
      </c>
      <c r="AQ182" s="4">
        <v>923000</v>
      </c>
      <c r="AR182" s="4">
        <v>650000</v>
      </c>
      <c r="AS182" s="4">
        <v>650000</v>
      </c>
      <c r="AT182" s="4">
        <v>0</v>
      </c>
      <c r="AU182" s="4">
        <v>0</v>
      </c>
      <c r="AV182" s="4">
        <v>0</v>
      </c>
      <c r="AW182" s="4">
        <v>0</v>
      </c>
      <c r="AX182" s="4">
        <v>273000</v>
      </c>
      <c r="AY182" s="4">
        <v>273000</v>
      </c>
    </row>
    <row r="183" spans="1:51">
      <c r="A183" s="3" t="s">
        <v>52</v>
      </c>
      <c r="B183" s="3" t="s">
        <v>53</v>
      </c>
      <c r="C183" s="3" t="s">
        <v>54</v>
      </c>
      <c r="D183" s="3" t="s">
        <v>55</v>
      </c>
      <c r="E183" s="3" t="s">
        <v>56</v>
      </c>
      <c r="F183" s="3" t="s">
        <v>57</v>
      </c>
      <c r="G183" s="3" t="s">
        <v>58</v>
      </c>
      <c r="H183" s="3" t="s">
        <v>59</v>
      </c>
      <c r="I183" s="3" t="s">
        <v>60</v>
      </c>
      <c r="J183" s="3" t="s">
        <v>61</v>
      </c>
      <c r="K183" s="3" t="s">
        <v>62</v>
      </c>
      <c r="L183" s="3" t="s">
        <v>63</v>
      </c>
      <c r="M183" s="3" t="s">
        <v>400</v>
      </c>
      <c r="N183" s="3" t="s">
        <v>401</v>
      </c>
      <c r="O183" s="3" t="s">
        <v>402</v>
      </c>
      <c r="P183" s="3" t="s">
        <v>403</v>
      </c>
      <c r="Q183" s="3" t="s">
        <v>404</v>
      </c>
      <c r="R183" s="3" t="s">
        <v>405</v>
      </c>
      <c r="S183" s="3" t="s">
        <v>128</v>
      </c>
      <c r="T183" s="3" t="s">
        <v>409</v>
      </c>
      <c r="U183" s="3" t="s">
        <v>54</v>
      </c>
      <c r="V183" s="3" t="s">
        <v>72</v>
      </c>
      <c r="W183" s="3" t="s">
        <v>94</v>
      </c>
      <c r="X183" s="3" t="s">
        <v>95</v>
      </c>
      <c r="Y183" s="3" t="s">
        <v>96</v>
      </c>
      <c r="Z183" s="3" t="s">
        <v>95</v>
      </c>
      <c r="AA183" s="3" t="s">
        <v>425</v>
      </c>
      <c r="AB183" s="4">
        <v>1133000</v>
      </c>
      <c r="AC183" s="4">
        <v>0</v>
      </c>
      <c r="AD183" s="4">
        <v>151000</v>
      </c>
      <c r="AE183" s="4">
        <v>1284000</v>
      </c>
      <c r="AF183" s="4">
        <v>0</v>
      </c>
      <c r="AG183" s="4">
        <v>0</v>
      </c>
      <c r="AH183" s="4">
        <v>0</v>
      </c>
      <c r="AI183" s="4">
        <v>0</v>
      </c>
      <c r="AJ183" s="4">
        <v>0</v>
      </c>
      <c r="AK183" s="4">
        <v>0</v>
      </c>
      <c r="AL183" s="4">
        <v>0</v>
      </c>
      <c r="AM183" s="4">
        <v>0</v>
      </c>
      <c r="AN183" s="4">
        <v>0</v>
      </c>
      <c r="AO183" s="4">
        <v>0</v>
      </c>
      <c r="AP183" s="4">
        <v>0</v>
      </c>
      <c r="AQ183" s="4">
        <v>1284000</v>
      </c>
      <c r="AR183" s="4">
        <v>1284000</v>
      </c>
      <c r="AS183" s="4">
        <v>1284000</v>
      </c>
      <c r="AT183" s="4">
        <v>0</v>
      </c>
      <c r="AU183" s="4">
        <v>0</v>
      </c>
      <c r="AV183" s="4">
        <v>0</v>
      </c>
      <c r="AW183" s="4">
        <v>0</v>
      </c>
      <c r="AX183" s="4">
        <v>0</v>
      </c>
      <c r="AY183" s="4">
        <v>0</v>
      </c>
    </row>
    <row r="184" spans="1:51">
      <c r="A184" s="3" t="s">
        <v>52</v>
      </c>
      <c r="B184" s="3" t="s">
        <v>53</v>
      </c>
      <c r="C184" s="3" t="s">
        <v>54</v>
      </c>
      <c r="D184" s="3" t="s">
        <v>55</v>
      </c>
      <c r="E184" s="3" t="s">
        <v>56</v>
      </c>
      <c r="F184" s="3" t="s">
        <v>57</v>
      </c>
      <c r="G184" s="3" t="s">
        <v>58</v>
      </c>
      <c r="H184" s="3" t="s">
        <v>59</v>
      </c>
      <c r="I184" s="3" t="s">
        <v>60</v>
      </c>
      <c r="J184" s="3" t="s">
        <v>61</v>
      </c>
      <c r="K184" s="3" t="s">
        <v>62</v>
      </c>
      <c r="L184" s="3" t="s">
        <v>63</v>
      </c>
      <c r="M184" s="3" t="s">
        <v>400</v>
      </c>
      <c r="N184" s="3" t="s">
        <v>401</v>
      </c>
      <c r="O184" s="3" t="s">
        <v>402</v>
      </c>
      <c r="P184" s="3" t="s">
        <v>403</v>
      </c>
      <c r="Q184" s="3" t="s">
        <v>404</v>
      </c>
      <c r="R184" s="3" t="s">
        <v>405</v>
      </c>
      <c r="S184" s="3" t="s">
        <v>128</v>
      </c>
      <c r="T184" s="3" t="s">
        <v>409</v>
      </c>
      <c r="U184" s="3" t="s">
        <v>54</v>
      </c>
      <c r="V184" s="3" t="s">
        <v>72</v>
      </c>
      <c r="W184" s="3" t="s">
        <v>94</v>
      </c>
      <c r="X184" s="3" t="s">
        <v>95</v>
      </c>
      <c r="Y184" s="3" t="s">
        <v>96</v>
      </c>
      <c r="Z184" s="3" t="s">
        <v>95</v>
      </c>
      <c r="AA184" s="3" t="s">
        <v>426</v>
      </c>
      <c r="AB184" s="4">
        <v>1329000</v>
      </c>
      <c r="AC184" s="4">
        <v>0</v>
      </c>
      <c r="AD184" s="4">
        <v>0</v>
      </c>
      <c r="AE184" s="4">
        <v>1329000</v>
      </c>
      <c r="AF184" s="4">
        <v>0</v>
      </c>
      <c r="AG184" s="4">
        <v>0</v>
      </c>
      <c r="AH184" s="4">
        <v>0</v>
      </c>
      <c r="AI184" s="4">
        <v>0</v>
      </c>
      <c r="AJ184" s="4">
        <v>0</v>
      </c>
      <c r="AK184" s="4">
        <v>0</v>
      </c>
      <c r="AL184" s="4">
        <v>0</v>
      </c>
      <c r="AM184" s="4">
        <v>0</v>
      </c>
      <c r="AN184" s="4">
        <v>0</v>
      </c>
      <c r="AO184" s="4">
        <v>0</v>
      </c>
      <c r="AP184" s="4">
        <v>0</v>
      </c>
      <c r="AQ184" s="4">
        <v>1329000</v>
      </c>
      <c r="AR184" s="4">
        <v>828000</v>
      </c>
      <c r="AS184" s="4">
        <v>828000</v>
      </c>
      <c r="AT184" s="4">
        <v>0</v>
      </c>
      <c r="AU184" s="4">
        <v>0</v>
      </c>
      <c r="AV184" s="4">
        <v>0</v>
      </c>
      <c r="AW184" s="4">
        <v>0</v>
      </c>
      <c r="AX184" s="4">
        <v>501000</v>
      </c>
      <c r="AY184" s="4">
        <v>501000</v>
      </c>
    </row>
    <row r="185" spans="1:51">
      <c r="A185" s="3" t="s">
        <v>52</v>
      </c>
      <c r="B185" s="3" t="s">
        <v>53</v>
      </c>
      <c r="C185" s="3" t="s">
        <v>54</v>
      </c>
      <c r="D185" s="3" t="s">
        <v>55</v>
      </c>
      <c r="E185" s="3" t="s">
        <v>56</v>
      </c>
      <c r="F185" s="3" t="s">
        <v>57</v>
      </c>
      <c r="G185" s="3" t="s">
        <v>58</v>
      </c>
      <c r="H185" s="3" t="s">
        <v>59</v>
      </c>
      <c r="I185" s="3" t="s">
        <v>60</v>
      </c>
      <c r="J185" s="3" t="s">
        <v>61</v>
      </c>
      <c r="K185" s="3" t="s">
        <v>62</v>
      </c>
      <c r="L185" s="3" t="s">
        <v>63</v>
      </c>
      <c r="M185" s="3" t="s">
        <v>400</v>
      </c>
      <c r="N185" s="3" t="s">
        <v>401</v>
      </c>
      <c r="O185" s="3" t="s">
        <v>402</v>
      </c>
      <c r="P185" s="3" t="s">
        <v>403</v>
      </c>
      <c r="Q185" s="3" t="s">
        <v>404</v>
      </c>
      <c r="R185" s="3" t="s">
        <v>405</v>
      </c>
      <c r="S185" s="3" t="s">
        <v>128</v>
      </c>
      <c r="T185" s="3" t="s">
        <v>409</v>
      </c>
      <c r="U185" s="3" t="s">
        <v>54</v>
      </c>
      <c r="V185" s="3" t="s">
        <v>72</v>
      </c>
      <c r="W185" s="3" t="s">
        <v>94</v>
      </c>
      <c r="X185" s="3" t="s">
        <v>95</v>
      </c>
      <c r="Y185" s="3" t="s">
        <v>96</v>
      </c>
      <c r="Z185" s="3" t="s">
        <v>95</v>
      </c>
      <c r="AA185" s="3" t="s">
        <v>427</v>
      </c>
      <c r="AB185" s="4">
        <v>1824000</v>
      </c>
      <c r="AC185" s="4">
        <v>0</v>
      </c>
      <c r="AD185" s="4">
        <v>0</v>
      </c>
      <c r="AE185" s="4">
        <v>1824000</v>
      </c>
      <c r="AF185" s="4">
        <v>0</v>
      </c>
      <c r="AG185" s="4">
        <v>0</v>
      </c>
      <c r="AH185" s="4">
        <v>0</v>
      </c>
      <c r="AI185" s="4">
        <v>0</v>
      </c>
      <c r="AJ185" s="4">
        <v>0</v>
      </c>
      <c r="AK185" s="4">
        <v>0</v>
      </c>
      <c r="AL185" s="4">
        <v>0</v>
      </c>
      <c r="AM185" s="4">
        <v>0</v>
      </c>
      <c r="AN185" s="4">
        <v>0</v>
      </c>
      <c r="AO185" s="4">
        <v>0</v>
      </c>
      <c r="AP185" s="4">
        <v>0</v>
      </c>
      <c r="AQ185" s="4">
        <v>1824000</v>
      </c>
      <c r="AR185" s="4">
        <v>1096200</v>
      </c>
      <c r="AS185" s="4">
        <v>1096200</v>
      </c>
      <c r="AT185" s="4">
        <v>0</v>
      </c>
      <c r="AU185" s="4">
        <v>0</v>
      </c>
      <c r="AV185" s="4">
        <v>0</v>
      </c>
      <c r="AW185" s="4">
        <v>0</v>
      </c>
      <c r="AX185" s="4">
        <v>727800</v>
      </c>
      <c r="AY185" s="4">
        <v>727800</v>
      </c>
    </row>
    <row r="186" spans="1:51">
      <c r="A186" s="3" t="s">
        <v>52</v>
      </c>
      <c r="B186" s="3" t="s">
        <v>53</v>
      </c>
      <c r="C186" s="3" t="s">
        <v>54</v>
      </c>
      <c r="D186" s="3" t="s">
        <v>55</v>
      </c>
      <c r="E186" s="3" t="s">
        <v>56</v>
      </c>
      <c r="F186" s="3" t="s">
        <v>57</v>
      </c>
      <c r="G186" s="3" t="s">
        <v>58</v>
      </c>
      <c r="H186" s="3" t="s">
        <v>59</v>
      </c>
      <c r="I186" s="3" t="s">
        <v>60</v>
      </c>
      <c r="J186" s="3" t="s">
        <v>61</v>
      </c>
      <c r="K186" s="3" t="s">
        <v>62</v>
      </c>
      <c r="L186" s="3" t="s">
        <v>63</v>
      </c>
      <c r="M186" s="3" t="s">
        <v>400</v>
      </c>
      <c r="N186" s="3" t="s">
        <v>401</v>
      </c>
      <c r="O186" s="3" t="s">
        <v>402</v>
      </c>
      <c r="P186" s="3" t="s">
        <v>403</v>
      </c>
      <c r="Q186" s="3" t="s">
        <v>404</v>
      </c>
      <c r="R186" s="3" t="s">
        <v>405</v>
      </c>
      <c r="S186" s="3" t="s">
        <v>128</v>
      </c>
      <c r="T186" s="3" t="s">
        <v>409</v>
      </c>
      <c r="U186" s="3" t="s">
        <v>54</v>
      </c>
      <c r="V186" s="3" t="s">
        <v>72</v>
      </c>
      <c r="W186" s="3" t="s">
        <v>94</v>
      </c>
      <c r="X186" s="3" t="s">
        <v>95</v>
      </c>
      <c r="Y186" s="3" t="s">
        <v>96</v>
      </c>
      <c r="Z186" s="3" t="s">
        <v>95</v>
      </c>
      <c r="AA186" s="3" t="s">
        <v>428</v>
      </c>
      <c r="AB186" s="4">
        <v>1060000</v>
      </c>
      <c r="AC186" s="4">
        <v>-1060000</v>
      </c>
      <c r="AD186" s="4">
        <v>0</v>
      </c>
      <c r="AE186" s="4">
        <v>0</v>
      </c>
      <c r="AF186" s="4">
        <v>0</v>
      </c>
      <c r="AG186" s="4">
        <v>0</v>
      </c>
      <c r="AH186" s="4">
        <v>0</v>
      </c>
      <c r="AI186" s="4">
        <v>0</v>
      </c>
      <c r="AJ186" s="4">
        <v>0</v>
      </c>
      <c r="AK186" s="4">
        <v>0</v>
      </c>
      <c r="AL186" s="4">
        <v>0</v>
      </c>
      <c r="AM186" s="4">
        <v>0</v>
      </c>
      <c r="AN186" s="4">
        <v>0</v>
      </c>
      <c r="AO186" s="4">
        <v>0</v>
      </c>
      <c r="AP186" s="4">
        <v>0</v>
      </c>
      <c r="AQ186" s="4">
        <v>0</v>
      </c>
      <c r="AR186" s="4">
        <v>0</v>
      </c>
      <c r="AS186" s="4">
        <v>0</v>
      </c>
      <c r="AT186" s="4">
        <v>0</v>
      </c>
      <c r="AU186" s="4">
        <v>0</v>
      </c>
      <c r="AV186" s="4">
        <v>0</v>
      </c>
      <c r="AW186" s="4">
        <v>0</v>
      </c>
      <c r="AX186" s="4">
        <v>0</v>
      </c>
      <c r="AY186" s="4">
        <v>0</v>
      </c>
    </row>
    <row r="187" spans="1:51">
      <c r="A187" s="3" t="s">
        <v>52</v>
      </c>
      <c r="B187" s="3" t="s">
        <v>53</v>
      </c>
      <c r="C187" s="3" t="s">
        <v>54</v>
      </c>
      <c r="D187" s="3" t="s">
        <v>55</v>
      </c>
      <c r="E187" s="3" t="s">
        <v>56</v>
      </c>
      <c r="F187" s="3" t="s">
        <v>57</v>
      </c>
      <c r="G187" s="3" t="s">
        <v>58</v>
      </c>
      <c r="H187" s="3" t="s">
        <v>59</v>
      </c>
      <c r="I187" s="3" t="s">
        <v>60</v>
      </c>
      <c r="J187" s="3" t="s">
        <v>61</v>
      </c>
      <c r="K187" s="3" t="s">
        <v>62</v>
      </c>
      <c r="L187" s="3" t="s">
        <v>63</v>
      </c>
      <c r="M187" s="3" t="s">
        <v>400</v>
      </c>
      <c r="N187" s="3" t="s">
        <v>401</v>
      </c>
      <c r="O187" s="3" t="s">
        <v>402</v>
      </c>
      <c r="P187" s="3" t="s">
        <v>403</v>
      </c>
      <c r="Q187" s="3" t="s">
        <v>404</v>
      </c>
      <c r="R187" s="3" t="s">
        <v>405</v>
      </c>
      <c r="S187" s="3" t="s">
        <v>128</v>
      </c>
      <c r="T187" s="3" t="s">
        <v>409</v>
      </c>
      <c r="U187" s="3" t="s">
        <v>54</v>
      </c>
      <c r="V187" s="3" t="s">
        <v>72</v>
      </c>
      <c r="W187" s="3" t="s">
        <v>94</v>
      </c>
      <c r="X187" s="3" t="s">
        <v>95</v>
      </c>
      <c r="Y187" s="3" t="s">
        <v>96</v>
      </c>
      <c r="Z187" s="3" t="s">
        <v>95</v>
      </c>
      <c r="AA187" s="3" t="s">
        <v>429</v>
      </c>
      <c r="AB187" s="4">
        <v>2860000</v>
      </c>
      <c r="AC187" s="4">
        <v>0</v>
      </c>
      <c r="AD187" s="4">
        <v>0</v>
      </c>
      <c r="AE187" s="4">
        <v>2860000</v>
      </c>
      <c r="AF187" s="4">
        <v>0</v>
      </c>
      <c r="AG187" s="4">
        <v>0</v>
      </c>
      <c r="AH187" s="4">
        <v>0</v>
      </c>
      <c r="AI187" s="4">
        <v>0</v>
      </c>
      <c r="AJ187" s="4">
        <v>0</v>
      </c>
      <c r="AK187" s="4">
        <v>0</v>
      </c>
      <c r="AL187" s="4">
        <v>0</v>
      </c>
      <c r="AM187" s="4">
        <v>0</v>
      </c>
      <c r="AN187" s="4">
        <v>0</v>
      </c>
      <c r="AO187" s="4">
        <v>0</v>
      </c>
      <c r="AP187" s="4">
        <v>0</v>
      </c>
      <c r="AQ187" s="4">
        <v>2860000</v>
      </c>
      <c r="AR187" s="4">
        <v>2443000</v>
      </c>
      <c r="AS187" s="4">
        <v>2443000</v>
      </c>
      <c r="AT187" s="4">
        <v>0</v>
      </c>
      <c r="AU187" s="4">
        <v>0</v>
      </c>
      <c r="AV187" s="4">
        <v>0</v>
      </c>
      <c r="AW187" s="4">
        <v>0</v>
      </c>
      <c r="AX187" s="4">
        <v>417000</v>
      </c>
      <c r="AY187" s="4">
        <v>417000</v>
      </c>
    </row>
    <row r="188" spans="1:51">
      <c r="A188" s="3" t="s">
        <v>52</v>
      </c>
      <c r="B188" s="3" t="s">
        <v>53</v>
      </c>
      <c r="C188" s="3" t="s">
        <v>54</v>
      </c>
      <c r="D188" s="3" t="s">
        <v>55</v>
      </c>
      <c r="E188" s="3" t="s">
        <v>56</v>
      </c>
      <c r="F188" s="3" t="s">
        <v>57</v>
      </c>
      <c r="G188" s="3" t="s">
        <v>58</v>
      </c>
      <c r="H188" s="3" t="s">
        <v>59</v>
      </c>
      <c r="I188" s="3" t="s">
        <v>60</v>
      </c>
      <c r="J188" s="3" t="s">
        <v>61</v>
      </c>
      <c r="K188" s="3" t="s">
        <v>62</v>
      </c>
      <c r="L188" s="3" t="s">
        <v>63</v>
      </c>
      <c r="M188" s="3" t="s">
        <v>400</v>
      </c>
      <c r="N188" s="3" t="s">
        <v>401</v>
      </c>
      <c r="O188" s="3" t="s">
        <v>402</v>
      </c>
      <c r="P188" s="3" t="s">
        <v>403</v>
      </c>
      <c r="Q188" s="3" t="s">
        <v>404</v>
      </c>
      <c r="R188" s="3" t="s">
        <v>405</v>
      </c>
      <c r="S188" s="3" t="s">
        <v>128</v>
      </c>
      <c r="T188" s="3" t="s">
        <v>409</v>
      </c>
      <c r="U188" s="3" t="s">
        <v>54</v>
      </c>
      <c r="V188" s="3" t="s">
        <v>72</v>
      </c>
      <c r="W188" s="3" t="s">
        <v>94</v>
      </c>
      <c r="X188" s="3" t="s">
        <v>95</v>
      </c>
      <c r="Y188" s="3" t="s">
        <v>96</v>
      </c>
      <c r="Z188" s="3" t="s">
        <v>95</v>
      </c>
      <c r="AA188" s="3" t="s">
        <v>430</v>
      </c>
      <c r="AB188" s="4">
        <v>252000</v>
      </c>
      <c r="AC188" s="4">
        <v>0</v>
      </c>
      <c r="AD188" s="4">
        <v>144000</v>
      </c>
      <c r="AE188" s="4">
        <v>396000</v>
      </c>
      <c r="AF188" s="4">
        <v>0</v>
      </c>
      <c r="AG188" s="4">
        <v>0</v>
      </c>
      <c r="AH188" s="4">
        <v>0</v>
      </c>
      <c r="AI188" s="4">
        <v>0</v>
      </c>
      <c r="AJ188" s="4">
        <v>0</v>
      </c>
      <c r="AK188" s="4">
        <v>0</v>
      </c>
      <c r="AL188" s="4">
        <v>0</v>
      </c>
      <c r="AM188" s="4">
        <v>0</v>
      </c>
      <c r="AN188" s="4">
        <v>0</v>
      </c>
      <c r="AO188" s="4">
        <v>0</v>
      </c>
      <c r="AP188" s="4">
        <v>0</v>
      </c>
      <c r="AQ188" s="4">
        <v>396000</v>
      </c>
      <c r="AR188" s="4">
        <v>396000</v>
      </c>
      <c r="AS188" s="4">
        <v>396000</v>
      </c>
      <c r="AT188" s="4">
        <v>0</v>
      </c>
      <c r="AU188" s="4">
        <v>0</v>
      </c>
      <c r="AV188" s="4">
        <v>0</v>
      </c>
      <c r="AW188" s="4">
        <v>0</v>
      </c>
      <c r="AX188" s="4">
        <v>0</v>
      </c>
      <c r="AY188" s="4">
        <v>0</v>
      </c>
    </row>
    <row r="189" spans="1:51">
      <c r="A189" s="3" t="s">
        <v>52</v>
      </c>
      <c r="B189" s="3" t="s">
        <v>53</v>
      </c>
      <c r="C189" s="3" t="s">
        <v>54</v>
      </c>
      <c r="D189" s="3" t="s">
        <v>55</v>
      </c>
      <c r="E189" s="3" t="s">
        <v>56</v>
      </c>
      <c r="F189" s="3" t="s">
        <v>57</v>
      </c>
      <c r="G189" s="3" t="s">
        <v>58</v>
      </c>
      <c r="H189" s="3" t="s">
        <v>59</v>
      </c>
      <c r="I189" s="3" t="s">
        <v>60</v>
      </c>
      <c r="J189" s="3" t="s">
        <v>61</v>
      </c>
      <c r="K189" s="3" t="s">
        <v>62</v>
      </c>
      <c r="L189" s="3" t="s">
        <v>63</v>
      </c>
      <c r="M189" s="3" t="s">
        <v>400</v>
      </c>
      <c r="N189" s="3" t="s">
        <v>401</v>
      </c>
      <c r="O189" s="3" t="s">
        <v>402</v>
      </c>
      <c r="P189" s="3" t="s">
        <v>403</v>
      </c>
      <c r="Q189" s="3" t="s">
        <v>404</v>
      </c>
      <c r="R189" s="3" t="s">
        <v>405</v>
      </c>
      <c r="S189" s="3" t="s">
        <v>128</v>
      </c>
      <c r="T189" s="3" t="s">
        <v>409</v>
      </c>
      <c r="U189" s="3" t="s">
        <v>54</v>
      </c>
      <c r="V189" s="3" t="s">
        <v>72</v>
      </c>
      <c r="W189" s="3" t="s">
        <v>94</v>
      </c>
      <c r="X189" s="3" t="s">
        <v>95</v>
      </c>
      <c r="Y189" s="3" t="s">
        <v>96</v>
      </c>
      <c r="Z189" s="3" t="s">
        <v>95</v>
      </c>
      <c r="AA189" s="3" t="s">
        <v>431</v>
      </c>
      <c r="AB189" s="4">
        <v>660000</v>
      </c>
      <c r="AC189" s="4">
        <v>-660000</v>
      </c>
      <c r="AD189" s="4">
        <v>0</v>
      </c>
      <c r="AE189" s="4">
        <v>0</v>
      </c>
      <c r="AF189" s="4">
        <v>0</v>
      </c>
      <c r="AG189" s="4">
        <v>0</v>
      </c>
      <c r="AH189" s="4">
        <v>0</v>
      </c>
      <c r="AI189" s="4">
        <v>0</v>
      </c>
      <c r="AJ189" s="4">
        <v>0</v>
      </c>
      <c r="AK189" s="4">
        <v>0</v>
      </c>
      <c r="AL189" s="4">
        <v>0</v>
      </c>
      <c r="AM189" s="4">
        <v>0</v>
      </c>
      <c r="AN189" s="4">
        <v>0</v>
      </c>
      <c r="AO189" s="4">
        <v>0</v>
      </c>
      <c r="AP189" s="4">
        <v>0</v>
      </c>
      <c r="AQ189" s="4">
        <v>0</v>
      </c>
      <c r="AR189" s="4">
        <v>0</v>
      </c>
      <c r="AS189" s="4">
        <v>0</v>
      </c>
      <c r="AT189" s="4">
        <v>0</v>
      </c>
      <c r="AU189" s="4">
        <v>0</v>
      </c>
      <c r="AV189" s="4">
        <v>0</v>
      </c>
      <c r="AW189" s="4">
        <v>0</v>
      </c>
      <c r="AX189" s="4">
        <v>0</v>
      </c>
      <c r="AY189" s="4">
        <v>0</v>
      </c>
    </row>
    <row r="190" spans="1:51">
      <c r="A190" s="3" t="s">
        <v>52</v>
      </c>
      <c r="B190" s="3" t="s">
        <v>53</v>
      </c>
      <c r="C190" s="3" t="s">
        <v>54</v>
      </c>
      <c r="D190" s="3" t="s">
        <v>55</v>
      </c>
      <c r="E190" s="3" t="s">
        <v>56</v>
      </c>
      <c r="F190" s="3" t="s">
        <v>57</v>
      </c>
      <c r="G190" s="3" t="s">
        <v>58</v>
      </c>
      <c r="H190" s="3" t="s">
        <v>59</v>
      </c>
      <c r="I190" s="3" t="s">
        <v>60</v>
      </c>
      <c r="J190" s="3" t="s">
        <v>61</v>
      </c>
      <c r="K190" s="3" t="s">
        <v>62</v>
      </c>
      <c r="L190" s="3" t="s">
        <v>63</v>
      </c>
      <c r="M190" s="3" t="s">
        <v>400</v>
      </c>
      <c r="N190" s="3" t="s">
        <v>401</v>
      </c>
      <c r="O190" s="3" t="s">
        <v>402</v>
      </c>
      <c r="P190" s="3" t="s">
        <v>403</v>
      </c>
      <c r="Q190" s="3" t="s">
        <v>404</v>
      </c>
      <c r="R190" s="3" t="s">
        <v>405</v>
      </c>
      <c r="S190" s="3" t="s">
        <v>128</v>
      </c>
      <c r="T190" s="3" t="s">
        <v>409</v>
      </c>
      <c r="U190" s="3" t="s">
        <v>54</v>
      </c>
      <c r="V190" s="3" t="s">
        <v>72</v>
      </c>
      <c r="W190" s="3" t="s">
        <v>94</v>
      </c>
      <c r="X190" s="3" t="s">
        <v>95</v>
      </c>
      <c r="Y190" s="3" t="s">
        <v>96</v>
      </c>
      <c r="Z190" s="3" t="s">
        <v>95</v>
      </c>
      <c r="AA190" s="3" t="s">
        <v>432</v>
      </c>
      <c r="AB190" s="4">
        <v>176000</v>
      </c>
      <c r="AC190" s="4">
        <v>0</v>
      </c>
      <c r="AD190" s="4">
        <v>80000</v>
      </c>
      <c r="AE190" s="4">
        <v>256000</v>
      </c>
      <c r="AF190" s="4">
        <v>0</v>
      </c>
      <c r="AG190" s="4">
        <v>0</v>
      </c>
      <c r="AH190" s="4">
        <v>0</v>
      </c>
      <c r="AI190" s="4">
        <v>0</v>
      </c>
      <c r="AJ190" s="4">
        <v>0</v>
      </c>
      <c r="AK190" s="4">
        <v>0</v>
      </c>
      <c r="AL190" s="4">
        <v>0</v>
      </c>
      <c r="AM190" s="4">
        <v>0</v>
      </c>
      <c r="AN190" s="4">
        <v>0</v>
      </c>
      <c r="AO190" s="4">
        <v>0</v>
      </c>
      <c r="AP190" s="4">
        <v>0</v>
      </c>
      <c r="AQ190" s="4">
        <v>256000</v>
      </c>
      <c r="AR190" s="4">
        <v>256000</v>
      </c>
      <c r="AS190" s="4">
        <v>256000</v>
      </c>
      <c r="AT190" s="4">
        <v>0</v>
      </c>
      <c r="AU190" s="4">
        <v>0</v>
      </c>
      <c r="AV190" s="4">
        <v>0</v>
      </c>
      <c r="AW190" s="4">
        <v>0</v>
      </c>
      <c r="AX190" s="4">
        <v>0</v>
      </c>
      <c r="AY190" s="4">
        <v>0</v>
      </c>
    </row>
    <row r="191" spans="1:51">
      <c r="A191" s="3" t="s">
        <v>52</v>
      </c>
      <c r="B191" s="3" t="s">
        <v>53</v>
      </c>
      <c r="C191" s="3" t="s">
        <v>54</v>
      </c>
      <c r="D191" s="3" t="s">
        <v>55</v>
      </c>
      <c r="E191" s="3" t="s">
        <v>56</v>
      </c>
      <c r="F191" s="3" t="s">
        <v>57</v>
      </c>
      <c r="G191" s="3" t="s">
        <v>58</v>
      </c>
      <c r="H191" s="3" t="s">
        <v>59</v>
      </c>
      <c r="I191" s="3" t="s">
        <v>60</v>
      </c>
      <c r="J191" s="3" t="s">
        <v>61</v>
      </c>
      <c r="K191" s="3" t="s">
        <v>62</v>
      </c>
      <c r="L191" s="3" t="s">
        <v>63</v>
      </c>
      <c r="M191" s="3" t="s">
        <v>400</v>
      </c>
      <c r="N191" s="3" t="s">
        <v>401</v>
      </c>
      <c r="O191" s="3" t="s">
        <v>402</v>
      </c>
      <c r="P191" s="3" t="s">
        <v>403</v>
      </c>
      <c r="Q191" s="3" t="s">
        <v>404</v>
      </c>
      <c r="R191" s="3" t="s">
        <v>405</v>
      </c>
      <c r="S191" s="3" t="s">
        <v>128</v>
      </c>
      <c r="T191" s="3" t="s">
        <v>409</v>
      </c>
      <c r="U191" s="3" t="s">
        <v>54</v>
      </c>
      <c r="V191" s="3" t="s">
        <v>72</v>
      </c>
      <c r="W191" s="3" t="s">
        <v>94</v>
      </c>
      <c r="X191" s="3" t="s">
        <v>95</v>
      </c>
      <c r="Y191" s="3" t="s">
        <v>96</v>
      </c>
      <c r="Z191" s="3" t="s">
        <v>95</v>
      </c>
      <c r="AA191" s="3" t="s">
        <v>433</v>
      </c>
      <c r="AB191" s="4">
        <v>940000</v>
      </c>
      <c r="AC191" s="4">
        <v>0</v>
      </c>
      <c r="AD191" s="4">
        <v>29000</v>
      </c>
      <c r="AE191" s="4">
        <v>969000</v>
      </c>
      <c r="AF191" s="4">
        <v>0</v>
      </c>
      <c r="AG191" s="4">
        <v>0</v>
      </c>
      <c r="AH191" s="4">
        <v>0</v>
      </c>
      <c r="AI191" s="4">
        <v>0</v>
      </c>
      <c r="AJ191" s="4">
        <v>0</v>
      </c>
      <c r="AK191" s="4">
        <v>0</v>
      </c>
      <c r="AL191" s="4">
        <v>0</v>
      </c>
      <c r="AM191" s="4">
        <v>0</v>
      </c>
      <c r="AN191" s="4">
        <v>0</v>
      </c>
      <c r="AO191" s="4">
        <v>0</v>
      </c>
      <c r="AP191" s="4">
        <v>0</v>
      </c>
      <c r="AQ191" s="4">
        <v>969000</v>
      </c>
      <c r="AR191" s="4">
        <v>969000</v>
      </c>
      <c r="AS191" s="4">
        <v>969000</v>
      </c>
      <c r="AT191" s="4">
        <v>0</v>
      </c>
      <c r="AU191" s="4">
        <v>0</v>
      </c>
      <c r="AV191" s="4">
        <v>0</v>
      </c>
      <c r="AW191" s="4">
        <v>0</v>
      </c>
      <c r="AX191" s="4">
        <v>0</v>
      </c>
      <c r="AY191" s="4">
        <v>0</v>
      </c>
    </row>
    <row r="192" spans="1:51">
      <c r="A192" s="3" t="s">
        <v>52</v>
      </c>
      <c r="B192" s="3" t="s">
        <v>53</v>
      </c>
      <c r="C192" s="3" t="s">
        <v>54</v>
      </c>
      <c r="D192" s="3" t="s">
        <v>55</v>
      </c>
      <c r="E192" s="3" t="s">
        <v>56</v>
      </c>
      <c r="F192" s="3" t="s">
        <v>57</v>
      </c>
      <c r="G192" s="3" t="s">
        <v>58</v>
      </c>
      <c r="H192" s="3" t="s">
        <v>59</v>
      </c>
      <c r="I192" s="3" t="s">
        <v>60</v>
      </c>
      <c r="J192" s="3" t="s">
        <v>61</v>
      </c>
      <c r="K192" s="3" t="s">
        <v>62</v>
      </c>
      <c r="L192" s="3" t="s">
        <v>63</v>
      </c>
      <c r="M192" s="3" t="s">
        <v>400</v>
      </c>
      <c r="N192" s="3" t="s">
        <v>401</v>
      </c>
      <c r="O192" s="3" t="s">
        <v>402</v>
      </c>
      <c r="P192" s="3" t="s">
        <v>403</v>
      </c>
      <c r="Q192" s="3" t="s">
        <v>404</v>
      </c>
      <c r="R192" s="3" t="s">
        <v>405</v>
      </c>
      <c r="S192" s="3" t="s">
        <v>128</v>
      </c>
      <c r="T192" s="3" t="s">
        <v>409</v>
      </c>
      <c r="U192" s="3" t="s">
        <v>54</v>
      </c>
      <c r="V192" s="3" t="s">
        <v>72</v>
      </c>
      <c r="W192" s="3" t="s">
        <v>94</v>
      </c>
      <c r="X192" s="3" t="s">
        <v>95</v>
      </c>
      <c r="Y192" s="3" t="s">
        <v>96</v>
      </c>
      <c r="Z192" s="3" t="s">
        <v>95</v>
      </c>
      <c r="AA192" s="3" t="s">
        <v>434</v>
      </c>
      <c r="AB192" s="4">
        <v>0</v>
      </c>
      <c r="AC192" s="4">
        <v>1440000</v>
      </c>
      <c r="AD192" s="4">
        <v>0</v>
      </c>
      <c r="AE192" s="4">
        <v>1440000</v>
      </c>
      <c r="AF192" s="4">
        <v>0</v>
      </c>
      <c r="AG192" s="4">
        <v>0</v>
      </c>
      <c r="AH192" s="4">
        <v>0</v>
      </c>
      <c r="AI192" s="4">
        <v>0</v>
      </c>
      <c r="AJ192" s="4">
        <v>0</v>
      </c>
      <c r="AK192" s="4">
        <v>0</v>
      </c>
      <c r="AL192" s="4">
        <v>0</v>
      </c>
      <c r="AM192" s="4">
        <v>0</v>
      </c>
      <c r="AN192" s="4">
        <v>0</v>
      </c>
      <c r="AO192" s="4">
        <v>0</v>
      </c>
      <c r="AP192" s="4">
        <v>0</v>
      </c>
      <c r="AQ192" s="4">
        <v>1440000</v>
      </c>
      <c r="AR192" s="4">
        <v>1328000</v>
      </c>
      <c r="AS192" s="4">
        <v>1328000</v>
      </c>
      <c r="AT192" s="4">
        <v>0</v>
      </c>
      <c r="AU192" s="4">
        <v>0</v>
      </c>
      <c r="AV192" s="4">
        <v>0</v>
      </c>
      <c r="AW192" s="4">
        <v>0</v>
      </c>
      <c r="AX192" s="4">
        <v>112000</v>
      </c>
      <c r="AY192" s="4">
        <v>112000</v>
      </c>
    </row>
    <row r="193" spans="1:51">
      <c r="A193" s="3" t="s">
        <v>52</v>
      </c>
      <c r="B193" s="3" t="s">
        <v>53</v>
      </c>
      <c r="C193" s="3" t="s">
        <v>54</v>
      </c>
      <c r="D193" s="3" t="s">
        <v>55</v>
      </c>
      <c r="E193" s="3" t="s">
        <v>56</v>
      </c>
      <c r="F193" s="3" t="s">
        <v>57</v>
      </c>
      <c r="G193" s="3" t="s">
        <v>58</v>
      </c>
      <c r="H193" s="3" t="s">
        <v>59</v>
      </c>
      <c r="I193" s="3" t="s">
        <v>60</v>
      </c>
      <c r="J193" s="3" t="s">
        <v>61</v>
      </c>
      <c r="K193" s="3" t="s">
        <v>62</v>
      </c>
      <c r="L193" s="3" t="s">
        <v>63</v>
      </c>
      <c r="M193" s="3" t="s">
        <v>400</v>
      </c>
      <c r="N193" s="3" t="s">
        <v>401</v>
      </c>
      <c r="O193" s="3" t="s">
        <v>402</v>
      </c>
      <c r="P193" s="3" t="s">
        <v>403</v>
      </c>
      <c r="Q193" s="3" t="s">
        <v>404</v>
      </c>
      <c r="R193" s="3" t="s">
        <v>405</v>
      </c>
      <c r="S193" s="3" t="s">
        <v>128</v>
      </c>
      <c r="T193" s="3" t="s">
        <v>409</v>
      </c>
      <c r="U193" s="3" t="s">
        <v>54</v>
      </c>
      <c r="V193" s="3" t="s">
        <v>72</v>
      </c>
      <c r="W193" s="3" t="s">
        <v>94</v>
      </c>
      <c r="X193" s="3" t="s">
        <v>95</v>
      </c>
      <c r="Y193" s="3" t="s">
        <v>96</v>
      </c>
      <c r="Z193" s="3" t="s">
        <v>95</v>
      </c>
      <c r="AA193" s="3" t="s">
        <v>435</v>
      </c>
      <c r="AB193" s="4">
        <v>0</v>
      </c>
      <c r="AC193" s="4">
        <v>1125000</v>
      </c>
      <c r="AD193" s="4">
        <v>0</v>
      </c>
      <c r="AE193" s="4">
        <v>1125000</v>
      </c>
      <c r="AF193" s="4">
        <v>0</v>
      </c>
      <c r="AG193" s="4">
        <v>0</v>
      </c>
      <c r="AH193" s="4">
        <v>0</v>
      </c>
      <c r="AI193" s="4">
        <v>0</v>
      </c>
      <c r="AJ193" s="4">
        <v>0</v>
      </c>
      <c r="AK193" s="4">
        <v>0</v>
      </c>
      <c r="AL193" s="4">
        <v>0</v>
      </c>
      <c r="AM193" s="4">
        <v>0</v>
      </c>
      <c r="AN193" s="4">
        <v>0</v>
      </c>
      <c r="AO193" s="4">
        <v>0</v>
      </c>
      <c r="AP193" s="4">
        <v>0</v>
      </c>
      <c r="AQ193" s="4">
        <v>1125000</v>
      </c>
      <c r="AR193" s="4">
        <v>1125000</v>
      </c>
      <c r="AS193" s="4">
        <v>1125000</v>
      </c>
      <c r="AT193" s="4">
        <v>0</v>
      </c>
      <c r="AU193" s="4">
        <v>0</v>
      </c>
      <c r="AV193" s="4">
        <v>0</v>
      </c>
      <c r="AW193" s="4">
        <v>0</v>
      </c>
      <c r="AX193" s="4">
        <v>0</v>
      </c>
      <c r="AY193" s="4">
        <v>0</v>
      </c>
    </row>
    <row r="194" spans="1:51">
      <c r="A194" s="3" t="s">
        <v>52</v>
      </c>
      <c r="B194" s="3" t="s">
        <v>53</v>
      </c>
      <c r="C194" s="3" t="s">
        <v>54</v>
      </c>
      <c r="D194" s="3" t="s">
        <v>55</v>
      </c>
      <c r="E194" s="3" t="s">
        <v>56</v>
      </c>
      <c r="F194" s="3" t="s">
        <v>57</v>
      </c>
      <c r="G194" s="3" t="s">
        <v>58</v>
      </c>
      <c r="H194" s="3" t="s">
        <v>59</v>
      </c>
      <c r="I194" s="3" t="s">
        <v>60</v>
      </c>
      <c r="J194" s="3" t="s">
        <v>61</v>
      </c>
      <c r="K194" s="3" t="s">
        <v>62</v>
      </c>
      <c r="L194" s="3" t="s">
        <v>63</v>
      </c>
      <c r="M194" s="3" t="s">
        <v>400</v>
      </c>
      <c r="N194" s="3" t="s">
        <v>401</v>
      </c>
      <c r="O194" s="3" t="s">
        <v>402</v>
      </c>
      <c r="P194" s="3" t="s">
        <v>403</v>
      </c>
      <c r="Q194" s="3" t="s">
        <v>404</v>
      </c>
      <c r="R194" s="3" t="s">
        <v>405</v>
      </c>
      <c r="S194" s="3" t="s">
        <v>128</v>
      </c>
      <c r="T194" s="3" t="s">
        <v>409</v>
      </c>
      <c r="U194" s="3" t="s">
        <v>54</v>
      </c>
      <c r="V194" s="3" t="s">
        <v>72</v>
      </c>
      <c r="W194" s="3" t="s">
        <v>94</v>
      </c>
      <c r="X194" s="3" t="s">
        <v>95</v>
      </c>
      <c r="Y194" s="3" t="s">
        <v>96</v>
      </c>
      <c r="Z194" s="3" t="s">
        <v>95</v>
      </c>
      <c r="AA194" s="3" t="s">
        <v>436</v>
      </c>
      <c r="AB194" s="4">
        <v>0</v>
      </c>
      <c r="AC194" s="4">
        <v>1932000</v>
      </c>
      <c r="AD194" s="4">
        <v>0</v>
      </c>
      <c r="AE194" s="4">
        <v>1932000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4">
        <v>0</v>
      </c>
      <c r="AM194" s="4">
        <v>0</v>
      </c>
      <c r="AN194" s="4">
        <v>0</v>
      </c>
      <c r="AO194" s="4">
        <v>0</v>
      </c>
      <c r="AP194" s="4">
        <v>0</v>
      </c>
      <c r="AQ194" s="4">
        <v>1932000</v>
      </c>
      <c r="AR194" s="4">
        <v>1911000</v>
      </c>
      <c r="AS194" s="4">
        <v>1911000</v>
      </c>
      <c r="AT194" s="4">
        <v>0</v>
      </c>
      <c r="AU194" s="4">
        <v>0</v>
      </c>
      <c r="AV194" s="4">
        <v>0</v>
      </c>
      <c r="AW194" s="4">
        <v>0</v>
      </c>
      <c r="AX194" s="4">
        <v>21000</v>
      </c>
      <c r="AY194" s="4">
        <v>21000</v>
      </c>
    </row>
    <row r="195" spans="1:51">
      <c r="A195" s="3" t="s">
        <v>52</v>
      </c>
      <c r="B195" s="3" t="s">
        <v>53</v>
      </c>
      <c r="C195" s="3" t="s">
        <v>54</v>
      </c>
      <c r="D195" s="3" t="s">
        <v>55</v>
      </c>
      <c r="E195" s="3" t="s">
        <v>56</v>
      </c>
      <c r="F195" s="3" t="s">
        <v>57</v>
      </c>
      <c r="G195" s="3" t="s">
        <v>58</v>
      </c>
      <c r="H195" s="3" t="s">
        <v>59</v>
      </c>
      <c r="I195" s="3" t="s">
        <v>60</v>
      </c>
      <c r="J195" s="3" t="s">
        <v>61</v>
      </c>
      <c r="K195" s="3" t="s">
        <v>62</v>
      </c>
      <c r="L195" s="3" t="s">
        <v>63</v>
      </c>
      <c r="M195" s="3" t="s">
        <v>400</v>
      </c>
      <c r="N195" s="3" t="s">
        <v>401</v>
      </c>
      <c r="O195" s="3" t="s">
        <v>402</v>
      </c>
      <c r="P195" s="3" t="s">
        <v>403</v>
      </c>
      <c r="Q195" s="3" t="s">
        <v>404</v>
      </c>
      <c r="R195" s="3" t="s">
        <v>405</v>
      </c>
      <c r="S195" s="3" t="s">
        <v>128</v>
      </c>
      <c r="T195" s="3" t="s">
        <v>409</v>
      </c>
      <c r="U195" s="3" t="s">
        <v>54</v>
      </c>
      <c r="V195" s="3" t="s">
        <v>72</v>
      </c>
      <c r="W195" s="3" t="s">
        <v>94</v>
      </c>
      <c r="X195" s="3" t="s">
        <v>95</v>
      </c>
      <c r="Y195" s="3" t="s">
        <v>96</v>
      </c>
      <c r="Z195" s="3" t="s">
        <v>95</v>
      </c>
      <c r="AA195" s="3" t="s">
        <v>437</v>
      </c>
      <c r="AB195" s="4">
        <v>0</v>
      </c>
      <c r="AC195" s="4">
        <v>0</v>
      </c>
      <c r="AD195" s="4">
        <v>1250000</v>
      </c>
      <c r="AE195" s="4">
        <v>1250000</v>
      </c>
      <c r="AF195" s="4">
        <v>0</v>
      </c>
      <c r="AG195" s="4">
        <v>0</v>
      </c>
      <c r="AH195" s="4">
        <v>0</v>
      </c>
      <c r="AI195" s="4">
        <v>0</v>
      </c>
      <c r="AJ195" s="4">
        <v>0</v>
      </c>
      <c r="AK195" s="4">
        <v>0</v>
      </c>
      <c r="AL195" s="4">
        <v>0</v>
      </c>
      <c r="AM195" s="4">
        <v>0</v>
      </c>
      <c r="AN195" s="4">
        <v>0</v>
      </c>
      <c r="AO195" s="4">
        <v>0</v>
      </c>
      <c r="AP195" s="4">
        <v>0</v>
      </c>
      <c r="AQ195" s="4">
        <v>1250000</v>
      </c>
      <c r="AR195" s="4">
        <v>0</v>
      </c>
      <c r="AS195" s="4">
        <v>0</v>
      </c>
      <c r="AT195" s="4">
        <v>0</v>
      </c>
      <c r="AU195" s="4">
        <v>0</v>
      </c>
      <c r="AV195" s="4">
        <v>0</v>
      </c>
      <c r="AW195" s="4">
        <v>0</v>
      </c>
      <c r="AX195" s="4">
        <v>1250000</v>
      </c>
      <c r="AY195" s="4">
        <v>1250000</v>
      </c>
    </row>
    <row r="196" spans="1:51">
      <c r="A196" s="3" t="s">
        <v>52</v>
      </c>
      <c r="B196" s="3" t="s">
        <v>53</v>
      </c>
      <c r="C196" s="3" t="s">
        <v>54</v>
      </c>
      <c r="D196" s="3" t="s">
        <v>55</v>
      </c>
      <c r="E196" s="3" t="s">
        <v>56</v>
      </c>
      <c r="F196" s="3" t="s">
        <v>57</v>
      </c>
      <c r="G196" s="3" t="s">
        <v>58</v>
      </c>
      <c r="H196" s="3" t="s">
        <v>59</v>
      </c>
      <c r="I196" s="3" t="s">
        <v>60</v>
      </c>
      <c r="J196" s="3" t="s">
        <v>61</v>
      </c>
      <c r="K196" s="3" t="s">
        <v>62</v>
      </c>
      <c r="L196" s="3" t="s">
        <v>63</v>
      </c>
      <c r="M196" s="3" t="s">
        <v>400</v>
      </c>
      <c r="N196" s="3" t="s">
        <v>401</v>
      </c>
      <c r="O196" s="3" t="s">
        <v>402</v>
      </c>
      <c r="P196" s="3" t="s">
        <v>403</v>
      </c>
      <c r="Q196" s="3" t="s">
        <v>404</v>
      </c>
      <c r="R196" s="3" t="s">
        <v>405</v>
      </c>
      <c r="S196" s="3" t="s">
        <v>128</v>
      </c>
      <c r="T196" s="3" t="s">
        <v>409</v>
      </c>
      <c r="U196" s="3" t="s">
        <v>54</v>
      </c>
      <c r="V196" s="3" t="s">
        <v>72</v>
      </c>
      <c r="W196" s="3" t="s">
        <v>94</v>
      </c>
      <c r="X196" s="3" t="s">
        <v>95</v>
      </c>
      <c r="Y196" s="3" t="s">
        <v>96</v>
      </c>
      <c r="Z196" s="3" t="s">
        <v>95</v>
      </c>
      <c r="AA196" s="3" t="s">
        <v>438</v>
      </c>
      <c r="AB196" s="4">
        <v>0</v>
      </c>
      <c r="AC196" s="4">
        <v>0</v>
      </c>
      <c r="AD196" s="4">
        <v>350000</v>
      </c>
      <c r="AE196" s="4">
        <v>350000</v>
      </c>
      <c r="AF196" s="4">
        <v>0</v>
      </c>
      <c r="AG196" s="4">
        <v>0</v>
      </c>
      <c r="AH196" s="4">
        <v>0</v>
      </c>
      <c r="AI196" s="4">
        <v>0</v>
      </c>
      <c r="AJ196" s="4">
        <v>0</v>
      </c>
      <c r="AK196" s="4">
        <v>0</v>
      </c>
      <c r="AL196" s="4">
        <v>0</v>
      </c>
      <c r="AM196" s="4">
        <v>0</v>
      </c>
      <c r="AN196" s="4">
        <v>0</v>
      </c>
      <c r="AO196" s="4">
        <v>0</v>
      </c>
      <c r="AP196" s="4">
        <v>0</v>
      </c>
      <c r="AQ196" s="4">
        <v>350000</v>
      </c>
      <c r="AR196" s="4">
        <v>0</v>
      </c>
      <c r="AS196" s="4">
        <v>0</v>
      </c>
      <c r="AT196" s="4">
        <v>0</v>
      </c>
      <c r="AU196" s="4">
        <v>0</v>
      </c>
      <c r="AV196" s="4">
        <v>0</v>
      </c>
      <c r="AW196" s="4">
        <v>0</v>
      </c>
      <c r="AX196" s="4">
        <v>350000</v>
      </c>
      <c r="AY196" s="4">
        <v>350000</v>
      </c>
    </row>
    <row r="197" spans="1:51">
      <c r="A197" s="3" t="s">
        <v>52</v>
      </c>
      <c r="B197" s="3" t="s">
        <v>53</v>
      </c>
      <c r="C197" s="3" t="s">
        <v>54</v>
      </c>
      <c r="D197" s="3" t="s">
        <v>55</v>
      </c>
      <c r="E197" s="3" t="s">
        <v>56</v>
      </c>
      <c r="F197" s="3" t="s">
        <v>57</v>
      </c>
      <c r="G197" s="3" t="s">
        <v>58</v>
      </c>
      <c r="H197" s="3" t="s">
        <v>59</v>
      </c>
      <c r="I197" s="3" t="s">
        <v>60</v>
      </c>
      <c r="J197" s="3" t="s">
        <v>61</v>
      </c>
      <c r="K197" s="3" t="s">
        <v>62</v>
      </c>
      <c r="L197" s="3" t="s">
        <v>63</v>
      </c>
      <c r="M197" s="3" t="s">
        <v>400</v>
      </c>
      <c r="N197" s="3" t="s">
        <v>401</v>
      </c>
      <c r="O197" s="3" t="s">
        <v>402</v>
      </c>
      <c r="P197" s="3" t="s">
        <v>403</v>
      </c>
      <c r="Q197" s="3" t="s">
        <v>404</v>
      </c>
      <c r="R197" s="3" t="s">
        <v>405</v>
      </c>
      <c r="S197" s="3" t="s">
        <v>128</v>
      </c>
      <c r="T197" s="3" t="s">
        <v>409</v>
      </c>
      <c r="U197" s="3" t="s">
        <v>54</v>
      </c>
      <c r="V197" s="3" t="s">
        <v>72</v>
      </c>
      <c r="W197" s="3" t="s">
        <v>94</v>
      </c>
      <c r="X197" s="3" t="s">
        <v>95</v>
      </c>
      <c r="Y197" s="3" t="s">
        <v>96</v>
      </c>
      <c r="Z197" s="3" t="s">
        <v>95</v>
      </c>
      <c r="AA197" s="3" t="s">
        <v>439</v>
      </c>
      <c r="AB197" s="4">
        <v>0</v>
      </c>
      <c r="AC197" s="4">
        <v>0</v>
      </c>
      <c r="AD197" s="4">
        <v>480000</v>
      </c>
      <c r="AE197" s="4">
        <v>480000</v>
      </c>
      <c r="AF197" s="4">
        <v>0</v>
      </c>
      <c r="AG197" s="4">
        <v>0</v>
      </c>
      <c r="AH197" s="4">
        <v>0</v>
      </c>
      <c r="AI197" s="4">
        <v>0</v>
      </c>
      <c r="AJ197" s="4">
        <v>0</v>
      </c>
      <c r="AK197" s="4">
        <v>0</v>
      </c>
      <c r="AL197" s="4">
        <v>0</v>
      </c>
      <c r="AM197" s="4">
        <v>0</v>
      </c>
      <c r="AN197" s="4">
        <v>0</v>
      </c>
      <c r="AO197" s="4">
        <v>0</v>
      </c>
      <c r="AP197" s="4">
        <v>0</v>
      </c>
      <c r="AQ197" s="4">
        <v>480000</v>
      </c>
      <c r="AR197" s="4">
        <v>0</v>
      </c>
      <c r="AS197" s="4">
        <v>0</v>
      </c>
      <c r="AT197" s="4">
        <v>0</v>
      </c>
      <c r="AU197" s="4">
        <v>0</v>
      </c>
      <c r="AV197" s="4">
        <v>0</v>
      </c>
      <c r="AW197" s="4">
        <v>0</v>
      </c>
      <c r="AX197" s="4">
        <v>480000</v>
      </c>
      <c r="AY197" s="4">
        <v>480000</v>
      </c>
    </row>
    <row r="198" spans="1:51">
      <c r="A198" s="3" t="s">
        <v>52</v>
      </c>
      <c r="B198" s="3" t="s">
        <v>53</v>
      </c>
      <c r="C198" s="3" t="s">
        <v>54</v>
      </c>
      <c r="D198" s="3" t="s">
        <v>55</v>
      </c>
      <c r="E198" s="3" t="s">
        <v>56</v>
      </c>
      <c r="F198" s="3" t="s">
        <v>57</v>
      </c>
      <c r="G198" s="3" t="s">
        <v>58</v>
      </c>
      <c r="H198" s="3" t="s">
        <v>59</v>
      </c>
      <c r="I198" s="3" t="s">
        <v>60</v>
      </c>
      <c r="J198" s="3" t="s">
        <v>61</v>
      </c>
      <c r="K198" s="3" t="s">
        <v>62</v>
      </c>
      <c r="L198" s="3" t="s">
        <v>63</v>
      </c>
      <c r="M198" s="3" t="s">
        <v>400</v>
      </c>
      <c r="N198" s="3" t="s">
        <v>401</v>
      </c>
      <c r="O198" s="3" t="s">
        <v>402</v>
      </c>
      <c r="P198" s="3" t="s">
        <v>403</v>
      </c>
      <c r="Q198" s="3" t="s">
        <v>404</v>
      </c>
      <c r="R198" s="3" t="s">
        <v>405</v>
      </c>
      <c r="S198" s="3" t="s">
        <v>128</v>
      </c>
      <c r="T198" s="3" t="s">
        <v>409</v>
      </c>
      <c r="U198" s="3" t="s">
        <v>54</v>
      </c>
      <c r="V198" s="3" t="s">
        <v>72</v>
      </c>
      <c r="W198" s="3" t="s">
        <v>94</v>
      </c>
      <c r="X198" s="3" t="s">
        <v>95</v>
      </c>
      <c r="Y198" s="3" t="s">
        <v>96</v>
      </c>
      <c r="Z198" s="3" t="s">
        <v>95</v>
      </c>
      <c r="AA198" s="3" t="s">
        <v>440</v>
      </c>
      <c r="AB198" s="4">
        <v>0</v>
      </c>
      <c r="AC198" s="4">
        <v>0</v>
      </c>
      <c r="AD198" s="4">
        <v>765000</v>
      </c>
      <c r="AE198" s="4">
        <v>765000</v>
      </c>
      <c r="AF198" s="4">
        <v>0</v>
      </c>
      <c r="AG198" s="4">
        <v>0</v>
      </c>
      <c r="AH198" s="4">
        <v>0</v>
      </c>
      <c r="AI198" s="4">
        <v>0</v>
      </c>
      <c r="AJ198" s="4">
        <v>0</v>
      </c>
      <c r="AK198" s="4">
        <v>0</v>
      </c>
      <c r="AL198" s="4">
        <v>0</v>
      </c>
      <c r="AM198" s="4">
        <v>0</v>
      </c>
      <c r="AN198" s="4">
        <v>0</v>
      </c>
      <c r="AO198" s="4">
        <v>0</v>
      </c>
      <c r="AP198" s="4">
        <v>0</v>
      </c>
      <c r="AQ198" s="4">
        <v>765000</v>
      </c>
      <c r="AR198" s="4">
        <v>0</v>
      </c>
      <c r="AS198" s="4">
        <v>0</v>
      </c>
      <c r="AT198" s="4">
        <v>0</v>
      </c>
      <c r="AU198" s="4">
        <v>0</v>
      </c>
      <c r="AV198" s="4">
        <v>0</v>
      </c>
      <c r="AW198" s="4">
        <v>0</v>
      </c>
      <c r="AX198" s="4">
        <v>765000</v>
      </c>
      <c r="AY198" s="4">
        <v>765000</v>
      </c>
    </row>
    <row r="199" spans="1:51">
      <c r="A199" s="3" t="s">
        <v>52</v>
      </c>
      <c r="B199" s="3" t="s">
        <v>53</v>
      </c>
      <c r="C199" s="3" t="s">
        <v>54</v>
      </c>
      <c r="D199" s="3" t="s">
        <v>55</v>
      </c>
      <c r="E199" s="3" t="s">
        <v>56</v>
      </c>
      <c r="F199" s="3" t="s">
        <v>57</v>
      </c>
      <c r="G199" s="3" t="s">
        <v>58</v>
      </c>
      <c r="H199" s="3" t="s">
        <v>59</v>
      </c>
      <c r="I199" s="3" t="s">
        <v>60</v>
      </c>
      <c r="J199" s="3" t="s">
        <v>61</v>
      </c>
      <c r="K199" s="3" t="s">
        <v>62</v>
      </c>
      <c r="L199" s="3" t="s">
        <v>63</v>
      </c>
      <c r="M199" s="3" t="s">
        <v>400</v>
      </c>
      <c r="N199" s="3" t="s">
        <v>401</v>
      </c>
      <c r="O199" s="3" t="s">
        <v>402</v>
      </c>
      <c r="P199" s="3" t="s">
        <v>403</v>
      </c>
      <c r="Q199" s="3" t="s">
        <v>404</v>
      </c>
      <c r="R199" s="3" t="s">
        <v>405</v>
      </c>
      <c r="S199" s="3" t="s">
        <v>128</v>
      </c>
      <c r="T199" s="3" t="s">
        <v>409</v>
      </c>
      <c r="U199" s="3" t="s">
        <v>54</v>
      </c>
      <c r="V199" s="3" t="s">
        <v>72</v>
      </c>
      <c r="W199" s="3" t="s">
        <v>94</v>
      </c>
      <c r="X199" s="3" t="s">
        <v>95</v>
      </c>
      <c r="Y199" s="3" t="s">
        <v>96</v>
      </c>
      <c r="Z199" s="3" t="s">
        <v>95</v>
      </c>
      <c r="AA199" s="3" t="s">
        <v>441</v>
      </c>
      <c r="AB199" s="4">
        <v>0</v>
      </c>
      <c r="AC199" s="4">
        <v>0</v>
      </c>
      <c r="AD199" s="4">
        <v>1050000</v>
      </c>
      <c r="AE199" s="4">
        <v>1050000</v>
      </c>
      <c r="AF199" s="4">
        <v>0</v>
      </c>
      <c r="AG199" s="4">
        <v>0</v>
      </c>
      <c r="AH199" s="4">
        <v>0</v>
      </c>
      <c r="AI199" s="4">
        <v>0</v>
      </c>
      <c r="AJ199" s="4">
        <v>0</v>
      </c>
      <c r="AK199" s="4">
        <v>0</v>
      </c>
      <c r="AL199" s="4">
        <v>0</v>
      </c>
      <c r="AM199" s="4">
        <v>0</v>
      </c>
      <c r="AN199" s="4">
        <v>0</v>
      </c>
      <c r="AO199" s="4">
        <v>0</v>
      </c>
      <c r="AP199" s="4">
        <v>0</v>
      </c>
      <c r="AQ199" s="4">
        <v>1050000</v>
      </c>
      <c r="AR199" s="4">
        <v>0</v>
      </c>
      <c r="AS199" s="4">
        <v>0</v>
      </c>
      <c r="AT199" s="4">
        <v>0</v>
      </c>
      <c r="AU199" s="4">
        <v>0</v>
      </c>
      <c r="AV199" s="4">
        <v>0</v>
      </c>
      <c r="AW199" s="4">
        <v>0</v>
      </c>
      <c r="AX199" s="4">
        <v>1050000</v>
      </c>
      <c r="AY199" s="4">
        <v>1050000</v>
      </c>
    </row>
    <row r="200" spans="1:51">
      <c r="A200" s="3" t="s">
        <v>52</v>
      </c>
      <c r="B200" s="3" t="s">
        <v>53</v>
      </c>
      <c r="C200" s="3" t="s">
        <v>54</v>
      </c>
      <c r="D200" s="3" t="s">
        <v>55</v>
      </c>
      <c r="E200" s="3" t="s">
        <v>56</v>
      </c>
      <c r="F200" s="3" t="s">
        <v>57</v>
      </c>
      <c r="G200" s="3" t="s">
        <v>58</v>
      </c>
      <c r="H200" s="3" t="s">
        <v>59</v>
      </c>
      <c r="I200" s="3" t="s">
        <v>60</v>
      </c>
      <c r="J200" s="3" t="s">
        <v>61</v>
      </c>
      <c r="K200" s="3" t="s">
        <v>62</v>
      </c>
      <c r="L200" s="3" t="s">
        <v>63</v>
      </c>
      <c r="M200" s="3" t="s">
        <v>400</v>
      </c>
      <c r="N200" s="3" t="s">
        <v>401</v>
      </c>
      <c r="O200" s="3" t="s">
        <v>402</v>
      </c>
      <c r="P200" s="3" t="s">
        <v>403</v>
      </c>
      <c r="Q200" s="3" t="s">
        <v>404</v>
      </c>
      <c r="R200" s="3" t="s">
        <v>405</v>
      </c>
      <c r="S200" s="3" t="s">
        <v>128</v>
      </c>
      <c r="T200" s="3" t="s">
        <v>409</v>
      </c>
      <c r="U200" s="3" t="s">
        <v>54</v>
      </c>
      <c r="V200" s="3" t="s">
        <v>72</v>
      </c>
      <c r="W200" s="3" t="s">
        <v>94</v>
      </c>
      <c r="X200" s="3" t="s">
        <v>95</v>
      </c>
      <c r="Y200" s="3" t="s">
        <v>96</v>
      </c>
      <c r="Z200" s="3" t="s">
        <v>95</v>
      </c>
      <c r="AA200" s="3" t="s">
        <v>442</v>
      </c>
      <c r="AB200" s="4">
        <v>0</v>
      </c>
      <c r="AC200" s="4">
        <v>0</v>
      </c>
      <c r="AD200" s="4">
        <v>2550000</v>
      </c>
      <c r="AE200" s="4">
        <v>2550000</v>
      </c>
      <c r="AF200" s="4">
        <v>0</v>
      </c>
      <c r="AG200" s="4">
        <v>0</v>
      </c>
      <c r="AH200" s="4">
        <v>0</v>
      </c>
      <c r="AI200" s="4">
        <v>0</v>
      </c>
      <c r="AJ200" s="4">
        <v>0</v>
      </c>
      <c r="AK200" s="4">
        <v>0</v>
      </c>
      <c r="AL200" s="4">
        <v>0</v>
      </c>
      <c r="AM200" s="4">
        <v>0</v>
      </c>
      <c r="AN200" s="4">
        <v>0</v>
      </c>
      <c r="AO200" s="4">
        <v>0</v>
      </c>
      <c r="AP200" s="4">
        <v>0</v>
      </c>
      <c r="AQ200" s="4">
        <v>2550000</v>
      </c>
      <c r="AR200" s="4">
        <v>0</v>
      </c>
      <c r="AS200" s="4">
        <v>0</v>
      </c>
      <c r="AT200" s="4">
        <v>0</v>
      </c>
      <c r="AU200" s="4">
        <v>0</v>
      </c>
      <c r="AV200" s="4">
        <v>0</v>
      </c>
      <c r="AW200" s="4">
        <v>0</v>
      </c>
      <c r="AX200" s="4">
        <v>2550000</v>
      </c>
      <c r="AY200" s="4">
        <v>2550000</v>
      </c>
    </row>
    <row r="201" spans="1:51">
      <c r="A201" s="3" t="s">
        <v>52</v>
      </c>
      <c r="B201" s="3" t="s">
        <v>53</v>
      </c>
      <c r="C201" s="3" t="s">
        <v>54</v>
      </c>
      <c r="D201" s="3" t="s">
        <v>55</v>
      </c>
      <c r="E201" s="3" t="s">
        <v>56</v>
      </c>
      <c r="F201" s="3" t="s">
        <v>57</v>
      </c>
      <c r="G201" s="3" t="s">
        <v>58</v>
      </c>
      <c r="H201" s="3" t="s">
        <v>59</v>
      </c>
      <c r="I201" s="3" t="s">
        <v>60</v>
      </c>
      <c r="J201" s="3" t="s">
        <v>61</v>
      </c>
      <c r="K201" s="3" t="s">
        <v>62</v>
      </c>
      <c r="L201" s="3" t="s">
        <v>63</v>
      </c>
      <c r="M201" s="3" t="s">
        <v>400</v>
      </c>
      <c r="N201" s="3" t="s">
        <v>401</v>
      </c>
      <c r="O201" s="3" t="s">
        <v>402</v>
      </c>
      <c r="P201" s="3" t="s">
        <v>403</v>
      </c>
      <c r="Q201" s="3" t="s">
        <v>404</v>
      </c>
      <c r="R201" s="3" t="s">
        <v>405</v>
      </c>
      <c r="S201" s="3" t="s">
        <v>128</v>
      </c>
      <c r="T201" s="3" t="s">
        <v>409</v>
      </c>
      <c r="U201" s="3" t="s">
        <v>54</v>
      </c>
      <c r="V201" s="3" t="s">
        <v>72</v>
      </c>
      <c r="W201" s="3" t="s">
        <v>94</v>
      </c>
      <c r="X201" s="3" t="s">
        <v>95</v>
      </c>
      <c r="Y201" s="3" t="s">
        <v>96</v>
      </c>
      <c r="Z201" s="3" t="s">
        <v>95</v>
      </c>
      <c r="AA201" s="3" t="s">
        <v>443</v>
      </c>
      <c r="AB201" s="4">
        <v>0</v>
      </c>
      <c r="AC201" s="4">
        <v>0</v>
      </c>
      <c r="AD201" s="4">
        <v>1488000</v>
      </c>
      <c r="AE201" s="4">
        <v>1488000</v>
      </c>
      <c r="AF201" s="4">
        <v>0</v>
      </c>
      <c r="AG201" s="4">
        <v>0</v>
      </c>
      <c r="AH201" s="4">
        <v>0</v>
      </c>
      <c r="AI201" s="4">
        <v>0</v>
      </c>
      <c r="AJ201" s="4">
        <v>0</v>
      </c>
      <c r="AK201" s="4">
        <v>0</v>
      </c>
      <c r="AL201" s="4">
        <v>0</v>
      </c>
      <c r="AM201" s="4">
        <v>0</v>
      </c>
      <c r="AN201" s="4">
        <v>0</v>
      </c>
      <c r="AO201" s="4">
        <v>0</v>
      </c>
      <c r="AP201" s="4">
        <v>0</v>
      </c>
      <c r="AQ201" s="4">
        <v>1488000</v>
      </c>
      <c r="AR201" s="4">
        <v>0</v>
      </c>
      <c r="AS201" s="4">
        <v>0</v>
      </c>
      <c r="AT201" s="4">
        <v>0</v>
      </c>
      <c r="AU201" s="4">
        <v>0</v>
      </c>
      <c r="AV201" s="4">
        <v>0</v>
      </c>
      <c r="AW201" s="4">
        <v>0</v>
      </c>
      <c r="AX201" s="4">
        <v>1488000</v>
      </c>
      <c r="AY201" s="4">
        <v>1488000</v>
      </c>
    </row>
    <row r="202" spans="1:51">
      <c r="A202" s="3" t="s">
        <v>52</v>
      </c>
      <c r="B202" s="3" t="s">
        <v>53</v>
      </c>
      <c r="C202" s="3" t="s">
        <v>54</v>
      </c>
      <c r="D202" s="3" t="s">
        <v>55</v>
      </c>
      <c r="E202" s="3" t="s">
        <v>56</v>
      </c>
      <c r="F202" s="3" t="s">
        <v>57</v>
      </c>
      <c r="G202" s="3" t="s">
        <v>58</v>
      </c>
      <c r="H202" s="3" t="s">
        <v>59</v>
      </c>
      <c r="I202" s="3" t="s">
        <v>60</v>
      </c>
      <c r="J202" s="3" t="s">
        <v>61</v>
      </c>
      <c r="K202" s="3" t="s">
        <v>62</v>
      </c>
      <c r="L202" s="3" t="s">
        <v>63</v>
      </c>
      <c r="M202" s="3" t="s">
        <v>400</v>
      </c>
      <c r="N202" s="3" t="s">
        <v>401</v>
      </c>
      <c r="O202" s="3" t="s">
        <v>402</v>
      </c>
      <c r="P202" s="3" t="s">
        <v>403</v>
      </c>
      <c r="Q202" s="3" t="s">
        <v>404</v>
      </c>
      <c r="R202" s="3" t="s">
        <v>405</v>
      </c>
      <c r="S202" s="3" t="s">
        <v>128</v>
      </c>
      <c r="T202" s="3" t="s">
        <v>409</v>
      </c>
      <c r="U202" s="3" t="s">
        <v>54</v>
      </c>
      <c r="V202" s="3" t="s">
        <v>72</v>
      </c>
      <c r="W202" s="3" t="s">
        <v>94</v>
      </c>
      <c r="X202" s="3" t="s">
        <v>95</v>
      </c>
      <c r="Y202" s="3" t="s">
        <v>96</v>
      </c>
      <c r="Z202" s="3" t="s">
        <v>95</v>
      </c>
      <c r="AA202" s="3" t="s">
        <v>444</v>
      </c>
      <c r="AB202" s="4">
        <v>0</v>
      </c>
      <c r="AC202" s="4">
        <v>0</v>
      </c>
      <c r="AD202" s="4">
        <v>1125000</v>
      </c>
      <c r="AE202" s="4">
        <v>1125000</v>
      </c>
      <c r="AF202" s="4">
        <v>0</v>
      </c>
      <c r="AG202" s="4">
        <v>0</v>
      </c>
      <c r="AH202" s="4">
        <v>0</v>
      </c>
      <c r="AI202" s="4">
        <v>0</v>
      </c>
      <c r="AJ202" s="4">
        <v>0</v>
      </c>
      <c r="AK202" s="4">
        <v>0</v>
      </c>
      <c r="AL202" s="4">
        <v>0</v>
      </c>
      <c r="AM202" s="4">
        <v>0</v>
      </c>
      <c r="AN202" s="4">
        <v>0</v>
      </c>
      <c r="AO202" s="4">
        <v>0</v>
      </c>
      <c r="AP202" s="4">
        <v>0</v>
      </c>
      <c r="AQ202" s="4">
        <v>1125000</v>
      </c>
      <c r="AR202" s="4">
        <v>0</v>
      </c>
      <c r="AS202" s="4">
        <v>0</v>
      </c>
      <c r="AT202" s="4">
        <v>0</v>
      </c>
      <c r="AU202" s="4">
        <v>0</v>
      </c>
      <c r="AV202" s="4">
        <v>0</v>
      </c>
      <c r="AW202" s="4">
        <v>0</v>
      </c>
      <c r="AX202" s="4">
        <v>1125000</v>
      </c>
      <c r="AY202" s="4">
        <v>1125000</v>
      </c>
    </row>
    <row r="203" spans="1:51">
      <c r="A203" s="3" t="s">
        <v>52</v>
      </c>
      <c r="B203" s="3" t="s">
        <v>53</v>
      </c>
      <c r="C203" s="3" t="s">
        <v>54</v>
      </c>
      <c r="D203" s="3" t="s">
        <v>55</v>
      </c>
      <c r="E203" s="3" t="s">
        <v>56</v>
      </c>
      <c r="F203" s="3" t="s">
        <v>57</v>
      </c>
      <c r="G203" s="3" t="s">
        <v>58</v>
      </c>
      <c r="H203" s="3" t="s">
        <v>59</v>
      </c>
      <c r="I203" s="3" t="s">
        <v>60</v>
      </c>
      <c r="J203" s="3" t="s">
        <v>61</v>
      </c>
      <c r="K203" s="3" t="s">
        <v>62</v>
      </c>
      <c r="L203" s="3" t="s">
        <v>63</v>
      </c>
      <c r="M203" s="3" t="s">
        <v>400</v>
      </c>
      <c r="N203" s="3" t="s">
        <v>401</v>
      </c>
      <c r="O203" s="3" t="s">
        <v>402</v>
      </c>
      <c r="P203" s="3" t="s">
        <v>403</v>
      </c>
      <c r="Q203" s="3" t="s">
        <v>404</v>
      </c>
      <c r="R203" s="3" t="s">
        <v>405</v>
      </c>
      <c r="S203" s="3" t="s">
        <v>128</v>
      </c>
      <c r="T203" s="3" t="s">
        <v>409</v>
      </c>
      <c r="U203" s="3" t="s">
        <v>54</v>
      </c>
      <c r="V203" s="3" t="s">
        <v>72</v>
      </c>
      <c r="W203" s="3" t="s">
        <v>94</v>
      </c>
      <c r="X203" s="3" t="s">
        <v>95</v>
      </c>
      <c r="Y203" s="3" t="s">
        <v>96</v>
      </c>
      <c r="Z203" s="3" t="s">
        <v>95</v>
      </c>
      <c r="AA203" s="3" t="s">
        <v>445</v>
      </c>
      <c r="AB203" s="4">
        <v>0</v>
      </c>
      <c r="AC203" s="4">
        <v>0</v>
      </c>
      <c r="AD203" s="4">
        <v>396000</v>
      </c>
      <c r="AE203" s="4">
        <v>396000</v>
      </c>
      <c r="AF203" s="4">
        <v>0</v>
      </c>
      <c r="AG203" s="4">
        <v>0</v>
      </c>
      <c r="AH203" s="4">
        <v>0</v>
      </c>
      <c r="AI203" s="4">
        <v>0</v>
      </c>
      <c r="AJ203" s="4">
        <v>0</v>
      </c>
      <c r="AK203" s="4">
        <v>0</v>
      </c>
      <c r="AL203" s="4">
        <v>0</v>
      </c>
      <c r="AM203" s="4">
        <v>0</v>
      </c>
      <c r="AN203" s="4">
        <v>0</v>
      </c>
      <c r="AO203" s="4">
        <v>0</v>
      </c>
      <c r="AP203" s="4">
        <v>0</v>
      </c>
      <c r="AQ203" s="4">
        <v>396000</v>
      </c>
      <c r="AR203" s="4">
        <v>0</v>
      </c>
      <c r="AS203" s="4">
        <v>0</v>
      </c>
      <c r="AT203" s="4">
        <v>0</v>
      </c>
      <c r="AU203" s="4">
        <v>0</v>
      </c>
      <c r="AV203" s="4">
        <v>0</v>
      </c>
      <c r="AW203" s="4">
        <v>0</v>
      </c>
      <c r="AX203" s="4">
        <v>396000</v>
      </c>
      <c r="AY203" s="4">
        <v>396000</v>
      </c>
    </row>
    <row r="204" spans="1:51">
      <c r="A204" s="3" t="s">
        <v>52</v>
      </c>
      <c r="B204" s="3" t="s">
        <v>53</v>
      </c>
      <c r="C204" s="3" t="s">
        <v>54</v>
      </c>
      <c r="D204" s="3" t="s">
        <v>55</v>
      </c>
      <c r="E204" s="3" t="s">
        <v>56</v>
      </c>
      <c r="F204" s="3" t="s">
        <v>57</v>
      </c>
      <c r="G204" s="3" t="s">
        <v>58</v>
      </c>
      <c r="H204" s="3" t="s">
        <v>59</v>
      </c>
      <c r="I204" s="3" t="s">
        <v>60</v>
      </c>
      <c r="J204" s="3" t="s">
        <v>61</v>
      </c>
      <c r="K204" s="3" t="s">
        <v>62</v>
      </c>
      <c r="L204" s="3" t="s">
        <v>63</v>
      </c>
      <c r="M204" s="3" t="s">
        <v>400</v>
      </c>
      <c r="N204" s="3" t="s">
        <v>401</v>
      </c>
      <c r="O204" s="3" t="s">
        <v>402</v>
      </c>
      <c r="P204" s="3" t="s">
        <v>403</v>
      </c>
      <c r="Q204" s="3" t="s">
        <v>404</v>
      </c>
      <c r="R204" s="3" t="s">
        <v>405</v>
      </c>
      <c r="S204" s="3" t="s">
        <v>128</v>
      </c>
      <c r="T204" s="3" t="s">
        <v>409</v>
      </c>
      <c r="U204" s="3" t="s">
        <v>54</v>
      </c>
      <c r="V204" s="3" t="s">
        <v>72</v>
      </c>
      <c r="W204" s="3" t="s">
        <v>94</v>
      </c>
      <c r="X204" s="3" t="s">
        <v>95</v>
      </c>
      <c r="Y204" s="3" t="s">
        <v>96</v>
      </c>
      <c r="Z204" s="3" t="s">
        <v>95</v>
      </c>
      <c r="AA204" s="3" t="s">
        <v>446</v>
      </c>
      <c r="AB204" s="4">
        <v>0</v>
      </c>
      <c r="AC204" s="4">
        <v>0</v>
      </c>
      <c r="AD204" s="4">
        <v>760000</v>
      </c>
      <c r="AE204" s="4">
        <v>760000</v>
      </c>
      <c r="AF204" s="4">
        <v>0</v>
      </c>
      <c r="AG204" s="4">
        <v>0</v>
      </c>
      <c r="AH204" s="4">
        <v>0</v>
      </c>
      <c r="AI204" s="4">
        <v>0</v>
      </c>
      <c r="AJ204" s="4">
        <v>0</v>
      </c>
      <c r="AK204" s="4">
        <v>0</v>
      </c>
      <c r="AL204" s="4">
        <v>0</v>
      </c>
      <c r="AM204" s="4">
        <v>0</v>
      </c>
      <c r="AN204" s="4">
        <v>0</v>
      </c>
      <c r="AO204" s="4">
        <v>0</v>
      </c>
      <c r="AP204" s="4">
        <v>0</v>
      </c>
      <c r="AQ204" s="4">
        <v>760000</v>
      </c>
      <c r="AR204" s="4">
        <v>0</v>
      </c>
      <c r="AS204" s="4">
        <v>0</v>
      </c>
      <c r="AT204" s="4">
        <v>0</v>
      </c>
      <c r="AU204" s="4">
        <v>0</v>
      </c>
      <c r="AV204" s="4">
        <v>0</v>
      </c>
      <c r="AW204" s="4">
        <v>0</v>
      </c>
      <c r="AX204" s="4">
        <v>760000</v>
      </c>
      <c r="AY204" s="4">
        <v>760000</v>
      </c>
    </row>
    <row r="205" spans="1:51">
      <c r="A205" s="3" t="s">
        <v>52</v>
      </c>
      <c r="B205" s="3" t="s">
        <v>53</v>
      </c>
      <c r="C205" s="3" t="s">
        <v>54</v>
      </c>
      <c r="D205" s="3" t="s">
        <v>55</v>
      </c>
      <c r="E205" s="3" t="s">
        <v>56</v>
      </c>
      <c r="F205" s="3" t="s">
        <v>57</v>
      </c>
      <c r="G205" s="3" t="s">
        <v>58</v>
      </c>
      <c r="H205" s="3" t="s">
        <v>59</v>
      </c>
      <c r="I205" s="3" t="s">
        <v>60</v>
      </c>
      <c r="J205" s="3" t="s">
        <v>61</v>
      </c>
      <c r="K205" s="3" t="s">
        <v>62</v>
      </c>
      <c r="L205" s="3" t="s">
        <v>63</v>
      </c>
      <c r="M205" s="3" t="s">
        <v>400</v>
      </c>
      <c r="N205" s="3" t="s">
        <v>401</v>
      </c>
      <c r="O205" s="3" t="s">
        <v>402</v>
      </c>
      <c r="P205" s="3" t="s">
        <v>403</v>
      </c>
      <c r="Q205" s="3" t="s">
        <v>404</v>
      </c>
      <c r="R205" s="3" t="s">
        <v>405</v>
      </c>
      <c r="S205" s="3" t="s">
        <v>128</v>
      </c>
      <c r="T205" s="3" t="s">
        <v>409</v>
      </c>
      <c r="U205" s="3" t="s">
        <v>54</v>
      </c>
      <c r="V205" s="3" t="s">
        <v>72</v>
      </c>
      <c r="W205" s="3" t="s">
        <v>94</v>
      </c>
      <c r="X205" s="3" t="s">
        <v>95</v>
      </c>
      <c r="Y205" s="3" t="s">
        <v>96</v>
      </c>
      <c r="Z205" s="3" t="s">
        <v>95</v>
      </c>
      <c r="AA205" s="3" t="s">
        <v>447</v>
      </c>
      <c r="AB205" s="4">
        <v>0</v>
      </c>
      <c r="AC205" s="4">
        <v>0</v>
      </c>
      <c r="AD205" s="4">
        <v>400000</v>
      </c>
      <c r="AE205" s="4">
        <v>400000</v>
      </c>
      <c r="AF205" s="4">
        <v>0</v>
      </c>
      <c r="AG205" s="4">
        <v>0</v>
      </c>
      <c r="AH205" s="4">
        <v>0</v>
      </c>
      <c r="AI205" s="4">
        <v>0</v>
      </c>
      <c r="AJ205" s="4">
        <v>0</v>
      </c>
      <c r="AK205" s="4">
        <v>0</v>
      </c>
      <c r="AL205" s="4">
        <v>0</v>
      </c>
      <c r="AM205" s="4">
        <v>0</v>
      </c>
      <c r="AN205" s="4">
        <v>0</v>
      </c>
      <c r="AO205" s="4">
        <v>0</v>
      </c>
      <c r="AP205" s="4">
        <v>0</v>
      </c>
      <c r="AQ205" s="4">
        <v>400000</v>
      </c>
      <c r="AR205" s="4">
        <v>0</v>
      </c>
      <c r="AS205" s="4">
        <v>0</v>
      </c>
      <c r="AT205" s="4">
        <v>0</v>
      </c>
      <c r="AU205" s="4">
        <v>0</v>
      </c>
      <c r="AV205" s="4">
        <v>0</v>
      </c>
      <c r="AW205" s="4">
        <v>0</v>
      </c>
      <c r="AX205" s="4">
        <v>400000</v>
      </c>
      <c r="AY205" s="4">
        <v>400000</v>
      </c>
    </row>
    <row r="206" spans="1:51">
      <c r="A206" s="3" t="s">
        <v>52</v>
      </c>
      <c r="B206" s="3" t="s">
        <v>53</v>
      </c>
      <c r="C206" s="3" t="s">
        <v>54</v>
      </c>
      <c r="D206" s="3" t="s">
        <v>55</v>
      </c>
      <c r="E206" s="3" t="s">
        <v>56</v>
      </c>
      <c r="F206" s="3" t="s">
        <v>57</v>
      </c>
      <c r="G206" s="3" t="s">
        <v>58</v>
      </c>
      <c r="H206" s="3" t="s">
        <v>59</v>
      </c>
      <c r="I206" s="3" t="s">
        <v>60</v>
      </c>
      <c r="J206" s="3" t="s">
        <v>61</v>
      </c>
      <c r="K206" s="3" t="s">
        <v>62</v>
      </c>
      <c r="L206" s="3" t="s">
        <v>63</v>
      </c>
      <c r="M206" s="3" t="s">
        <v>400</v>
      </c>
      <c r="N206" s="3" t="s">
        <v>401</v>
      </c>
      <c r="O206" s="3" t="s">
        <v>402</v>
      </c>
      <c r="P206" s="3" t="s">
        <v>403</v>
      </c>
      <c r="Q206" s="3" t="s">
        <v>404</v>
      </c>
      <c r="R206" s="3" t="s">
        <v>405</v>
      </c>
      <c r="S206" s="3" t="s">
        <v>128</v>
      </c>
      <c r="T206" s="3" t="s">
        <v>409</v>
      </c>
      <c r="U206" s="3" t="s">
        <v>54</v>
      </c>
      <c r="V206" s="3" t="s">
        <v>72</v>
      </c>
      <c r="W206" s="3" t="s">
        <v>94</v>
      </c>
      <c r="X206" s="3" t="s">
        <v>95</v>
      </c>
      <c r="Y206" s="3" t="s">
        <v>96</v>
      </c>
      <c r="Z206" s="3" t="s">
        <v>95</v>
      </c>
      <c r="AA206" s="3" t="s">
        <v>448</v>
      </c>
      <c r="AB206" s="4">
        <v>0</v>
      </c>
      <c r="AC206" s="4">
        <v>0</v>
      </c>
      <c r="AD206" s="4">
        <v>2640000</v>
      </c>
      <c r="AE206" s="4">
        <v>2640000</v>
      </c>
      <c r="AF206" s="4">
        <v>0</v>
      </c>
      <c r="AG206" s="4">
        <v>0</v>
      </c>
      <c r="AH206" s="4">
        <v>0</v>
      </c>
      <c r="AI206" s="4">
        <v>0</v>
      </c>
      <c r="AJ206" s="4">
        <v>0</v>
      </c>
      <c r="AK206" s="4">
        <v>0</v>
      </c>
      <c r="AL206" s="4">
        <v>0</v>
      </c>
      <c r="AM206" s="4">
        <v>0</v>
      </c>
      <c r="AN206" s="4">
        <v>0</v>
      </c>
      <c r="AO206" s="4">
        <v>0</v>
      </c>
      <c r="AP206" s="4">
        <v>0</v>
      </c>
      <c r="AQ206" s="4">
        <v>2640000</v>
      </c>
      <c r="AR206" s="4">
        <v>0</v>
      </c>
      <c r="AS206" s="4">
        <v>0</v>
      </c>
      <c r="AT206" s="4">
        <v>0</v>
      </c>
      <c r="AU206" s="4">
        <v>0</v>
      </c>
      <c r="AV206" s="4">
        <v>0</v>
      </c>
      <c r="AW206" s="4">
        <v>0</v>
      </c>
      <c r="AX206" s="4">
        <v>2640000</v>
      </c>
      <c r="AY206" s="4">
        <v>2640000</v>
      </c>
    </row>
    <row r="207" spans="1:51">
      <c r="A207" s="3" t="s">
        <v>52</v>
      </c>
      <c r="B207" s="3" t="s">
        <v>53</v>
      </c>
      <c r="C207" s="3" t="s">
        <v>54</v>
      </c>
      <c r="D207" s="3" t="s">
        <v>55</v>
      </c>
      <c r="E207" s="3" t="s">
        <v>56</v>
      </c>
      <c r="F207" s="3" t="s">
        <v>57</v>
      </c>
      <c r="G207" s="3" t="s">
        <v>58</v>
      </c>
      <c r="H207" s="3" t="s">
        <v>59</v>
      </c>
      <c r="I207" s="3" t="s">
        <v>60</v>
      </c>
      <c r="J207" s="3" t="s">
        <v>61</v>
      </c>
      <c r="K207" s="3" t="s">
        <v>62</v>
      </c>
      <c r="L207" s="3" t="s">
        <v>63</v>
      </c>
      <c r="M207" s="3" t="s">
        <v>400</v>
      </c>
      <c r="N207" s="3" t="s">
        <v>401</v>
      </c>
      <c r="O207" s="3" t="s">
        <v>402</v>
      </c>
      <c r="P207" s="3" t="s">
        <v>403</v>
      </c>
      <c r="Q207" s="3" t="s">
        <v>404</v>
      </c>
      <c r="R207" s="3" t="s">
        <v>405</v>
      </c>
      <c r="S207" s="3" t="s">
        <v>128</v>
      </c>
      <c r="T207" s="3" t="s">
        <v>409</v>
      </c>
      <c r="U207" s="3" t="s">
        <v>54</v>
      </c>
      <c r="V207" s="3" t="s">
        <v>72</v>
      </c>
      <c r="W207" s="3" t="s">
        <v>94</v>
      </c>
      <c r="X207" s="3" t="s">
        <v>95</v>
      </c>
      <c r="Y207" s="3" t="s">
        <v>96</v>
      </c>
      <c r="Z207" s="3" t="s">
        <v>95</v>
      </c>
      <c r="AA207" s="3" t="s">
        <v>449</v>
      </c>
      <c r="AB207" s="4">
        <v>0</v>
      </c>
      <c r="AC207" s="4">
        <v>0</v>
      </c>
      <c r="AD207" s="4">
        <v>1290000</v>
      </c>
      <c r="AE207" s="4">
        <v>1290000</v>
      </c>
      <c r="AF207" s="4">
        <v>0</v>
      </c>
      <c r="AG207" s="4">
        <v>0</v>
      </c>
      <c r="AH207" s="4">
        <v>0</v>
      </c>
      <c r="AI207" s="4">
        <v>0</v>
      </c>
      <c r="AJ207" s="4">
        <v>0</v>
      </c>
      <c r="AK207" s="4">
        <v>0</v>
      </c>
      <c r="AL207" s="4">
        <v>0</v>
      </c>
      <c r="AM207" s="4">
        <v>0</v>
      </c>
      <c r="AN207" s="4">
        <v>0</v>
      </c>
      <c r="AO207" s="4">
        <v>0</v>
      </c>
      <c r="AP207" s="4">
        <v>0</v>
      </c>
      <c r="AQ207" s="4">
        <v>1290000</v>
      </c>
      <c r="AR207" s="4">
        <v>0</v>
      </c>
      <c r="AS207" s="4">
        <v>0</v>
      </c>
      <c r="AT207" s="4">
        <v>0</v>
      </c>
      <c r="AU207" s="4">
        <v>0</v>
      </c>
      <c r="AV207" s="4">
        <v>0</v>
      </c>
      <c r="AW207" s="4">
        <v>0</v>
      </c>
      <c r="AX207" s="4">
        <v>1290000</v>
      </c>
      <c r="AY207" s="4">
        <v>1290000</v>
      </c>
    </row>
    <row r="208" spans="1:51">
      <c r="A208" s="3" t="s">
        <v>52</v>
      </c>
      <c r="B208" s="3" t="s">
        <v>53</v>
      </c>
      <c r="C208" s="3" t="s">
        <v>54</v>
      </c>
      <c r="D208" s="3" t="s">
        <v>55</v>
      </c>
      <c r="E208" s="3" t="s">
        <v>56</v>
      </c>
      <c r="F208" s="3" t="s">
        <v>57</v>
      </c>
      <c r="G208" s="3" t="s">
        <v>58</v>
      </c>
      <c r="H208" s="3" t="s">
        <v>59</v>
      </c>
      <c r="I208" s="3" t="s">
        <v>60</v>
      </c>
      <c r="J208" s="3" t="s">
        <v>61</v>
      </c>
      <c r="K208" s="3" t="s">
        <v>62</v>
      </c>
      <c r="L208" s="3" t="s">
        <v>63</v>
      </c>
      <c r="M208" s="3" t="s">
        <v>400</v>
      </c>
      <c r="N208" s="3" t="s">
        <v>401</v>
      </c>
      <c r="O208" s="3" t="s">
        <v>402</v>
      </c>
      <c r="P208" s="3" t="s">
        <v>403</v>
      </c>
      <c r="Q208" s="3" t="s">
        <v>404</v>
      </c>
      <c r="R208" s="3" t="s">
        <v>405</v>
      </c>
      <c r="S208" s="3" t="s">
        <v>128</v>
      </c>
      <c r="T208" s="3" t="s">
        <v>409</v>
      </c>
      <c r="U208" s="3" t="s">
        <v>54</v>
      </c>
      <c r="V208" s="3" t="s">
        <v>72</v>
      </c>
      <c r="W208" s="3" t="s">
        <v>94</v>
      </c>
      <c r="X208" s="3" t="s">
        <v>95</v>
      </c>
      <c r="Y208" s="3" t="s">
        <v>96</v>
      </c>
      <c r="Z208" s="3" t="s">
        <v>95</v>
      </c>
      <c r="AA208" s="3" t="s">
        <v>450</v>
      </c>
      <c r="AB208" s="4">
        <v>0</v>
      </c>
      <c r="AC208" s="4">
        <v>0</v>
      </c>
      <c r="AD208" s="4">
        <v>990000</v>
      </c>
      <c r="AE208" s="4">
        <v>990000</v>
      </c>
      <c r="AF208" s="4">
        <v>0</v>
      </c>
      <c r="AG208" s="4">
        <v>0</v>
      </c>
      <c r="AH208" s="4">
        <v>0</v>
      </c>
      <c r="AI208" s="4">
        <v>0</v>
      </c>
      <c r="AJ208" s="4">
        <v>0</v>
      </c>
      <c r="AK208" s="4">
        <v>0</v>
      </c>
      <c r="AL208" s="4">
        <v>0</v>
      </c>
      <c r="AM208" s="4">
        <v>0</v>
      </c>
      <c r="AN208" s="4">
        <v>0</v>
      </c>
      <c r="AO208" s="4">
        <v>0</v>
      </c>
      <c r="AP208" s="4">
        <v>0</v>
      </c>
      <c r="AQ208" s="4">
        <v>990000</v>
      </c>
      <c r="AR208" s="4">
        <v>0</v>
      </c>
      <c r="AS208" s="4">
        <v>0</v>
      </c>
      <c r="AT208" s="4">
        <v>0</v>
      </c>
      <c r="AU208" s="4">
        <v>0</v>
      </c>
      <c r="AV208" s="4">
        <v>0</v>
      </c>
      <c r="AW208" s="4">
        <v>0</v>
      </c>
      <c r="AX208" s="4">
        <v>990000</v>
      </c>
      <c r="AY208" s="4">
        <v>990000</v>
      </c>
    </row>
    <row r="209" spans="1:51">
      <c r="A209" s="3" t="s">
        <v>52</v>
      </c>
      <c r="B209" s="3" t="s">
        <v>53</v>
      </c>
      <c r="C209" s="3" t="s">
        <v>54</v>
      </c>
      <c r="D209" s="3" t="s">
        <v>55</v>
      </c>
      <c r="E209" s="3" t="s">
        <v>56</v>
      </c>
      <c r="F209" s="3" t="s">
        <v>57</v>
      </c>
      <c r="G209" s="3" t="s">
        <v>58</v>
      </c>
      <c r="H209" s="3" t="s">
        <v>59</v>
      </c>
      <c r="I209" s="3" t="s">
        <v>60</v>
      </c>
      <c r="J209" s="3" t="s">
        <v>61</v>
      </c>
      <c r="K209" s="3" t="s">
        <v>62</v>
      </c>
      <c r="L209" s="3" t="s">
        <v>63</v>
      </c>
      <c r="M209" s="3" t="s">
        <v>400</v>
      </c>
      <c r="N209" s="3" t="s">
        <v>401</v>
      </c>
      <c r="O209" s="3" t="s">
        <v>402</v>
      </c>
      <c r="P209" s="3" t="s">
        <v>403</v>
      </c>
      <c r="Q209" s="3" t="s">
        <v>404</v>
      </c>
      <c r="R209" s="3" t="s">
        <v>405</v>
      </c>
      <c r="S209" s="3" t="s">
        <v>128</v>
      </c>
      <c r="T209" s="3" t="s">
        <v>409</v>
      </c>
      <c r="U209" s="3" t="s">
        <v>54</v>
      </c>
      <c r="V209" s="3" t="s">
        <v>72</v>
      </c>
      <c r="W209" s="3" t="s">
        <v>94</v>
      </c>
      <c r="X209" s="3" t="s">
        <v>95</v>
      </c>
      <c r="Y209" s="3" t="s">
        <v>96</v>
      </c>
      <c r="Z209" s="3" t="s">
        <v>95</v>
      </c>
      <c r="AA209" s="3" t="s">
        <v>451</v>
      </c>
      <c r="AB209" s="4">
        <v>0</v>
      </c>
      <c r="AC209" s="4">
        <v>0</v>
      </c>
      <c r="AD209" s="4">
        <v>1575000</v>
      </c>
      <c r="AE209" s="4">
        <v>1575000</v>
      </c>
      <c r="AF209" s="4">
        <v>0</v>
      </c>
      <c r="AG209" s="4">
        <v>0</v>
      </c>
      <c r="AH209" s="4">
        <v>0</v>
      </c>
      <c r="AI209" s="4">
        <v>0</v>
      </c>
      <c r="AJ209" s="4">
        <v>0</v>
      </c>
      <c r="AK209" s="4">
        <v>0</v>
      </c>
      <c r="AL209" s="4">
        <v>0</v>
      </c>
      <c r="AM209" s="4">
        <v>0</v>
      </c>
      <c r="AN209" s="4">
        <v>0</v>
      </c>
      <c r="AO209" s="4">
        <v>0</v>
      </c>
      <c r="AP209" s="4">
        <v>0</v>
      </c>
      <c r="AQ209" s="4">
        <v>1575000</v>
      </c>
      <c r="AR209" s="4">
        <v>0</v>
      </c>
      <c r="AS209" s="4">
        <v>0</v>
      </c>
      <c r="AT209" s="4">
        <v>0</v>
      </c>
      <c r="AU209" s="4">
        <v>0</v>
      </c>
      <c r="AV209" s="4">
        <v>0</v>
      </c>
      <c r="AW209" s="4">
        <v>0</v>
      </c>
      <c r="AX209" s="4">
        <v>1575000</v>
      </c>
      <c r="AY209" s="4">
        <v>1575000</v>
      </c>
    </row>
    <row r="210" spans="1:51">
      <c r="A210" s="3" t="s">
        <v>52</v>
      </c>
      <c r="B210" s="3" t="s">
        <v>53</v>
      </c>
      <c r="C210" s="3" t="s">
        <v>54</v>
      </c>
      <c r="D210" s="3" t="s">
        <v>55</v>
      </c>
      <c r="E210" s="3" t="s">
        <v>56</v>
      </c>
      <c r="F210" s="3" t="s">
        <v>57</v>
      </c>
      <c r="G210" s="3" t="s">
        <v>58</v>
      </c>
      <c r="H210" s="3" t="s">
        <v>59</v>
      </c>
      <c r="I210" s="3" t="s">
        <v>60</v>
      </c>
      <c r="J210" s="3" t="s">
        <v>61</v>
      </c>
      <c r="K210" s="3" t="s">
        <v>62</v>
      </c>
      <c r="L210" s="3" t="s">
        <v>63</v>
      </c>
      <c r="M210" s="3" t="s">
        <v>400</v>
      </c>
      <c r="N210" s="3" t="s">
        <v>401</v>
      </c>
      <c r="O210" s="3" t="s">
        <v>402</v>
      </c>
      <c r="P210" s="3" t="s">
        <v>403</v>
      </c>
      <c r="Q210" s="3" t="s">
        <v>404</v>
      </c>
      <c r="R210" s="3" t="s">
        <v>405</v>
      </c>
      <c r="S210" s="3" t="s">
        <v>128</v>
      </c>
      <c r="T210" s="3" t="s">
        <v>409</v>
      </c>
      <c r="U210" s="3" t="s">
        <v>54</v>
      </c>
      <c r="V210" s="3" t="s">
        <v>72</v>
      </c>
      <c r="W210" s="3" t="s">
        <v>94</v>
      </c>
      <c r="X210" s="3" t="s">
        <v>95</v>
      </c>
      <c r="Y210" s="3" t="s">
        <v>96</v>
      </c>
      <c r="Z210" s="3" t="s">
        <v>95</v>
      </c>
      <c r="AA210" s="3" t="s">
        <v>452</v>
      </c>
      <c r="AB210" s="4">
        <v>0</v>
      </c>
      <c r="AC210" s="4">
        <v>0</v>
      </c>
      <c r="AD210" s="4">
        <v>875000</v>
      </c>
      <c r="AE210" s="4">
        <v>875000</v>
      </c>
      <c r="AF210" s="4">
        <v>0</v>
      </c>
      <c r="AG210" s="4">
        <v>0</v>
      </c>
      <c r="AH210" s="4">
        <v>0</v>
      </c>
      <c r="AI210" s="4">
        <v>0</v>
      </c>
      <c r="AJ210" s="4">
        <v>0</v>
      </c>
      <c r="AK210" s="4">
        <v>0</v>
      </c>
      <c r="AL210" s="4">
        <v>0</v>
      </c>
      <c r="AM210" s="4">
        <v>0</v>
      </c>
      <c r="AN210" s="4">
        <v>0</v>
      </c>
      <c r="AO210" s="4">
        <v>0</v>
      </c>
      <c r="AP210" s="4">
        <v>0</v>
      </c>
      <c r="AQ210" s="4">
        <v>875000</v>
      </c>
      <c r="AR210" s="4">
        <v>0</v>
      </c>
      <c r="AS210" s="4">
        <v>0</v>
      </c>
      <c r="AT210" s="4">
        <v>0</v>
      </c>
      <c r="AU210" s="4">
        <v>0</v>
      </c>
      <c r="AV210" s="4">
        <v>0</v>
      </c>
      <c r="AW210" s="4">
        <v>0</v>
      </c>
      <c r="AX210" s="4">
        <v>875000</v>
      </c>
      <c r="AY210" s="4">
        <v>875000</v>
      </c>
    </row>
    <row r="211" spans="1:51">
      <c r="A211" s="3" t="s">
        <v>52</v>
      </c>
      <c r="B211" s="3" t="s">
        <v>53</v>
      </c>
      <c r="C211" s="3" t="s">
        <v>54</v>
      </c>
      <c r="D211" s="3" t="s">
        <v>55</v>
      </c>
      <c r="E211" s="3" t="s">
        <v>56</v>
      </c>
      <c r="F211" s="3" t="s">
        <v>57</v>
      </c>
      <c r="G211" s="3" t="s">
        <v>58</v>
      </c>
      <c r="H211" s="3" t="s">
        <v>59</v>
      </c>
      <c r="I211" s="3" t="s">
        <v>60</v>
      </c>
      <c r="J211" s="3" t="s">
        <v>61</v>
      </c>
      <c r="K211" s="3" t="s">
        <v>62</v>
      </c>
      <c r="L211" s="3" t="s">
        <v>63</v>
      </c>
      <c r="M211" s="3" t="s">
        <v>400</v>
      </c>
      <c r="N211" s="3" t="s">
        <v>401</v>
      </c>
      <c r="O211" s="3" t="s">
        <v>402</v>
      </c>
      <c r="P211" s="3" t="s">
        <v>403</v>
      </c>
      <c r="Q211" s="3" t="s">
        <v>404</v>
      </c>
      <c r="R211" s="3" t="s">
        <v>405</v>
      </c>
      <c r="S211" s="3" t="s">
        <v>128</v>
      </c>
      <c r="T211" s="3" t="s">
        <v>409</v>
      </c>
      <c r="U211" s="3" t="s">
        <v>54</v>
      </c>
      <c r="V211" s="3" t="s">
        <v>72</v>
      </c>
      <c r="W211" s="3" t="s">
        <v>94</v>
      </c>
      <c r="X211" s="3" t="s">
        <v>95</v>
      </c>
      <c r="Y211" s="3" t="s">
        <v>96</v>
      </c>
      <c r="Z211" s="3" t="s">
        <v>95</v>
      </c>
      <c r="AA211" s="3" t="s">
        <v>453</v>
      </c>
      <c r="AB211" s="4">
        <v>0</v>
      </c>
      <c r="AC211" s="4">
        <v>0</v>
      </c>
      <c r="AD211" s="4">
        <v>1567000</v>
      </c>
      <c r="AE211" s="4">
        <v>1567000</v>
      </c>
      <c r="AF211" s="4">
        <v>0</v>
      </c>
      <c r="AG211" s="4">
        <v>0</v>
      </c>
      <c r="AH211" s="4">
        <v>0</v>
      </c>
      <c r="AI211" s="4">
        <v>0</v>
      </c>
      <c r="AJ211" s="4">
        <v>0</v>
      </c>
      <c r="AK211" s="4">
        <v>0</v>
      </c>
      <c r="AL211" s="4">
        <v>0</v>
      </c>
      <c r="AM211" s="4">
        <v>0</v>
      </c>
      <c r="AN211" s="4">
        <v>0</v>
      </c>
      <c r="AO211" s="4">
        <v>0</v>
      </c>
      <c r="AP211" s="4">
        <v>0</v>
      </c>
      <c r="AQ211" s="4">
        <v>1567000</v>
      </c>
      <c r="AR211" s="4">
        <v>0</v>
      </c>
      <c r="AS211" s="4">
        <v>0</v>
      </c>
      <c r="AT211" s="4">
        <v>0</v>
      </c>
      <c r="AU211" s="4">
        <v>0</v>
      </c>
      <c r="AV211" s="4">
        <v>0</v>
      </c>
      <c r="AW211" s="4">
        <v>0</v>
      </c>
      <c r="AX211" s="4">
        <v>1567000</v>
      </c>
      <c r="AY211" s="4">
        <v>1567000</v>
      </c>
    </row>
    <row r="212" spans="1:51">
      <c r="A212" s="3" t="s">
        <v>52</v>
      </c>
      <c r="B212" s="3" t="s">
        <v>53</v>
      </c>
      <c r="C212" s="3" t="s">
        <v>54</v>
      </c>
      <c r="D212" s="3" t="s">
        <v>55</v>
      </c>
      <c r="E212" s="3" t="s">
        <v>56</v>
      </c>
      <c r="F212" s="3" t="s">
        <v>57</v>
      </c>
      <c r="G212" s="3" t="s">
        <v>58</v>
      </c>
      <c r="H212" s="3" t="s">
        <v>59</v>
      </c>
      <c r="I212" s="3" t="s">
        <v>60</v>
      </c>
      <c r="J212" s="3" t="s">
        <v>61</v>
      </c>
      <c r="K212" s="3" t="s">
        <v>62</v>
      </c>
      <c r="L212" s="3" t="s">
        <v>63</v>
      </c>
      <c r="M212" s="3" t="s">
        <v>400</v>
      </c>
      <c r="N212" s="3" t="s">
        <v>401</v>
      </c>
      <c r="O212" s="3" t="s">
        <v>402</v>
      </c>
      <c r="P212" s="3" t="s">
        <v>403</v>
      </c>
      <c r="Q212" s="3" t="s">
        <v>404</v>
      </c>
      <c r="R212" s="3" t="s">
        <v>405</v>
      </c>
      <c r="S212" s="3" t="s">
        <v>128</v>
      </c>
      <c r="T212" s="3" t="s">
        <v>409</v>
      </c>
      <c r="U212" s="3" t="s">
        <v>54</v>
      </c>
      <c r="V212" s="3" t="s">
        <v>72</v>
      </c>
      <c r="W212" s="3" t="s">
        <v>94</v>
      </c>
      <c r="X212" s="3" t="s">
        <v>95</v>
      </c>
      <c r="Y212" s="3" t="s">
        <v>96</v>
      </c>
      <c r="Z212" s="3" t="s">
        <v>95</v>
      </c>
      <c r="AA212" s="3" t="s">
        <v>454</v>
      </c>
      <c r="AB212" s="4">
        <v>0</v>
      </c>
      <c r="AC212" s="4">
        <v>0</v>
      </c>
      <c r="AD212" s="4">
        <v>2604000</v>
      </c>
      <c r="AE212" s="4">
        <v>2604000</v>
      </c>
      <c r="AF212" s="4">
        <v>0</v>
      </c>
      <c r="AG212" s="4">
        <v>0</v>
      </c>
      <c r="AH212" s="4">
        <v>0</v>
      </c>
      <c r="AI212" s="4">
        <v>0</v>
      </c>
      <c r="AJ212" s="4">
        <v>0</v>
      </c>
      <c r="AK212" s="4">
        <v>0</v>
      </c>
      <c r="AL212" s="4">
        <v>0</v>
      </c>
      <c r="AM212" s="4">
        <v>0</v>
      </c>
      <c r="AN212" s="4">
        <v>0</v>
      </c>
      <c r="AO212" s="4">
        <v>0</v>
      </c>
      <c r="AP212" s="4">
        <v>0</v>
      </c>
      <c r="AQ212" s="4">
        <v>2604000</v>
      </c>
      <c r="AR212" s="4">
        <v>0</v>
      </c>
      <c r="AS212" s="4">
        <v>0</v>
      </c>
      <c r="AT212" s="4">
        <v>0</v>
      </c>
      <c r="AU212" s="4">
        <v>0</v>
      </c>
      <c r="AV212" s="4">
        <v>0</v>
      </c>
      <c r="AW212" s="4">
        <v>0</v>
      </c>
      <c r="AX212" s="4">
        <v>2604000</v>
      </c>
      <c r="AY212" s="4">
        <v>2604000</v>
      </c>
    </row>
    <row r="213" spans="1:51">
      <c r="A213" s="3" t="s">
        <v>52</v>
      </c>
      <c r="B213" s="3" t="s">
        <v>53</v>
      </c>
      <c r="C213" s="3" t="s">
        <v>54</v>
      </c>
      <c r="D213" s="3" t="s">
        <v>55</v>
      </c>
      <c r="E213" s="3" t="s">
        <v>56</v>
      </c>
      <c r="F213" s="3" t="s">
        <v>57</v>
      </c>
      <c r="G213" s="3" t="s">
        <v>58</v>
      </c>
      <c r="H213" s="3" t="s">
        <v>59</v>
      </c>
      <c r="I213" s="3" t="s">
        <v>60</v>
      </c>
      <c r="J213" s="3" t="s">
        <v>61</v>
      </c>
      <c r="K213" s="3" t="s">
        <v>62</v>
      </c>
      <c r="L213" s="3" t="s">
        <v>63</v>
      </c>
      <c r="M213" s="3" t="s">
        <v>400</v>
      </c>
      <c r="N213" s="3" t="s">
        <v>401</v>
      </c>
      <c r="O213" s="3" t="s">
        <v>402</v>
      </c>
      <c r="P213" s="3" t="s">
        <v>403</v>
      </c>
      <c r="Q213" s="3" t="s">
        <v>404</v>
      </c>
      <c r="R213" s="3" t="s">
        <v>405</v>
      </c>
      <c r="S213" s="3" t="s">
        <v>128</v>
      </c>
      <c r="T213" s="3" t="s">
        <v>409</v>
      </c>
      <c r="U213" s="3" t="s">
        <v>54</v>
      </c>
      <c r="V213" s="3" t="s">
        <v>72</v>
      </c>
      <c r="W213" s="3" t="s">
        <v>94</v>
      </c>
      <c r="X213" s="3" t="s">
        <v>95</v>
      </c>
      <c r="Y213" s="3" t="s">
        <v>96</v>
      </c>
      <c r="Z213" s="3" t="s">
        <v>95</v>
      </c>
      <c r="AA213" s="3" t="s">
        <v>455</v>
      </c>
      <c r="AB213" s="4">
        <v>0</v>
      </c>
      <c r="AC213" s="4">
        <v>0</v>
      </c>
      <c r="AD213" s="4">
        <v>1053000</v>
      </c>
      <c r="AE213" s="4">
        <v>1053000</v>
      </c>
      <c r="AF213" s="4">
        <v>0</v>
      </c>
      <c r="AG213" s="4">
        <v>0</v>
      </c>
      <c r="AH213" s="4">
        <v>0</v>
      </c>
      <c r="AI213" s="4">
        <v>0</v>
      </c>
      <c r="AJ213" s="4">
        <v>0</v>
      </c>
      <c r="AK213" s="4">
        <v>0</v>
      </c>
      <c r="AL213" s="4">
        <v>0</v>
      </c>
      <c r="AM213" s="4">
        <v>0</v>
      </c>
      <c r="AN213" s="4">
        <v>0</v>
      </c>
      <c r="AO213" s="4">
        <v>0</v>
      </c>
      <c r="AP213" s="4">
        <v>0</v>
      </c>
      <c r="AQ213" s="4">
        <v>1053000</v>
      </c>
      <c r="AR213" s="4">
        <v>0</v>
      </c>
      <c r="AS213" s="4">
        <v>0</v>
      </c>
      <c r="AT213" s="4">
        <v>0</v>
      </c>
      <c r="AU213" s="4">
        <v>0</v>
      </c>
      <c r="AV213" s="4">
        <v>0</v>
      </c>
      <c r="AW213" s="4">
        <v>0</v>
      </c>
      <c r="AX213" s="4">
        <v>1053000</v>
      </c>
      <c r="AY213" s="4">
        <v>1053000</v>
      </c>
    </row>
    <row r="214" spans="1:51">
      <c r="A214" s="3" t="s">
        <v>52</v>
      </c>
      <c r="B214" s="3" t="s">
        <v>53</v>
      </c>
      <c r="C214" s="3" t="s">
        <v>54</v>
      </c>
      <c r="D214" s="3" t="s">
        <v>55</v>
      </c>
      <c r="E214" s="3" t="s">
        <v>56</v>
      </c>
      <c r="F214" s="3" t="s">
        <v>57</v>
      </c>
      <c r="G214" s="3" t="s">
        <v>58</v>
      </c>
      <c r="H214" s="3" t="s">
        <v>59</v>
      </c>
      <c r="I214" s="3" t="s">
        <v>60</v>
      </c>
      <c r="J214" s="3" t="s">
        <v>61</v>
      </c>
      <c r="K214" s="3" t="s">
        <v>62</v>
      </c>
      <c r="L214" s="3" t="s">
        <v>63</v>
      </c>
      <c r="M214" s="3" t="s">
        <v>400</v>
      </c>
      <c r="N214" s="3" t="s">
        <v>401</v>
      </c>
      <c r="O214" s="3" t="s">
        <v>402</v>
      </c>
      <c r="P214" s="3" t="s">
        <v>403</v>
      </c>
      <c r="Q214" s="3" t="s">
        <v>404</v>
      </c>
      <c r="R214" s="3" t="s">
        <v>405</v>
      </c>
      <c r="S214" s="3" t="s">
        <v>128</v>
      </c>
      <c r="T214" s="3" t="s">
        <v>409</v>
      </c>
      <c r="U214" s="3" t="s">
        <v>54</v>
      </c>
      <c r="V214" s="3" t="s">
        <v>72</v>
      </c>
      <c r="W214" s="3" t="s">
        <v>94</v>
      </c>
      <c r="X214" s="3" t="s">
        <v>95</v>
      </c>
      <c r="Y214" s="3" t="s">
        <v>96</v>
      </c>
      <c r="Z214" s="3" t="s">
        <v>95</v>
      </c>
      <c r="AA214" s="3" t="s">
        <v>456</v>
      </c>
      <c r="AB214" s="4">
        <v>0</v>
      </c>
      <c r="AC214" s="4">
        <v>0</v>
      </c>
      <c r="AD214" s="4">
        <v>152000</v>
      </c>
      <c r="AE214" s="4">
        <v>152000</v>
      </c>
      <c r="AF214" s="4">
        <v>0</v>
      </c>
      <c r="AG214" s="4">
        <v>0</v>
      </c>
      <c r="AH214" s="4">
        <v>0</v>
      </c>
      <c r="AI214" s="4">
        <v>0</v>
      </c>
      <c r="AJ214" s="4">
        <v>0</v>
      </c>
      <c r="AK214" s="4">
        <v>0</v>
      </c>
      <c r="AL214" s="4">
        <v>0</v>
      </c>
      <c r="AM214" s="4">
        <v>0</v>
      </c>
      <c r="AN214" s="4">
        <v>0</v>
      </c>
      <c r="AO214" s="4">
        <v>0</v>
      </c>
      <c r="AP214" s="4">
        <v>0</v>
      </c>
      <c r="AQ214" s="4">
        <v>152000</v>
      </c>
      <c r="AR214" s="4">
        <v>0</v>
      </c>
      <c r="AS214" s="4">
        <v>0</v>
      </c>
      <c r="AT214" s="4">
        <v>0</v>
      </c>
      <c r="AU214" s="4">
        <v>0</v>
      </c>
      <c r="AV214" s="4">
        <v>0</v>
      </c>
      <c r="AW214" s="4">
        <v>0</v>
      </c>
      <c r="AX214" s="4">
        <v>152000</v>
      </c>
      <c r="AY214" s="4">
        <v>152000</v>
      </c>
    </row>
    <row r="215" spans="1:51">
      <c r="A215" s="3" t="s">
        <v>52</v>
      </c>
      <c r="B215" s="3" t="s">
        <v>53</v>
      </c>
      <c r="C215" s="3" t="s">
        <v>54</v>
      </c>
      <c r="D215" s="3" t="s">
        <v>55</v>
      </c>
      <c r="E215" s="3" t="s">
        <v>56</v>
      </c>
      <c r="F215" s="3" t="s">
        <v>57</v>
      </c>
      <c r="G215" s="3" t="s">
        <v>58</v>
      </c>
      <c r="H215" s="3" t="s">
        <v>59</v>
      </c>
      <c r="I215" s="3" t="s">
        <v>60</v>
      </c>
      <c r="J215" s="3" t="s">
        <v>61</v>
      </c>
      <c r="K215" s="3" t="s">
        <v>62</v>
      </c>
      <c r="L215" s="3" t="s">
        <v>63</v>
      </c>
      <c r="M215" s="3" t="s">
        <v>400</v>
      </c>
      <c r="N215" s="3" t="s">
        <v>401</v>
      </c>
      <c r="O215" s="3" t="s">
        <v>402</v>
      </c>
      <c r="P215" s="3" t="s">
        <v>403</v>
      </c>
      <c r="Q215" s="3" t="s">
        <v>404</v>
      </c>
      <c r="R215" s="3" t="s">
        <v>405</v>
      </c>
      <c r="S215" s="3" t="s">
        <v>128</v>
      </c>
      <c r="T215" s="3" t="s">
        <v>409</v>
      </c>
      <c r="U215" s="3" t="s">
        <v>54</v>
      </c>
      <c r="V215" s="3" t="s">
        <v>72</v>
      </c>
      <c r="W215" s="3" t="s">
        <v>94</v>
      </c>
      <c r="X215" s="3" t="s">
        <v>95</v>
      </c>
      <c r="Y215" s="3" t="s">
        <v>96</v>
      </c>
      <c r="Z215" s="3" t="s">
        <v>95</v>
      </c>
      <c r="AA215" s="3" t="s">
        <v>457</v>
      </c>
      <c r="AB215" s="4">
        <v>0</v>
      </c>
      <c r="AC215" s="4">
        <v>0</v>
      </c>
      <c r="AD215" s="4">
        <v>1090000</v>
      </c>
      <c r="AE215" s="4">
        <v>1090000</v>
      </c>
      <c r="AF215" s="4">
        <v>0</v>
      </c>
      <c r="AG215" s="4">
        <v>0</v>
      </c>
      <c r="AH215" s="4">
        <v>0</v>
      </c>
      <c r="AI215" s="4">
        <v>0</v>
      </c>
      <c r="AJ215" s="4">
        <v>0</v>
      </c>
      <c r="AK215" s="4">
        <v>0</v>
      </c>
      <c r="AL215" s="4">
        <v>0</v>
      </c>
      <c r="AM215" s="4">
        <v>0</v>
      </c>
      <c r="AN215" s="4">
        <v>0</v>
      </c>
      <c r="AO215" s="4">
        <v>0</v>
      </c>
      <c r="AP215" s="4">
        <v>0</v>
      </c>
      <c r="AQ215" s="4">
        <v>1090000</v>
      </c>
      <c r="AR215" s="4">
        <v>0</v>
      </c>
      <c r="AS215" s="4">
        <v>0</v>
      </c>
      <c r="AT215" s="4">
        <v>0</v>
      </c>
      <c r="AU215" s="4">
        <v>0</v>
      </c>
      <c r="AV215" s="4">
        <v>0</v>
      </c>
      <c r="AW215" s="4">
        <v>0</v>
      </c>
      <c r="AX215" s="4">
        <v>1090000</v>
      </c>
      <c r="AY215" s="4">
        <v>1090000</v>
      </c>
    </row>
    <row r="216" spans="1:51">
      <c r="A216" s="3" t="s">
        <v>52</v>
      </c>
      <c r="B216" s="3" t="s">
        <v>53</v>
      </c>
      <c r="C216" s="3" t="s">
        <v>54</v>
      </c>
      <c r="D216" s="3" t="s">
        <v>55</v>
      </c>
      <c r="E216" s="3" t="s">
        <v>56</v>
      </c>
      <c r="F216" s="3" t="s">
        <v>57</v>
      </c>
      <c r="G216" s="3" t="s">
        <v>58</v>
      </c>
      <c r="H216" s="3" t="s">
        <v>59</v>
      </c>
      <c r="I216" s="3" t="s">
        <v>60</v>
      </c>
      <c r="J216" s="3" t="s">
        <v>61</v>
      </c>
      <c r="K216" s="3" t="s">
        <v>62</v>
      </c>
      <c r="L216" s="3" t="s">
        <v>63</v>
      </c>
      <c r="M216" s="3" t="s">
        <v>400</v>
      </c>
      <c r="N216" s="3" t="s">
        <v>401</v>
      </c>
      <c r="O216" s="3" t="s">
        <v>402</v>
      </c>
      <c r="P216" s="3" t="s">
        <v>403</v>
      </c>
      <c r="Q216" s="3" t="s">
        <v>404</v>
      </c>
      <c r="R216" s="3" t="s">
        <v>405</v>
      </c>
      <c r="S216" s="3" t="s">
        <v>128</v>
      </c>
      <c r="T216" s="3" t="s">
        <v>409</v>
      </c>
      <c r="U216" s="3" t="s">
        <v>54</v>
      </c>
      <c r="V216" s="3" t="s">
        <v>72</v>
      </c>
      <c r="W216" s="3" t="s">
        <v>94</v>
      </c>
      <c r="X216" s="3" t="s">
        <v>95</v>
      </c>
      <c r="Y216" s="3" t="s">
        <v>96</v>
      </c>
      <c r="Z216" s="3" t="s">
        <v>95</v>
      </c>
      <c r="AA216" s="3" t="s">
        <v>458</v>
      </c>
      <c r="AB216" s="4">
        <v>0</v>
      </c>
      <c r="AC216" s="4">
        <v>0</v>
      </c>
      <c r="AD216" s="4">
        <v>1040000</v>
      </c>
      <c r="AE216" s="4">
        <v>1040000</v>
      </c>
      <c r="AF216" s="4">
        <v>0</v>
      </c>
      <c r="AG216" s="4">
        <v>0</v>
      </c>
      <c r="AH216" s="4">
        <v>0</v>
      </c>
      <c r="AI216" s="4">
        <v>0</v>
      </c>
      <c r="AJ216" s="4">
        <v>0</v>
      </c>
      <c r="AK216" s="4">
        <v>0</v>
      </c>
      <c r="AL216" s="4">
        <v>0</v>
      </c>
      <c r="AM216" s="4">
        <v>0</v>
      </c>
      <c r="AN216" s="4">
        <v>0</v>
      </c>
      <c r="AO216" s="4">
        <v>0</v>
      </c>
      <c r="AP216" s="4">
        <v>0</v>
      </c>
      <c r="AQ216" s="4">
        <v>1040000</v>
      </c>
      <c r="AR216" s="4">
        <v>0</v>
      </c>
      <c r="AS216" s="4">
        <v>0</v>
      </c>
      <c r="AT216" s="4">
        <v>0</v>
      </c>
      <c r="AU216" s="4">
        <v>0</v>
      </c>
      <c r="AV216" s="4">
        <v>0</v>
      </c>
      <c r="AW216" s="4">
        <v>0</v>
      </c>
      <c r="AX216" s="4">
        <v>1040000</v>
      </c>
      <c r="AY216" s="4">
        <v>1040000</v>
      </c>
    </row>
    <row r="217" spans="1:51">
      <c r="A217" s="3" t="s">
        <v>52</v>
      </c>
      <c r="B217" s="3" t="s">
        <v>53</v>
      </c>
      <c r="C217" s="3" t="s">
        <v>54</v>
      </c>
      <c r="D217" s="3" t="s">
        <v>55</v>
      </c>
      <c r="E217" s="3" t="s">
        <v>56</v>
      </c>
      <c r="F217" s="3" t="s">
        <v>57</v>
      </c>
      <c r="G217" s="3" t="s">
        <v>58</v>
      </c>
      <c r="H217" s="3" t="s">
        <v>59</v>
      </c>
      <c r="I217" s="3" t="s">
        <v>60</v>
      </c>
      <c r="J217" s="3" t="s">
        <v>61</v>
      </c>
      <c r="K217" s="3" t="s">
        <v>62</v>
      </c>
      <c r="L217" s="3" t="s">
        <v>63</v>
      </c>
      <c r="M217" s="3" t="s">
        <v>400</v>
      </c>
      <c r="N217" s="3" t="s">
        <v>401</v>
      </c>
      <c r="O217" s="3" t="s">
        <v>402</v>
      </c>
      <c r="P217" s="3" t="s">
        <v>403</v>
      </c>
      <c r="Q217" s="3" t="s">
        <v>404</v>
      </c>
      <c r="R217" s="3" t="s">
        <v>405</v>
      </c>
      <c r="S217" s="3" t="s">
        <v>128</v>
      </c>
      <c r="T217" s="3" t="s">
        <v>409</v>
      </c>
      <c r="U217" s="3" t="s">
        <v>54</v>
      </c>
      <c r="V217" s="3" t="s">
        <v>72</v>
      </c>
      <c r="W217" s="3" t="s">
        <v>94</v>
      </c>
      <c r="X217" s="3" t="s">
        <v>95</v>
      </c>
      <c r="Y217" s="3" t="s">
        <v>96</v>
      </c>
      <c r="Z217" s="3" t="s">
        <v>95</v>
      </c>
      <c r="AA217" s="3" t="s">
        <v>459</v>
      </c>
      <c r="AB217" s="4">
        <v>0</v>
      </c>
      <c r="AC217" s="4">
        <v>0</v>
      </c>
      <c r="AD217" s="4">
        <v>3003000</v>
      </c>
      <c r="AE217" s="4">
        <v>3003000</v>
      </c>
      <c r="AF217" s="4">
        <v>0</v>
      </c>
      <c r="AG217" s="4">
        <v>0</v>
      </c>
      <c r="AH217" s="4">
        <v>0</v>
      </c>
      <c r="AI217" s="4">
        <v>0</v>
      </c>
      <c r="AJ217" s="4">
        <v>0</v>
      </c>
      <c r="AK217" s="4">
        <v>0</v>
      </c>
      <c r="AL217" s="4">
        <v>0</v>
      </c>
      <c r="AM217" s="4">
        <v>0</v>
      </c>
      <c r="AN217" s="4">
        <v>0</v>
      </c>
      <c r="AO217" s="4">
        <v>0</v>
      </c>
      <c r="AP217" s="4">
        <v>0</v>
      </c>
      <c r="AQ217" s="4">
        <v>3003000</v>
      </c>
      <c r="AR217" s="4">
        <v>0</v>
      </c>
      <c r="AS217" s="4">
        <v>0</v>
      </c>
      <c r="AT217" s="4">
        <v>0</v>
      </c>
      <c r="AU217" s="4">
        <v>0</v>
      </c>
      <c r="AV217" s="4">
        <v>0</v>
      </c>
      <c r="AW217" s="4">
        <v>0</v>
      </c>
      <c r="AX217" s="4">
        <v>3003000</v>
      </c>
      <c r="AY217" s="4">
        <v>3003000</v>
      </c>
    </row>
    <row r="218" spans="1:51">
      <c r="A218" s="3" t="s">
        <v>52</v>
      </c>
      <c r="B218" s="3" t="s">
        <v>53</v>
      </c>
      <c r="C218" s="3" t="s">
        <v>54</v>
      </c>
      <c r="D218" s="3" t="s">
        <v>55</v>
      </c>
      <c r="E218" s="3" t="s">
        <v>56</v>
      </c>
      <c r="F218" s="3" t="s">
        <v>57</v>
      </c>
      <c r="G218" s="3" t="s">
        <v>58</v>
      </c>
      <c r="H218" s="3" t="s">
        <v>59</v>
      </c>
      <c r="I218" s="3" t="s">
        <v>60</v>
      </c>
      <c r="J218" s="3" t="s">
        <v>61</v>
      </c>
      <c r="K218" s="3" t="s">
        <v>62</v>
      </c>
      <c r="L218" s="3" t="s">
        <v>63</v>
      </c>
      <c r="M218" s="3" t="s">
        <v>400</v>
      </c>
      <c r="N218" s="3" t="s">
        <v>401</v>
      </c>
      <c r="O218" s="3" t="s">
        <v>402</v>
      </c>
      <c r="P218" s="3" t="s">
        <v>403</v>
      </c>
      <c r="Q218" s="3" t="s">
        <v>404</v>
      </c>
      <c r="R218" s="3" t="s">
        <v>405</v>
      </c>
      <c r="S218" s="3" t="s">
        <v>185</v>
      </c>
      <c r="T218" s="3" t="s">
        <v>460</v>
      </c>
      <c r="U218" s="3" t="s">
        <v>54</v>
      </c>
      <c r="V218" s="3" t="s">
        <v>72</v>
      </c>
      <c r="W218" s="3" t="s">
        <v>73</v>
      </c>
      <c r="X218" s="3" t="s">
        <v>74</v>
      </c>
      <c r="Y218" s="3" t="s">
        <v>78</v>
      </c>
      <c r="Z218" s="3" t="s">
        <v>79</v>
      </c>
      <c r="AA218" s="3" t="s">
        <v>461</v>
      </c>
      <c r="AB218" s="4">
        <v>1322000</v>
      </c>
      <c r="AC218" s="4">
        <v>0</v>
      </c>
      <c r="AD218" s="4">
        <v>500000</v>
      </c>
      <c r="AE218" s="4">
        <v>1822000</v>
      </c>
      <c r="AF218" s="4">
        <v>0</v>
      </c>
      <c r="AG218" s="4">
        <v>0</v>
      </c>
      <c r="AH218" s="4">
        <v>0</v>
      </c>
      <c r="AI218" s="4">
        <v>0</v>
      </c>
      <c r="AJ218" s="4">
        <v>0</v>
      </c>
      <c r="AK218" s="4">
        <v>0</v>
      </c>
      <c r="AL218" s="4">
        <v>0</v>
      </c>
      <c r="AM218" s="4">
        <v>0</v>
      </c>
      <c r="AN218" s="4">
        <v>0</v>
      </c>
      <c r="AO218" s="4">
        <v>0</v>
      </c>
      <c r="AP218" s="4">
        <v>0</v>
      </c>
      <c r="AQ218" s="4">
        <v>1822000</v>
      </c>
      <c r="AR218" s="4">
        <v>1821600</v>
      </c>
      <c r="AS218" s="4">
        <v>1821600</v>
      </c>
      <c r="AT218" s="4">
        <v>0</v>
      </c>
      <c r="AU218" s="4">
        <v>0</v>
      </c>
      <c r="AV218" s="4">
        <v>0</v>
      </c>
      <c r="AW218" s="4">
        <v>0</v>
      </c>
      <c r="AX218" s="4">
        <v>400</v>
      </c>
      <c r="AY218" s="4">
        <v>400</v>
      </c>
    </row>
    <row r="219" spans="1:51">
      <c r="A219" s="3" t="s">
        <v>52</v>
      </c>
      <c r="B219" s="3" t="s">
        <v>53</v>
      </c>
      <c r="C219" s="3" t="s">
        <v>54</v>
      </c>
      <c r="D219" s="3" t="s">
        <v>55</v>
      </c>
      <c r="E219" s="3" t="s">
        <v>56</v>
      </c>
      <c r="F219" s="3" t="s">
        <v>57</v>
      </c>
      <c r="G219" s="3" t="s">
        <v>58</v>
      </c>
      <c r="H219" s="3" t="s">
        <v>59</v>
      </c>
      <c r="I219" s="3" t="s">
        <v>60</v>
      </c>
      <c r="J219" s="3" t="s">
        <v>61</v>
      </c>
      <c r="K219" s="3" t="s">
        <v>62</v>
      </c>
      <c r="L219" s="3" t="s">
        <v>63</v>
      </c>
      <c r="M219" s="3" t="s">
        <v>400</v>
      </c>
      <c r="N219" s="3" t="s">
        <v>401</v>
      </c>
      <c r="O219" s="3" t="s">
        <v>402</v>
      </c>
      <c r="P219" s="3" t="s">
        <v>403</v>
      </c>
      <c r="Q219" s="3" t="s">
        <v>404</v>
      </c>
      <c r="R219" s="3" t="s">
        <v>405</v>
      </c>
      <c r="S219" s="3" t="s">
        <v>185</v>
      </c>
      <c r="T219" s="3" t="s">
        <v>460</v>
      </c>
      <c r="U219" s="3" t="s">
        <v>54</v>
      </c>
      <c r="V219" s="3" t="s">
        <v>72</v>
      </c>
      <c r="W219" s="3" t="s">
        <v>73</v>
      </c>
      <c r="X219" s="3" t="s">
        <v>74</v>
      </c>
      <c r="Y219" s="3" t="s">
        <v>78</v>
      </c>
      <c r="Z219" s="3" t="s">
        <v>79</v>
      </c>
      <c r="AA219" s="3" t="s">
        <v>462</v>
      </c>
      <c r="AB219" s="4">
        <v>2063000</v>
      </c>
      <c r="AC219" s="4">
        <v>0</v>
      </c>
      <c r="AD219" s="4">
        <v>0</v>
      </c>
      <c r="AE219" s="4">
        <v>2063000</v>
      </c>
      <c r="AF219" s="4">
        <v>0</v>
      </c>
      <c r="AG219" s="4">
        <v>0</v>
      </c>
      <c r="AH219" s="4">
        <v>0</v>
      </c>
      <c r="AI219" s="4">
        <v>0</v>
      </c>
      <c r="AJ219" s="4">
        <v>0</v>
      </c>
      <c r="AK219" s="4">
        <v>0</v>
      </c>
      <c r="AL219" s="4">
        <v>0</v>
      </c>
      <c r="AM219" s="4">
        <v>0</v>
      </c>
      <c r="AN219" s="4">
        <v>0</v>
      </c>
      <c r="AO219" s="4">
        <v>0</v>
      </c>
      <c r="AP219" s="4">
        <v>0</v>
      </c>
      <c r="AQ219" s="4">
        <v>2063000</v>
      </c>
      <c r="AR219" s="4">
        <v>1578320</v>
      </c>
      <c r="AS219" s="4">
        <v>1578320</v>
      </c>
      <c r="AT219" s="4">
        <v>0</v>
      </c>
      <c r="AU219" s="4">
        <v>0</v>
      </c>
      <c r="AV219" s="4">
        <v>0</v>
      </c>
      <c r="AW219" s="4">
        <v>0</v>
      </c>
      <c r="AX219" s="4">
        <v>484680</v>
      </c>
      <c r="AY219" s="4">
        <v>484680</v>
      </c>
    </row>
    <row r="220" spans="1:51">
      <c r="A220" s="3" t="s">
        <v>52</v>
      </c>
      <c r="B220" s="3" t="s">
        <v>53</v>
      </c>
      <c r="C220" s="3" t="s">
        <v>54</v>
      </c>
      <c r="D220" s="3" t="s">
        <v>55</v>
      </c>
      <c r="E220" s="3" t="s">
        <v>56</v>
      </c>
      <c r="F220" s="3" t="s">
        <v>57</v>
      </c>
      <c r="G220" s="3" t="s">
        <v>58</v>
      </c>
      <c r="H220" s="3" t="s">
        <v>59</v>
      </c>
      <c r="I220" s="3" t="s">
        <v>60</v>
      </c>
      <c r="J220" s="3" t="s">
        <v>61</v>
      </c>
      <c r="K220" s="3" t="s">
        <v>62</v>
      </c>
      <c r="L220" s="3" t="s">
        <v>63</v>
      </c>
      <c r="M220" s="3" t="s">
        <v>400</v>
      </c>
      <c r="N220" s="3" t="s">
        <v>401</v>
      </c>
      <c r="O220" s="3" t="s">
        <v>402</v>
      </c>
      <c r="P220" s="3" t="s">
        <v>403</v>
      </c>
      <c r="Q220" s="3" t="s">
        <v>404</v>
      </c>
      <c r="R220" s="3" t="s">
        <v>405</v>
      </c>
      <c r="S220" s="3" t="s">
        <v>185</v>
      </c>
      <c r="T220" s="3" t="s">
        <v>460</v>
      </c>
      <c r="U220" s="3" t="s">
        <v>54</v>
      </c>
      <c r="V220" s="3" t="s">
        <v>72</v>
      </c>
      <c r="W220" s="3" t="s">
        <v>73</v>
      </c>
      <c r="X220" s="3" t="s">
        <v>74</v>
      </c>
      <c r="Y220" s="3" t="s">
        <v>78</v>
      </c>
      <c r="Z220" s="3" t="s">
        <v>79</v>
      </c>
      <c r="AA220" s="3" t="s">
        <v>463</v>
      </c>
      <c r="AB220" s="4">
        <v>3705000</v>
      </c>
      <c r="AC220" s="4">
        <v>0</v>
      </c>
      <c r="AD220" s="4">
        <v>0</v>
      </c>
      <c r="AE220" s="4">
        <v>3705000</v>
      </c>
      <c r="AF220" s="4">
        <v>0</v>
      </c>
      <c r="AG220" s="4">
        <v>0</v>
      </c>
      <c r="AH220" s="4">
        <v>0</v>
      </c>
      <c r="AI220" s="4">
        <v>0</v>
      </c>
      <c r="AJ220" s="4">
        <v>0</v>
      </c>
      <c r="AK220" s="4">
        <v>0</v>
      </c>
      <c r="AL220" s="4">
        <v>0</v>
      </c>
      <c r="AM220" s="4">
        <v>0</v>
      </c>
      <c r="AN220" s="4">
        <v>0</v>
      </c>
      <c r="AO220" s="4">
        <v>0</v>
      </c>
      <c r="AP220" s="4">
        <v>0</v>
      </c>
      <c r="AQ220" s="4">
        <v>3705000</v>
      </c>
      <c r="AR220" s="4">
        <v>3576960</v>
      </c>
      <c r="AS220" s="4">
        <v>3576960</v>
      </c>
      <c r="AT220" s="4">
        <v>0</v>
      </c>
      <c r="AU220" s="4">
        <v>0</v>
      </c>
      <c r="AV220" s="4">
        <v>0</v>
      </c>
      <c r="AW220" s="4">
        <v>0</v>
      </c>
      <c r="AX220" s="4">
        <v>128040</v>
      </c>
      <c r="AY220" s="4">
        <v>128040</v>
      </c>
    </row>
    <row r="221" spans="1:51">
      <c r="A221" s="3" t="s">
        <v>52</v>
      </c>
      <c r="B221" s="3" t="s">
        <v>53</v>
      </c>
      <c r="C221" s="3" t="s">
        <v>54</v>
      </c>
      <c r="D221" s="3" t="s">
        <v>55</v>
      </c>
      <c r="E221" s="3" t="s">
        <v>56</v>
      </c>
      <c r="F221" s="3" t="s">
        <v>57</v>
      </c>
      <c r="G221" s="3" t="s">
        <v>58</v>
      </c>
      <c r="H221" s="3" t="s">
        <v>59</v>
      </c>
      <c r="I221" s="3" t="s">
        <v>60</v>
      </c>
      <c r="J221" s="3" t="s">
        <v>61</v>
      </c>
      <c r="K221" s="3" t="s">
        <v>62</v>
      </c>
      <c r="L221" s="3" t="s">
        <v>63</v>
      </c>
      <c r="M221" s="3" t="s">
        <v>400</v>
      </c>
      <c r="N221" s="3" t="s">
        <v>401</v>
      </c>
      <c r="O221" s="3" t="s">
        <v>402</v>
      </c>
      <c r="P221" s="3" t="s">
        <v>403</v>
      </c>
      <c r="Q221" s="3" t="s">
        <v>404</v>
      </c>
      <c r="R221" s="3" t="s">
        <v>405</v>
      </c>
      <c r="S221" s="3" t="s">
        <v>185</v>
      </c>
      <c r="T221" s="3" t="s">
        <v>460</v>
      </c>
      <c r="U221" s="3" t="s">
        <v>54</v>
      </c>
      <c r="V221" s="3" t="s">
        <v>72</v>
      </c>
      <c r="W221" s="3" t="s">
        <v>73</v>
      </c>
      <c r="X221" s="3" t="s">
        <v>74</v>
      </c>
      <c r="Y221" s="3" t="s">
        <v>78</v>
      </c>
      <c r="Z221" s="3" t="s">
        <v>79</v>
      </c>
      <c r="AA221" s="3" t="s">
        <v>464</v>
      </c>
      <c r="AB221" s="4">
        <v>1482000</v>
      </c>
      <c r="AC221" s="4">
        <v>0</v>
      </c>
      <c r="AD221" s="4">
        <v>0</v>
      </c>
      <c r="AE221" s="4">
        <v>1482000</v>
      </c>
      <c r="AF221" s="4">
        <v>0</v>
      </c>
      <c r="AG221" s="4">
        <v>0</v>
      </c>
      <c r="AH221" s="4">
        <v>0</v>
      </c>
      <c r="AI221" s="4">
        <v>0</v>
      </c>
      <c r="AJ221" s="4">
        <v>0</v>
      </c>
      <c r="AK221" s="4">
        <v>0</v>
      </c>
      <c r="AL221" s="4">
        <v>0</v>
      </c>
      <c r="AM221" s="4">
        <v>0</v>
      </c>
      <c r="AN221" s="4">
        <v>0</v>
      </c>
      <c r="AO221" s="4">
        <v>0</v>
      </c>
      <c r="AP221" s="4">
        <v>0</v>
      </c>
      <c r="AQ221" s="4">
        <v>1482000</v>
      </c>
      <c r="AR221" s="4">
        <v>902520</v>
      </c>
      <c r="AS221" s="4">
        <v>902520</v>
      </c>
      <c r="AT221" s="4">
        <v>0</v>
      </c>
      <c r="AU221" s="4">
        <v>0</v>
      </c>
      <c r="AV221" s="4">
        <v>0</v>
      </c>
      <c r="AW221" s="4">
        <v>0</v>
      </c>
      <c r="AX221" s="4">
        <v>579480</v>
      </c>
      <c r="AY221" s="4">
        <v>579480</v>
      </c>
    </row>
    <row r="222" spans="1:51">
      <c r="A222" s="3" t="s">
        <v>52</v>
      </c>
      <c r="B222" s="3" t="s">
        <v>53</v>
      </c>
      <c r="C222" s="3" t="s">
        <v>54</v>
      </c>
      <c r="D222" s="3" t="s">
        <v>55</v>
      </c>
      <c r="E222" s="3" t="s">
        <v>56</v>
      </c>
      <c r="F222" s="3" t="s">
        <v>57</v>
      </c>
      <c r="G222" s="3" t="s">
        <v>58</v>
      </c>
      <c r="H222" s="3" t="s">
        <v>59</v>
      </c>
      <c r="I222" s="3" t="s">
        <v>60</v>
      </c>
      <c r="J222" s="3" t="s">
        <v>61</v>
      </c>
      <c r="K222" s="3" t="s">
        <v>62</v>
      </c>
      <c r="L222" s="3" t="s">
        <v>63</v>
      </c>
      <c r="M222" s="3" t="s">
        <v>400</v>
      </c>
      <c r="N222" s="3" t="s">
        <v>401</v>
      </c>
      <c r="O222" s="3" t="s">
        <v>402</v>
      </c>
      <c r="P222" s="3" t="s">
        <v>403</v>
      </c>
      <c r="Q222" s="3" t="s">
        <v>404</v>
      </c>
      <c r="R222" s="3" t="s">
        <v>405</v>
      </c>
      <c r="S222" s="3" t="s">
        <v>185</v>
      </c>
      <c r="T222" s="3" t="s">
        <v>460</v>
      </c>
      <c r="U222" s="3" t="s">
        <v>54</v>
      </c>
      <c r="V222" s="3" t="s">
        <v>72</v>
      </c>
      <c r="W222" s="3" t="s">
        <v>73</v>
      </c>
      <c r="X222" s="3" t="s">
        <v>74</v>
      </c>
      <c r="Y222" s="3" t="s">
        <v>78</v>
      </c>
      <c r="Z222" s="3" t="s">
        <v>79</v>
      </c>
      <c r="AA222" s="3" t="s">
        <v>465</v>
      </c>
      <c r="AB222" s="4">
        <v>1609000</v>
      </c>
      <c r="AC222" s="4">
        <v>0</v>
      </c>
      <c r="AD222" s="4">
        <v>511000</v>
      </c>
      <c r="AE222" s="4">
        <v>2120000</v>
      </c>
      <c r="AF222" s="4">
        <v>0</v>
      </c>
      <c r="AG222" s="4">
        <v>0</v>
      </c>
      <c r="AH222" s="4">
        <v>0</v>
      </c>
      <c r="AI222" s="4">
        <v>0</v>
      </c>
      <c r="AJ222" s="4">
        <v>0</v>
      </c>
      <c r="AK222" s="4">
        <v>0</v>
      </c>
      <c r="AL222" s="4">
        <v>0</v>
      </c>
      <c r="AM222" s="4">
        <v>0</v>
      </c>
      <c r="AN222" s="4">
        <v>0</v>
      </c>
      <c r="AO222" s="4">
        <v>0</v>
      </c>
      <c r="AP222" s="4">
        <v>0</v>
      </c>
      <c r="AQ222" s="4">
        <v>2120000</v>
      </c>
      <c r="AR222" s="4">
        <v>2119680</v>
      </c>
      <c r="AS222" s="4">
        <v>2119680</v>
      </c>
      <c r="AT222" s="4">
        <v>0</v>
      </c>
      <c r="AU222" s="4">
        <v>0</v>
      </c>
      <c r="AV222" s="4">
        <v>0</v>
      </c>
      <c r="AW222" s="4">
        <v>0</v>
      </c>
      <c r="AX222" s="4">
        <v>320</v>
      </c>
      <c r="AY222" s="4">
        <v>320</v>
      </c>
    </row>
    <row r="223" spans="1:51">
      <c r="A223" s="3" t="s">
        <v>52</v>
      </c>
      <c r="B223" s="3" t="s">
        <v>53</v>
      </c>
      <c r="C223" s="3" t="s">
        <v>54</v>
      </c>
      <c r="D223" s="3" t="s">
        <v>55</v>
      </c>
      <c r="E223" s="3" t="s">
        <v>56</v>
      </c>
      <c r="F223" s="3" t="s">
        <v>57</v>
      </c>
      <c r="G223" s="3" t="s">
        <v>58</v>
      </c>
      <c r="H223" s="3" t="s">
        <v>59</v>
      </c>
      <c r="I223" s="3" t="s">
        <v>60</v>
      </c>
      <c r="J223" s="3" t="s">
        <v>61</v>
      </c>
      <c r="K223" s="3" t="s">
        <v>62</v>
      </c>
      <c r="L223" s="3" t="s">
        <v>63</v>
      </c>
      <c r="M223" s="3" t="s">
        <v>400</v>
      </c>
      <c r="N223" s="3" t="s">
        <v>401</v>
      </c>
      <c r="O223" s="3" t="s">
        <v>402</v>
      </c>
      <c r="P223" s="3" t="s">
        <v>403</v>
      </c>
      <c r="Q223" s="3" t="s">
        <v>404</v>
      </c>
      <c r="R223" s="3" t="s">
        <v>405</v>
      </c>
      <c r="S223" s="3" t="s">
        <v>185</v>
      </c>
      <c r="T223" s="3" t="s">
        <v>460</v>
      </c>
      <c r="U223" s="3" t="s">
        <v>54</v>
      </c>
      <c r="V223" s="3" t="s">
        <v>72</v>
      </c>
      <c r="W223" s="3" t="s">
        <v>73</v>
      </c>
      <c r="X223" s="3" t="s">
        <v>74</v>
      </c>
      <c r="Y223" s="3" t="s">
        <v>78</v>
      </c>
      <c r="Z223" s="3" t="s">
        <v>79</v>
      </c>
      <c r="AA223" s="3" t="s">
        <v>466</v>
      </c>
      <c r="AB223" s="4">
        <v>910000</v>
      </c>
      <c r="AC223" s="4">
        <v>-910000</v>
      </c>
      <c r="AD223" s="4">
        <v>0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4">
        <v>0</v>
      </c>
      <c r="AM223" s="4">
        <v>0</v>
      </c>
      <c r="AN223" s="4">
        <v>0</v>
      </c>
      <c r="AO223" s="4">
        <v>0</v>
      </c>
      <c r="AP223" s="4">
        <v>0</v>
      </c>
      <c r="AQ223" s="4">
        <v>0</v>
      </c>
      <c r="AR223" s="4">
        <v>0</v>
      </c>
      <c r="AS223" s="4">
        <v>0</v>
      </c>
      <c r="AT223" s="4">
        <v>0</v>
      </c>
      <c r="AU223" s="4">
        <v>0</v>
      </c>
      <c r="AV223" s="4">
        <v>0</v>
      </c>
      <c r="AW223" s="4">
        <v>0</v>
      </c>
      <c r="AX223" s="4">
        <v>0</v>
      </c>
      <c r="AY223" s="4">
        <v>0</v>
      </c>
    </row>
    <row r="224" spans="1:51">
      <c r="A224" s="3" t="s">
        <v>52</v>
      </c>
      <c r="B224" s="3" t="s">
        <v>53</v>
      </c>
      <c r="C224" s="3" t="s">
        <v>54</v>
      </c>
      <c r="D224" s="3" t="s">
        <v>55</v>
      </c>
      <c r="E224" s="3" t="s">
        <v>56</v>
      </c>
      <c r="F224" s="3" t="s">
        <v>57</v>
      </c>
      <c r="G224" s="3" t="s">
        <v>58</v>
      </c>
      <c r="H224" s="3" t="s">
        <v>59</v>
      </c>
      <c r="I224" s="3" t="s">
        <v>60</v>
      </c>
      <c r="J224" s="3" t="s">
        <v>61</v>
      </c>
      <c r="K224" s="3" t="s">
        <v>62</v>
      </c>
      <c r="L224" s="3" t="s">
        <v>63</v>
      </c>
      <c r="M224" s="3" t="s">
        <v>400</v>
      </c>
      <c r="N224" s="3" t="s">
        <v>401</v>
      </c>
      <c r="O224" s="3" t="s">
        <v>402</v>
      </c>
      <c r="P224" s="3" t="s">
        <v>403</v>
      </c>
      <c r="Q224" s="3" t="s">
        <v>404</v>
      </c>
      <c r="R224" s="3" t="s">
        <v>405</v>
      </c>
      <c r="S224" s="3" t="s">
        <v>185</v>
      </c>
      <c r="T224" s="3" t="s">
        <v>460</v>
      </c>
      <c r="U224" s="3" t="s">
        <v>54</v>
      </c>
      <c r="V224" s="3" t="s">
        <v>72</v>
      </c>
      <c r="W224" s="3" t="s">
        <v>73</v>
      </c>
      <c r="X224" s="3" t="s">
        <v>74</v>
      </c>
      <c r="Y224" s="3" t="s">
        <v>78</v>
      </c>
      <c r="Z224" s="3" t="s">
        <v>79</v>
      </c>
      <c r="AA224" s="3" t="s">
        <v>467</v>
      </c>
      <c r="AB224" s="4">
        <v>3949000</v>
      </c>
      <c r="AC224" s="4">
        <v>0</v>
      </c>
      <c r="AD224" s="4">
        <v>0</v>
      </c>
      <c r="AE224" s="4">
        <v>3949000</v>
      </c>
      <c r="AF224" s="4">
        <v>0</v>
      </c>
      <c r="AG224" s="4">
        <v>0</v>
      </c>
      <c r="AH224" s="4">
        <v>0</v>
      </c>
      <c r="AI224" s="4">
        <v>0</v>
      </c>
      <c r="AJ224" s="4">
        <v>0</v>
      </c>
      <c r="AK224" s="4">
        <v>0</v>
      </c>
      <c r="AL224" s="4">
        <v>0</v>
      </c>
      <c r="AM224" s="4">
        <v>0</v>
      </c>
      <c r="AN224" s="4">
        <v>0</v>
      </c>
      <c r="AO224" s="4">
        <v>0</v>
      </c>
      <c r="AP224" s="4">
        <v>0</v>
      </c>
      <c r="AQ224" s="4">
        <v>3949000</v>
      </c>
      <c r="AR224" s="4">
        <v>1043280</v>
      </c>
      <c r="AS224" s="4">
        <v>1043280</v>
      </c>
      <c r="AT224" s="4">
        <v>0</v>
      </c>
      <c r="AU224" s="4">
        <v>0</v>
      </c>
      <c r="AV224" s="4">
        <v>0</v>
      </c>
      <c r="AW224" s="4">
        <v>0</v>
      </c>
      <c r="AX224" s="4">
        <v>2905720</v>
      </c>
      <c r="AY224" s="4">
        <v>2905720</v>
      </c>
    </row>
    <row r="225" spans="1:51">
      <c r="A225" s="3" t="s">
        <v>52</v>
      </c>
      <c r="B225" s="3" t="s">
        <v>53</v>
      </c>
      <c r="C225" s="3" t="s">
        <v>54</v>
      </c>
      <c r="D225" s="3" t="s">
        <v>55</v>
      </c>
      <c r="E225" s="3" t="s">
        <v>56</v>
      </c>
      <c r="F225" s="3" t="s">
        <v>57</v>
      </c>
      <c r="G225" s="3" t="s">
        <v>58</v>
      </c>
      <c r="H225" s="3" t="s">
        <v>59</v>
      </c>
      <c r="I225" s="3" t="s">
        <v>60</v>
      </c>
      <c r="J225" s="3" t="s">
        <v>61</v>
      </c>
      <c r="K225" s="3" t="s">
        <v>62</v>
      </c>
      <c r="L225" s="3" t="s">
        <v>63</v>
      </c>
      <c r="M225" s="3" t="s">
        <v>400</v>
      </c>
      <c r="N225" s="3" t="s">
        <v>401</v>
      </c>
      <c r="O225" s="3" t="s">
        <v>402</v>
      </c>
      <c r="P225" s="3" t="s">
        <v>403</v>
      </c>
      <c r="Q225" s="3" t="s">
        <v>404</v>
      </c>
      <c r="R225" s="3" t="s">
        <v>405</v>
      </c>
      <c r="S225" s="3" t="s">
        <v>185</v>
      </c>
      <c r="T225" s="3" t="s">
        <v>460</v>
      </c>
      <c r="U225" s="3" t="s">
        <v>54</v>
      </c>
      <c r="V225" s="3" t="s">
        <v>72</v>
      </c>
      <c r="W225" s="3" t="s">
        <v>73</v>
      </c>
      <c r="X225" s="3" t="s">
        <v>74</v>
      </c>
      <c r="Y225" s="3" t="s">
        <v>78</v>
      </c>
      <c r="Z225" s="3" t="s">
        <v>79</v>
      </c>
      <c r="AA225" s="3" t="s">
        <v>468</v>
      </c>
      <c r="AB225" s="4">
        <v>2526000</v>
      </c>
      <c r="AC225" s="4">
        <v>0</v>
      </c>
      <c r="AD225" s="4">
        <v>74000</v>
      </c>
      <c r="AE225" s="4">
        <v>2600000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4">
        <v>0</v>
      </c>
      <c r="AM225" s="4">
        <v>0</v>
      </c>
      <c r="AN225" s="4">
        <v>0</v>
      </c>
      <c r="AO225" s="4">
        <v>0</v>
      </c>
      <c r="AP225" s="4">
        <v>0</v>
      </c>
      <c r="AQ225" s="4">
        <v>2600000</v>
      </c>
      <c r="AR225" s="4">
        <v>2599920</v>
      </c>
      <c r="AS225" s="4">
        <v>2599920</v>
      </c>
      <c r="AT225" s="4">
        <v>0</v>
      </c>
      <c r="AU225" s="4">
        <v>0</v>
      </c>
      <c r="AV225" s="4">
        <v>0</v>
      </c>
      <c r="AW225" s="4">
        <v>0</v>
      </c>
      <c r="AX225" s="4">
        <v>80</v>
      </c>
      <c r="AY225" s="4">
        <v>80</v>
      </c>
    </row>
    <row r="226" spans="1:51">
      <c r="A226" s="3" t="s">
        <v>52</v>
      </c>
      <c r="B226" s="3" t="s">
        <v>53</v>
      </c>
      <c r="C226" s="3" t="s">
        <v>54</v>
      </c>
      <c r="D226" s="3" t="s">
        <v>55</v>
      </c>
      <c r="E226" s="3" t="s">
        <v>56</v>
      </c>
      <c r="F226" s="3" t="s">
        <v>57</v>
      </c>
      <c r="G226" s="3" t="s">
        <v>58</v>
      </c>
      <c r="H226" s="3" t="s">
        <v>59</v>
      </c>
      <c r="I226" s="3" t="s">
        <v>60</v>
      </c>
      <c r="J226" s="3" t="s">
        <v>61</v>
      </c>
      <c r="K226" s="3" t="s">
        <v>62</v>
      </c>
      <c r="L226" s="3" t="s">
        <v>63</v>
      </c>
      <c r="M226" s="3" t="s">
        <v>400</v>
      </c>
      <c r="N226" s="3" t="s">
        <v>401</v>
      </c>
      <c r="O226" s="3" t="s">
        <v>402</v>
      </c>
      <c r="P226" s="3" t="s">
        <v>403</v>
      </c>
      <c r="Q226" s="3" t="s">
        <v>404</v>
      </c>
      <c r="R226" s="3" t="s">
        <v>405</v>
      </c>
      <c r="S226" s="3" t="s">
        <v>185</v>
      </c>
      <c r="T226" s="3" t="s">
        <v>460</v>
      </c>
      <c r="U226" s="3" t="s">
        <v>54</v>
      </c>
      <c r="V226" s="3" t="s">
        <v>72</v>
      </c>
      <c r="W226" s="3" t="s">
        <v>73</v>
      </c>
      <c r="X226" s="3" t="s">
        <v>74</v>
      </c>
      <c r="Y226" s="3" t="s">
        <v>78</v>
      </c>
      <c r="Z226" s="3" t="s">
        <v>79</v>
      </c>
      <c r="AA226" s="3" t="s">
        <v>469</v>
      </c>
      <c r="AB226" s="4">
        <v>1819000</v>
      </c>
      <c r="AC226" s="4">
        <v>0</v>
      </c>
      <c r="AD226" s="4">
        <v>0</v>
      </c>
      <c r="AE226" s="4">
        <v>1819000</v>
      </c>
      <c r="AF226" s="4">
        <v>0</v>
      </c>
      <c r="AG226" s="4">
        <v>0</v>
      </c>
      <c r="AH226" s="4">
        <v>0</v>
      </c>
      <c r="AI226" s="4">
        <v>0</v>
      </c>
      <c r="AJ226" s="4">
        <v>0</v>
      </c>
      <c r="AK226" s="4">
        <v>0</v>
      </c>
      <c r="AL226" s="4">
        <v>0</v>
      </c>
      <c r="AM226" s="4">
        <v>0</v>
      </c>
      <c r="AN226" s="4">
        <v>0</v>
      </c>
      <c r="AO226" s="4">
        <v>0</v>
      </c>
      <c r="AP226" s="4">
        <v>0</v>
      </c>
      <c r="AQ226" s="4">
        <v>1819000</v>
      </c>
      <c r="AR226" s="4">
        <v>1043280</v>
      </c>
      <c r="AS226" s="4">
        <v>1043280</v>
      </c>
      <c r="AT226" s="4">
        <v>0</v>
      </c>
      <c r="AU226" s="4">
        <v>0</v>
      </c>
      <c r="AV226" s="4">
        <v>0</v>
      </c>
      <c r="AW226" s="4">
        <v>0</v>
      </c>
      <c r="AX226" s="4">
        <v>775720</v>
      </c>
      <c r="AY226" s="4">
        <v>775720</v>
      </c>
    </row>
    <row r="227" spans="1:51">
      <c r="A227" s="3" t="s">
        <v>52</v>
      </c>
      <c r="B227" s="3" t="s">
        <v>53</v>
      </c>
      <c r="C227" s="3" t="s">
        <v>54</v>
      </c>
      <c r="D227" s="3" t="s">
        <v>55</v>
      </c>
      <c r="E227" s="3" t="s">
        <v>56</v>
      </c>
      <c r="F227" s="3" t="s">
        <v>57</v>
      </c>
      <c r="G227" s="3" t="s">
        <v>58</v>
      </c>
      <c r="H227" s="3" t="s">
        <v>59</v>
      </c>
      <c r="I227" s="3" t="s">
        <v>60</v>
      </c>
      <c r="J227" s="3" t="s">
        <v>61</v>
      </c>
      <c r="K227" s="3" t="s">
        <v>62</v>
      </c>
      <c r="L227" s="3" t="s">
        <v>63</v>
      </c>
      <c r="M227" s="3" t="s">
        <v>400</v>
      </c>
      <c r="N227" s="3" t="s">
        <v>401</v>
      </c>
      <c r="O227" s="3" t="s">
        <v>402</v>
      </c>
      <c r="P227" s="3" t="s">
        <v>403</v>
      </c>
      <c r="Q227" s="3" t="s">
        <v>404</v>
      </c>
      <c r="R227" s="3" t="s">
        <v>405</v>
      </c>
      <c r="S227" s="3" t="s">
        <v>185</v>
      </c>
      <c r="T227" s="3" t="s">
        <v>460</v>
      </c>
      <c r="U227" s="3" t="s">
        <v>54</v>
      </c>
      <c r="V227" s="3" t="s">
        <v>72</v>
      </c>
      <c r="W227" s="3" t="s">
        <v>73</v>
      </c>
      <c r="X227" s="3" t="s">
        <v>74</v>
      </c>
      <c r="Y227" s="3" t="s">
        <v>78</v>
      </c>
      <c r="Z227" s="3" t="s">
        <v>79</v>
      </c>
      <c r="AA227" s="3" t="s">
        <v>470</v>
      </c>
      <c r="AB227" s="4">
        <v>1729000</v>
      </c>
      <c r="AC227" s="4">
        <v>0</v>
      </c>
      <c r="AD227" s="4">
        <v>0</v>
      </c>
      <c r="AE227" s="4">
        <v>1729000</v>
      </c>
      <c r="AF227" s="4">
        <v>0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4">
        <v>0</v>
      </c>
      <c r="AM227" s="4">
        <v>0</v>
      </c>
      <c r="AN227" s="4">
        <v>0</v>
      </c>
      <c r="AO227" s="4">
        <v>0</v>
      </c>
      <c r="AP227" s="4">
        <v>0</v>
      </c>
      <c r="AQ227" s="4">
        <v>1729000</v>
      </c>
      <c r="AR227" s="4">
        <v>1609200</v>
      </c>
      <c r="AS227" s="4">
        <v>1609200</v>
      </c>
      <c r="AT227" s="4">
        <v>0</v>
      </c>
      <c r="AU227" s="4">
        <v>0</v>
      </c>
      <c r="AV227" s="4">
        <v>0</v>
      </c>
      <c r="AW227" s="4">
        <v>0</v>
      </c>
      <c r="AX227" s="4">
        <v>119800</v>
      </c>
      <c r="AY227" s="4">
        <v>119800</v>
      </c>
    </row>
    <row r="228" spans="1:51">
      <c r="A228" s="3" t="s">
        <v>52</v>
      </c>
      <c r="B228" s="3" t="s">
        <v>53</v>
      </c>
      <c r="C228" s="3" t="s">
        <v>54</v>
      </c>
      <c r="D228" s="3" t="s">
        <v>55</v>
      </c>
      <c r="E228" s="3" t="s">
        <v>56</v>
      </c>
      <c r="F228" s="3" t="s">
        <v>57</v>
      </c>
      <c r="G228" s="3" t="s">
        <v>58</v>
      </c>
      <c r="H228" s="3" t="s">
        <v>59</v>
      </c>
      <c r="I228" s="3" t="s">
        <v>60</v>
      </c>
      <c r="J228" s="3" t="s">
        <v>61</v>
      </c>
      <c r="K228" s="3" t="s">
        <v>62</v>
      </c>
      <c r="L228" s="3" t="s">
        <v>63</v>
      </c>
      <c r="M228" s="3" t="s">
        <v>400</v>
      </c>
      <c r="N228" s="3" t="s">
        <v>401</v>
      </c>
      <c r="O228" s="3" t="s">
        <v>402</v>
      </c>
      <c r="P228" s="3" t="s">
        <v>403</v>
      </c>
      <c r="Q228" s="3" t="s">
        <v>404</v>
      </c>
      <c r="R228" s="3" t="s">
        <v>405</v>
      </c>
      <c r="S228" s="3" t="s">
        <v>185</v>
      </c>
      <c r="T228" s="3" t="s">
        <v>460</v>
      </c>
      <c r="U228" s="3" t="s">
        <v>54</v>
      </c>
      <c r="V228" s="3" t="s">
        <v>72</v>
      </c>
      <c r="W228" s="3" t="s">
        <v>73</v>
      </c>
      <c r="X228" s="3" t="s">
        <v>74</v>
      </c>
      <c r="Y228" s="3" t="s">
        <v>78</v>
      </c>
      <c r="Z228" s="3" t="s">
        <v>79</v>
      </c>
      <c r="AA228" s="3" t="s">
        <v>471</v>
      </c>
      <c r="AB228" s="4">
        <v>1895000</v>
      </c>
      <c r="AC228" s="4">
        <v>0</v>
      </c>
      <c r="AD228" s="4">
        <v>0</v>
      </c>
      <c r="AE228" s="4">
        <v>1895000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4">
        <v>0</v>
      </c>
      <c r="AM228" s="4">
        <v>0</v>
      </c>
      <c r="AN228" s="4">
        <v>0</v>
      </c>
      <c r="AO228" s="4">
        <v>0</v>
      </c>
      <c r="AP228" s="4">
        <v>0</v>
      </c>
      <c r="AQ228" s="4">
        <v>1895000</v>
      </c>
      <c r="AR228" s="4">
        <v>1556640</v>
      </c>
      <c r="AS228" s="4">
        <v>1556640</v>
      </c>
      <c r="AT228" s="4">
        <v>0</v>
      </c>
      <c r="AU228" s="4">
        <v>0</v>
      </c>
      <c r="AV228" s="4">
        <v>0</v>
      </c>
      <c r="AW228" s="4">
        <v>0</v>
      </c>
      <c r="AX228" s="4">
        <v>338360</v>
      </c>
      <c r="AY228" s="4">
        <v>338360</v>
      </c>
    </row>
    <row r="229" spans="1:51">
      <c r="A229" s="3" t="s">
        <v>52</v>
      </c>
      <c r="B229" s="3" t="s">
        <v>53</v>
      </c>
      <c r="C229" s="3" t="s">
        <v>54</v>
      </c>
      <c r="D229" s="3" t="s">
        <v>55</v>
      </c>
      <c r="E229" s="3" t="s">
        <v>56</v>
      </c>
      <c r="F229" s="3" t="s">
        <v>57</v>
      </c>
      <c r="G229" s="3" t="s">
        <v>58</v>
      </c>
      <c r="H229" s="3" t="s">
        <v>59</v>
      </c>
      <c r="I229" s="3" t="s">
        <v>60</v>
      </c>
      <c r="J229" s="3" t="s">
        <v>61</v>
      </c>
      <c r="K229" s="3" t="s">
        <v>62</v>
      </c>
      <c r="L229" s="3" t="s">
        <v>63</v>
      </c>
      <c r="M229" s="3" t="s">
        <v>400</v>
      </c>
      <c r="N229" s="3" t="s">
        <v>401</v>
      </c>
      <c r="O229" s="3" t="s">
        <v>402</v>
      </c>
      <c r="P229" s="3" t="s">
        <v>403</v>
      </c>
      <c r="Q229" s="3" t="s">
        <v>404</v>
      </c>
      <c r="R229" s="3" t="s">
        <v>405</v>
      </c>
      <c r="S229" s="3" t="s">
        <v>185</v>
      </c>
      <c r="T229" s="3" t="s">
        <v>460</v>
      </c>
      <c r="U229" s="3" t="s">
        <v>54</v>
      </c>
      <c r="V229" s="3" t="s">
        <v>72</v>
      </c>
      <c r="W229" s="3" t="s">
        <v>73</v>
      </c>
      <c r="X229" s="3" t="s">
        <v>74</v>
      </c>
      <c r="Y229" s="3" t="s">
        <v>78</v>
      </c>
      <c r="Z229" s="3" t="s">
        <v>79</v>
      </c>
      <c r="AA229" s="3" t="s">
        <v>472</v>
      </c>
      <c r="AB229" s="4">
        <v>2030000</v>
      </c>
      <c r="AC229" s="4">
        <v>0</v>
      </c>
      <c r="AD229" s="4">
        <v>512000</v>
      </c>
      <c r="AE229" s="4">
        <v>2542000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4">
        <v>0</v>
      </c>
      <c r="AM229" s="4">
        <v>0</v>
      </c>
      <c r="AN229" s="4">
        <v>0</v>
      </c>
      <c r="AO229" s="4">
        <v>0</v>
      </c>
      <c r="AP229" s="4">
        <v>0</v>
      </c>
      <c r="AQ229" s="4">
        <v>2542000</v>
      </c>
      <c r="AR229" s="4">
        <v>2541960</v>
      </c>
      <c r="AS229" s="4">
        <v>2541960</v>
      </c>
      <c r="AT229" s="4">
        <v>0</v>
      </c>
      <c r="AU229" s="4">
        <v>0</v>
      </c>
      <c r="AV229" s="4">
        <v>0</v>
      </c>
      <c r="AW229" s="4">
        <v>0</v>
      </c>
      <c r="AX229" s="4">
        <v>40</v>
      </c>
      <c r="AY229" s="4">
        <v>40</v>
      </c>
    </row>
    <row r="230" spans="1:51">
      <c r="A230" s="3" t="s">
        <v>52</v>
      </c>
      <c r="B230" s="3" t="s">
        <v>53</v>
      </c>
      <c r="C230" s="3" t="s">
        <v>54</v>
      </c>
      <c r="D230" s="3" t="s">
        <v>55</v>
      </c>
      <c r="E230" s="3" t="s">
        <v>56</v>
      </c>
      <c r="F230" s="3" t="s">
        <v>57</v>
      </c>
      <c r="G230" s="3" t="s">
        <v>58</v>
      </c>
      <c r="H230" s="3" t="s">
        <v>59</v>
      </c>
      <c r="I230" s="3" t="s">
        <v>60</v>
      </c>
      <c r="J230" s="3" t="s">
        <v>61</v>
      </c>
      <c r="K230" s="3" t="s">
        <v>62</v>
      </c>
      <c r="L230" s="3" t="s">
        <v>63</v>
      </c>
      <c r="M230" s="3" t="s">
        <v>400</v>
      </c>
      <c r="N230" s="3" t="s">
        <v>401</v>
      </c>
      <c r="O230" s="3" t="s">
        <v>402</v>
      </c>
      <c r="P230" s="3" t="s">
        <v>403</v>
      </c>
      <c r="Q230" s="3" t="s">
        <v>404</v>
      </c>
      <c r="R230" s="3" t="s">
        <v>405</v>
      </c>
      <c r="S230" s="3" t="s">
        <v>185</v>
      </c>
      <c r="T230" s="3" t="s">
        <v>460</v>
      </c>
      <c r="U230" s="3" t="s">
        <v>54</v>
      </c>
      <c r="V230" s="3" t="s">
        <v>72</v>
      </c>
      <c r="W230" s="3" t="s">
        <v>73</v>
      </c>
      <c r="X230" s="3" t="s">
        <v>74</v>
      </c>
      <c r="Y230" s="3" t="s">
        <v>78</v>
      </c>
      <c r="Z230" s="3" t="s">
        <v>79</v>
      </c>
      <c r="AA230" s="3" t="s">
        <v>473</v>
      </c>
      <c r="AB230" s="4">
        <v>3057000</v>
      </c>
      <c r="AC230" s="4">
        <v>0</v>
      </c>
      <c r="AD230" s="4">
        <v>0</v>
      </c>
      <c r="AE230" s="4">
        <v>3057000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0</v>
      </c>
      <c r="AL230" s="4">
        <v>0</v>
      </c>
      <c r="AM230" s="4">
        <v>0</v>
      </c>
      <c r="AN230" s="4">
        <v>0</v>
      </c>
      <c r="AO230" s="4">
        <v>0</v>
      </c>
      <c r="AP230" s="4">
        <v>0</v>
      </c>
      <c r="AQ230" s="4">
        <v>3057000</v>
      </c>
      <c r="AR230" s="4">
        <v>1726010</v>
      </c>
      <c r="AS230" s="4">
        <v>1726010</v>
      </c>
      <c r="AT230" s="4">
        <v>0</v>
      </c>
      <c r="AU230" s="4">
        <v>0</v>
      </c>
      <c r="AV230" s="4">
        <v>0</v>
      </c>
      <c r="AW230" s="4">
        <v>0</v>
      </c>
      <c r="AX230" s="4">
        <v>1330990</v>
      </c>
      <c r="AY230" s="4">
        <v>1330990</v>
      </c>
    </row>
    <row r="231" spans="1:51">
      <c r="A231" s="3" t="s">
        <v>52</v>
      </c>
      <c r="B231" s="3" t="s">
        <v>53</v>
      </c>
      <c r="C231" s="3" t="s">
        <v>54</v>
      </c>
      <c r="D231" s="3" t="s">
        <v>55</v>
      </c>
      <c r="E231" s="3" t="s">
        <v>56</v>
      </c>
      <c r="F231" s="3" t="s">
        <v>57</v>
      </c>
      <c r="G231" s="3" t="s">
        <v>58</v>
      </c>
      <c r="H231" s="3" t="s">
        <v>59</v>
      </c>
      <c r="I231" s="3" t="s">
        <v>60</v>
      </c>
      <c r="J231" s="3" t="s">
        <v>61</v>
      </c>
      <c r="K231" s="3" t="s">
        <v>62</v>
      </c>
      <c r="L231" s="3" t="s">
        <v>63</v>
      </c>
      <c r="M231" s="3" t="s">
        <v>400</v>
      </c>
      <c r="N231" s="3" t="s">
        <v>401</v>
      </c>
      <c r="O231" s="3" t="s">
        <v>402</v>
      </c>
      <c r="P231" s="3" t="s">
        <v>403</v>
      </c>
      <c r="Q231" s="3" t="s">
        <v>404</v>
      </c>
      <c r="R231" s="3" t="s">
        <v>405</v>
      </c>
      <c r="S231" s="3" t="s">
        <v>185</v>
      </c>
      <c r="T231" s="3" t="s">
        <v>460</v>
      </c>
      <c r="U231" s="3" t="s">
        <v>54</v>
      </c>
      <c r="V231" s="3" t="s">
        <v>72</v>
      </c>
      <c r="W231" s="3" t="s">
        <v>73</v>
      </c>
      <c r="X231" s="3" t="s">
        <v>74</v>
      </c>
      <c r="Y231" s="3" t="s">
        <v>78</v>
      </c>
      <c r="Z231" s="3" t="s">
        <v>79</v>
      </c>
      <c r="AA231" s="3" t="s">
        <v>474</v>
      </c>
      <c r="AB231" s="4">
        <v>3571000</v>
      </c>
      <c r="AC231" s="4">
        <v>0</v>
      </c>
      <c r="AD231" s="4">
        <v>0</v>
      </c>
      <c r="AE231" s="4">
        <v>3571000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0</v>
      </c>
      <c r="AL231" s="4">
        <v>0</v>
      </c>
      <c r="AM231" s="4">
        <v>0</v>
      </c>
      <c r="AN231" s="4">
        <v>0</v>
      </c>
      <c r="AO231" s="4">
        <v>0</v>
      </c>
      <c r="AP231" s="4">
        <v>0</v>
      </c>
      <c r="AQ231" s="4">
        <v>3571000</v>
      </c>
      <c r="AR231" s="4">
        <v>3005640</v>
      </c>
      <c r="AS231" s="4">
        <v>3005640</v>
      </c>
      <c r="AT231" s="4">
        <v>0</v>
      </c>
      <c r="AU231" s="4">
        <v>0</v>
      </c>
      <c r="AV231" s="4">
        <v>0</v>
      </c>
      <c r="AW231" s="4">
        <v>0</v>
      </c>
      <c r="AX231" s="4">
        <v>565360</v>
      </c>
      <c r="AY231" s="4">
        <v>565360</v>
      </c>
    </row>
    <row r="232" spans="1:51">
      <c r="A232" s="3" t="s">
        <v>52</v>
      </c>
      <c r="B232" s="3" t="s">
        <v>53</v>
      </c>
      <c r="C232" s="3" t="s">
        <v>54</v>
      </c>
      <c r="D232" s="3" t="s">
        <v>55</v>
      </c>
      <c r="E232" s="3" t="s">
        <v>56</v>
      </c>
      <c r="F232" s="3" t="s">
        <v>57</v>
      </c>
      <c r="G232" s="3" t="s">
        <v>58</v>
      </c>
      <c r="H232" s="3" t="s">
        <v>59</v>
      </c>
      <c r="I232" s="3" t="s">
        <v>60</v>
      </c>
      <c r="J232" s="3" t="s">
        <v>61</v>
      </c>
      <c r="K232" s="3" t="s">
        <v>62</v>
      </c>
      <c r="L232" s="3" t="s">
        <v>63</v>
      </c>
      <c r="M232" s="3" t="s">
        <v>400</v>
      </c>
      <c r="N232" s="3" t="s">
        <v>401</v>
      </c>
      <c r="O232" s="3" t="s">
        <v>402</v>
      </c>
      <c r="P232" s="3" t="s">
        <v>403</v>
      </c>
      <c r="Q232" s="3" t="s">
        <v>404</v>
      </c>
      <c r="R232" s="3" t="s">
        <v>405</v>
      </c>
      <c r="S232" s="3" t="s">
        <v>185</v>
      </c>
      <c r="T232" s="3" t="s">
        <v>460</v>
      </c>
      <c r="U232" s="3" t="s">
        <v>54</v>
      </c>
      <c r="V232" s="3" t="s">
        <v>72</v>
      </c>
      <c r="W232" s="3" t="s">
        <v>73</v>
      </c>
      <c r="X232" s="3" t="s">
        <v>74</v>
      </c>
      <c r="Y232" s="3" t="s">
        <v>78</v>
      </c>
      <c r="Z232" s="3" t="s">
        <v>79</v>
      </c>
      <c r="AA232" s="3" t="s">
        <v>475</v>
      </c>
      <c r="AB232" s="4">
        <v>1179000</v>
      </c>
      <c r="AC232" s="4">
        <v>-1179000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0</v>
      </c>
      <c r="AJ232" s="4">
        <v>0</v>
      </c>
      <c r="AK232" s="4">
        <v>0</v>
      </c>
      <c r="AL232" s="4">
        <v>0</v>
      </c>
      <c r="AM232" s="4">
        <v>0</v>
      </c>
      <c r="AN232" s="4">
        <v>0</v>
      </c>
      <c r="AO232" s="4">
        <v>0</v>
      </c>
      <c r="AP232" s="4">
        <v>0</v>
      </c>
      <c r="AQ232" s="4">
        <v>0</v>
      </c>
      <c r="AR232" s="4">
        <v>0</v>
      </c>
      <c r="AS232" s="4">
        <v>0</v>
      </c>
      <c r="AT232" s="4">
        <v>0</v>
      </c>
      <c r="AU232" s="4">
        <v>0</v>
      </c>
      <c r="AV232" s="4">
        <v>0</v>
      </c>
      <c r="AW232" s="4">
        <v>0</v>
      </c>
      <c r="AX232" s="4">
        <v>0</v>
      </c>
      <c r="AY232" s="4">
        <v>0</v>
      </c>
    </row>
    <row r="233" spans="1:51">
      <c r="A233" s="3" t="s">
        <v>52</v>
      </c>
      <c r="B233" s="3" t="s">
        <v>53</v>
      </c>
      <c r="C233" s="3" t="s">
        <v>54</v>
      </c>
      <c r="D233" s="3" t="s">
        <v>55</v>
      </c>
      <c r="E233" s="3" t="s">
        <v>56</v>
      </c>
      <c r="F233" s="3" t="s">
        <v>57</v>
      </c>
      <c r="G233" s="3" t="s">
        <v>58</v>
      </c>
      <c r="H233" s="3" t="s">
        <v>59</v>
      </c>
      <c r="I233" s="3" t="s">
        <v>60</v>
      </c>
      <c r="J233" s="3" t="s">
        <v>61</v>
      </c>
      <c r="K233" s="3" t="s">
        <v>62</v>
      </c>
      <c r="L233" s="3" t="s">
        <v>63</v>
      </c>
      <c r="M233" s="3" t="s">
        <v>400</v>
      </c>
      <c r="N233" s="3" t="s">
        <v>401</v>
      </c>
      <c r="O233" s="3" t="s">
        <v>402</v>
      </c>
      <c r="P233" s="3" t="s">
        <v>403</v>
      </c>
      <c r="Q233" s="3" t="s">
        <v>404</v>
      </c>
      <c r="R233" s="3" t="s">
        <v>405</v>
      </c>
      <c r="S233" s="3" t="s">
        <v>185</v>
      </c>
      <c r="T233" s="3" t="s">
        <v>460</v>
      </c>
      <c r="U233" s="3" t="s">
        <v>54</v>
      </c>
      <c r="V233" s="3" t="s">
        <v>72</v>
      </c>
      <c r="W233" s="3" t="s">
        <v>73</v>
      </c>
      <c r="X233" s="3" t="s">
        <v>74</v>
      </c>
      <c r="Y233" s="3" t="s">
        <v>78</v>
      </c>
      <c r="Z233" s="3" t="s">
        <v>79</v>
      </c>
      <c r="AA233" s="3" t="s">
        <v>476</v>
      </c>
      <c r="AB233" s="4">
        <v>2425000</v>
      </c>
      <c r="AC233" s="4">
        <v>0</v>
      </c>
      <c r="AD233" s="4">
        <v>0</v>
      </c>
      <c r="AE233" s="4">
        <v>2425000</v>
      </c>
      <c r="AF233" s="4">
        <v>0</v>
      </c>
      <c r="AG233" s="4">
        <v>0</v>
      </c>
      <c r="AH233" s="4">
        <v>0</v>
      </c>
      <c r="AI233" s="4">
        <v>0</v>
      </c>
      <c r="AJ233" s="4">
        <v>0</v>
      </c>
      <c r="AK233" s="4">
        <v>0</v>
      </c>
      <c r="AL233" s="4">
        <v>0</v>
      </c>
      <c r="AM233" s="4">
        <v>0</v>
      </c>
      <c r="AN233" s="4">
        <v>0</v>
      </c>
      <c r="AO233" s="4">
        <v>0</v>
      </c>
      <c r="AP233" s="4">
        <v>0</v>
      </c>
      <c r="AQ233" s="4">
        <v>2425000</v>
      </c>
      <c r="AR233" s="4">
        <v>1159200</v>
      </c>
      <c r="AS233" s="4">
        <v>1159200</v>
      </c>
      <c r="AT233" s="4">
        <v>0</v>
      </c>
      <c r="AU233" s="4">
        <v>0</v>
      </c>
      <c r="AV233" s="4">
        <v>0</v>
      </c>
      <c r="AW233" s="4">
        <v>0</v>
      </c>
      <c r="AX233" s="4">
        <v>1265800</v>
      </c>
      <c r="AY233" s="4">
        <v>1265800</v>
      </c>
    </row>
    <row r="234" spans="1:51">
      <c r="A234" s="3" t="s">
        <v>52</v>
      </c>
      <c r="B234" s="3" t="s">
        <v>53</v>
      </c>
      <c r="C234" s="3" t="s">
        <v>54</v>
      </c>
      <c r="D234" s="3" t="s">
        <v>55</v>
      </c>
      <c r="E234" s="3" t="s">
        <v>56</v>
      </c>
      <c r="F234" s="3" t="s">
        <v>57</v>
      </c>
      <c r="G234" s="3" t="s">
        <v>58</v>
      </c>
      <c r="H234" s="3" t="s">
        <v>59</v>
      </c>
      <c r="I234" s="3" t="s">
        <v>60</v>
      </c>
      <c r="J234" s="3" t="s">
        <v>61</v>
      </c>
      <c r="K234" s="3" t="s">
        <v>62</v>
      </c>
      <c r="L234" s="3" t="s">
        <v>63</v>
      </c>
      <c r="M234" s="3" t="s">
        <v>400</v>
      </c>
      <c r="N234" s="3" t="s">
        <v>401</v>
      </c>
      <c r="O234" s="3" t="s">
        <v>402</v>
      </c>
      <c r="P234" s="3" t="s">
        <v>403</v>
      </c>
      <c r="Q234" s="3" t="s">
        <v>404</v>
      </c>
      <c r="R234" s="3" t="s">
        <v>405</v>
      </c>
      <c r="S234" s="3" t="s">
        <v>185</v>
      </c>
      <c r="T234" s="3" t="s">
        <v>460</v>
      </c>
      <c r="U234" s="3" t="s">
        <v>54</v>
      </c>
      <c r="V234" s="3" t="s">
        <v>72</v>
      </c>
      <c r="W234" s="3" t="s">
        <v>73</v>
      </c>
      <c r="X234" s="3" t="s">
        <v>74</v>
      </c>
      <c r="Y234" s="3" t="s">
        <v>78</v>
      </c>
      <c r="Z234" s="3" t="s">
        <v>79</v>
      </c>
      <c r="AA234" s="3" t="s">
        <v>477</v>
      </c>
      <c r="AB234" s="4">
        <v>1819000</v>
      </c>
      <c r="AC234" s="4">
        <v>0</v>
      </c>
      <c r="AD234" s="4">
        <v>0</v>
      </c>
      <c r="AE234" s="4">
        <v>1819000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4">
        <v>0</v>
      </c>
      <c r="AM234" s="4">
        <v>0</v>
      </c>
      <c r="AN234" s="4">
        <v>0</v>
      </c>
      <c r="AO234" s="4">
        <v>0</v>
      </c>
      <c r="AP234" s="4">
        <v>0</v>
      </c>
      <c r="AQ234" s="4">
        <v>1819000</v>
      </c>
      <c r="AR234" s="4">
        <v>1343570</v>
      </c>
      <c r="AS234" s="4">
        <v>1343570</v>
      </c>
      <c r="AT234" s="4">
        <v>0</v>
      </c>
      <c r="AU234" s="4">
        <v>0</v>
      </c>
      <c r="AV234" s="4">
        <v>0</v>
      </c>
      <c r="AW234" s="4">
        <v>0</v>
      </c>
      <c r="AX234" s="4">
        <v>475430</v>
      </c>
      <c r="AY234" s="4">
        <v>475430</v>
      </c>
    </row>
    <row r="235" spans="1:51">
      <c r="A235" s="3" t="s">
        <v>52</v>
      </c>
      <c r="B235" s="3" t="s">
        <v>53</v>
      </c>
      <c r="C235" s="3" t="s">
        <v>54</v>
      </c>
      <c r="D235" s="3" t="s">
        <v>55</v>
      </c>
      <c r="E235" s="3" t="s">
        <v>56</v>
      </c>
      <c r="F235" s="3" t="s">
        <v>57</v>
      </c>
      <c r="G235" s="3" t="s">
        <v>58</v>
      </c>
      <c r="H235" s="3" t="s">
        <v>59</v>
      </c>
      <c r="I235" s="3" t="s">
        <v>60</v>
      </c>
      <c r="J235" s="3" t="s">
        <v>61</v>
      </c>
      <c r="K235" s="3" t="s">
        <v>62</v>
      </c>
      <c r="L235" s="3" t="s">
        <v>63</v>
      </c>
      <c r="M235" s="3" t="s">
        <v>400</v>
      </c>
      <c r="N235" s="3" t="s">
        <v>401</v>
      </c>
      <c r="O235" s="3" t="s">
        <v>402</v>
      </c>
      <c r="P235" s="3" t="s">
        <v>403</v>
      </c>
      <c r="Q235" s="3" t="s">
        <v>404</v>
      </c>
      <c r="R235" s="3" t="s">
        <v>405</v>
      </c>
      <c r="S235" s="3" t="s">
        <v>185</v>
      </c>
      <c r="T235" s="3" t="s">
        <v>460</v>
      </c>
      <c r="U235" s="3" t="s">
        <v>54</v>
      </c>
      <c r="V235" s="3" t="s">
        <v>72</v>
      </c>
      <c r="W235" s="3" t="s">
        <v>73</v>
      </c>
      <c r="X235" s="3" t="s">
        <v>74</v>
      </c>
      <c r="Y235" s="3" t="s">
        <v>78</v>
      </c>
      <c r="Z235" s="3" t="s">
        <v>79</v>
      </c>
      <c r="AA235" s="3" t="s">
        <v>478</v>
      </c>
      <c r="AB235" s="4">
        <v>2148000</v>
      </c>
      <c r="AC235" s="4">
        <v>-2148000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4">
        <v>0</v>
      </c>
      <c r="AM235" s="4">
        <v>0</v>
      </c>
      <c r="AN235" s="4">
        <v>0</v>
      </c>
      <c r="AO235" s="4">
        <v>0</v>
      </c>
      <c r="AP235" s="4">
        <v>0</v>
      </c>
      <c r="AQ235" s="4">
        <v>0</v>
      </c>
      <c r="AR235" s="4">
        <v>0</v>
      </c>
      <c r="AS235" s="4">
        <v>0</v>
      </c>
      <c r="AT235" s="4">
        <v>0</v>
      </c>
      <c r="AU235" s="4">
        <v>0</v>
      </c>
      <c r="AV235" s="4">
        <v>0</v>
      </c>
      <c r="AW235" s="4">
        <v>0</v>
      </c>
      <c r="AX235" s="4">
        <v>0</v>
      </c>
      <c r="AY235" s="4">
        <v>0</v>
      </c>
    </row>
    <row r="236" spans="1:51">
      <c r="A236" s="3" t="s">
        <v>52</v>
      </c>
      <c r="B236" s="3" t="s">
        <v>53</v>
      </c>
      <c r="C236" s="3" t="s">
        <v>54</v>
      </c>
      <c r="D236" s="3" t="s">
        <v>55</v>
      </c>
      <c r="E236" s="3" t="s">
        <v>56</v>
      </c>
      <c r="F236" s="3" t="s">
        <v>57</v>
      </c>
      <c r="G236" s="3" t="s">
        <v>58</v>
      </c>
      <c r="H236" s="3" t="s">
        <v>59</v>
      </c>
      <c r="I236" s="3" t="s">
        <v>60</v>
      </c>
      <c r="J236" s="3" t="s">
        <v>61</v>
      </c>
      <c r="K236" s="3" t="s">
        <v>62</v>
      </c>
      <c r="L236" s="3" t="s">
        <v>63</v>
      </c>
      <c r="M236" s="3" t="s">
        <v>400</v>
      </c>
      <c r="N236" s="3" t="s">
        <v>401</v>
      </c>
      <c r="O236" s="3" t="s">
        <v>402</v>
      </c>
      <c r="P236" s="3" t="s">
        <v>403</v>
      </c>
      <c r="Q236" s="3" t="s">
        <v>404</v>
      </c>
      <c r="R236" s="3" t="s">
        <v>405</v>
      </c>
      <c r="S236" s="3" t="s">
        <v>185</v>
      </c>
      <c r="T236" s="3" t="s">
        <v>460</v>
      </c>
      <c r="U236" s="3" t="s">
        <v>54</v>
      </c>
      <c r="V236" s="3" t="s">
        <v>72</v>
      </c>
      <c r="W236" s="3" t="s">
        <v>73</v>
      </c>
      <c r="X236" s="3" t="s">
        <v>74</v>
      </c>
      <c r="Y236" s="3" t="s">
        <v>78</v>
      </c>
      <c r="Z236" s="3" t="s">
        <v>79</v>
      </c>
      <c r="AA236" s="3" t="s">
        <v>479</v>
      </c>
      <c r="AB236" s="4">
        <v>2021000</v>
      </c>
      <c r="AC236" s="4">
        <v>-2021000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4">
        <v>0</v>
      </c>
      <c r="AM236" s="4">
        <v>0</v>
      </c>
      <c r="AN236" s="4">
        <v>0</v>
      </c>
      <c r="AO236" s="4">
        <v>0</v>
      </c>
      <c r="AP236" s="4">
        <v>0</v>
      </c>
      <c r="AQ236" s="4">
        <v>0</v>
      </c>
      <c r="AR236" s="4">
        <v>0</v>
      </c>
      <c r="AS236" s="4">
        <v>0</v>
      </c>
      <c r="AT236" s="4">
        <v>0</v>
      </c>
      <c r="AU236" s="4">
        <v>0</v>
      </c>
      <c r="AV236" s="4">
        <v>0</v>
      </c>
      <c r="AW236" s="4">
        <v>0</v>
      </c>
      <c r="AX236" s="4">
        <v>0</v>
      </c>
      <c r="AY236" s="4">
        <v>0</v>
      </c>
    </row>
    <row r="237" spans="1:51">
      <c r="A237" s="3" t="s">
        <v>52</v>
      </c>
      <c r="B237" s="3" t="s">
        <v>53</v>
      </c>
      <c r="C237" s="3" t="s">
        <v>54</v>
      </c>
      <c r="D237" s="3" t="s">
        <v>55</v>
      </c>
      <c r="E237" s="3" t="s">
        <v>56</v>
      </c>
      <c r="F237" s="3" t="s">
        <v>57</v>
      </c>
      <c r="G237" s="3" t="s">
        <v>58</v>
      </c>
      <c r="H237" s="3" t="s">
        <v>59</v>
      </c>
      <c r="I237" s="3" t="s">
        <v>60</v>
      </c>
      <c r="J237" s="3" t="s">
        <v>61</v>
      </c>
      <c r="K237" s="3" t="s">
        <v>62</v>
      </c>
      <c r="L237" s="3" t="s">
        <v>63</v>
      </c>
      <c r="M237" s="3" t="s">
        <v>400</v>
      </c>
      <c r="N237" s="3" t="s">
        <v>401</v>
      </c>
      <c r="O237" s="3" t="s">
        <v>402</v>
      </c>
      <c r="P237" s="3" t="s">
        <v>403</v>
      </c>
      <c r="Q237" s="3" t="s">
        <v>404</v>
      </c>
      <c r="R237" s="3" t="s">
        <v>405</v>
      </c>
      <c r="S237" s="3" t="s">
        <v>185</v>
      </c>
      <c r="T237" s="3" t="s">
        <v>460</v>
      </c>
      <c r="U237" s="3" t="s">
        <v>54</v>
      </c>
      <c r="V237" s="3" t="s">
        <v>72</v>
      </c>
      <c r="W237" s="3" t="s">
        <v>73</v>
      </c>
      <c r="X237" s="3" t="s">
        <v>74</v>
      </c>
      <c r="Y237" s="3" t="s">
        <v>78</v>
      </c>
      <c r="Z237" s="3" t="s">
        <v>79</v>
      </c>
      <c r="AA237" s="3" t="s">
        <v>480</v>
      </c>
      <c r="AB237" s="4">
        <v>2619000</v>
      </c>
      <c r="AC237" s="4">
        <v>0</v>
      </c>
      <c r="AD237" s="4">
        <v>0</v>
      </c>
      <c r="AE237" s="4">
        <v>2619000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4">
        <v>0</v>
      </c>
      <c r="AM237" s="4">
        <v>0</v>
      </c>
      <c r="AN237" s="4">
        <v>0</v>
      </c>
      <c r="AO237" s="4">
        <v>0</v>
      </c>
      <c r="AP237" s="4">
        <v>0</v>
      </c>
      <c r="AQ237" s="4">
        <v>2619000</v>
      </c>
      <c r="AR237" s="4">
        <v>1693230</v>
      </c>
      <c r="AS237" s="4">
        <v>1693230</v>
      </c>
      <c r="AT237" s="4">
        <v>0</v>
      </c>
      <c r="AU237" s="4">
        <v>0</v>
      </c>
      <c r="AV237" s="4">
        <v>0</v>
      </c>
      <c r="AW237" s="4">
        <v>0</v>
      </c>
      <c r="AX237" s="4">
        <v>925770</v>
      </c>
      <c r="AY237" s="4">
        <v>925770</v>
      </c>
    </row>
    <row r="238" spans="1:51">
      <c r="A238" s="3" t="s">
        <v>52</v>
      </c>
      <c r="B238" s="3" t="s">
        <v>53</v>
      </c>
      <c r="C238" s="3" t="s">
        <v>54</v>
      </c>
      <c r="D238" s="3" t="s">
        <v>55</v>
      </c>
      <c r="E238" s="3" t="s">
        <v>56</v>
      </c>
      <c r="F238" s="3" t="s">
        <v>57</v>
      </c>
      <c r="G238" s="3" t="s">
        <v>58</v>
      </c>
      <c r="H238" s="3" t="s">
        <v>59</v>
      </c>
      <c r="I238" s="3" t="s">
        <v>60</v>
      </c>
      <c r="J238" s="3" t="s">
        <v>61</v>
      </c>
      <c r="K238" s="3" t="s">
        <v>62</v>
      </c>
      <c r="L238" s="3" t="s">
        <v>63</v>
      </c>
      <c r="M238" s="3" t="s">
        <v>400</v>
      </c>
      <c r="N238" s="3" t="s">
        <v>401</v>
      </c>
      <c r="O238" s="3" t="s">
        <v>402</v>
      </c>
      <c r="P238" s="3" t="s">
        <v>403</v>
      </c>
      <c r="Q238" s="3" t="s">
        <v>404</v>
      </c>
      <c r="R238" s="3" t="s">
        <v>405</v>
      </c>
      <c r="S238" s="3" t="s">
        <v>185</v>
      </c>
      <c r="T238" s="3" t="s">
        <v>460</v>
      </c>
      <c r="U238" s="3" t="s">
        <v>54</v>
      </c>
      <c r="V238" s="3" t="s">
        <v>72</v>
      </c>
      <c r="W238" s="3" t="s">
        <v>73</v>
      </c>
      <c r="X238" s="3" t="s">
        <v>74</v>
      </c>
      <c r="Y238" s="3" t="s">
        <v>78</v>
      </c>
      <c r="Z238" s="3" t="s">
        <v>79</v>
      </c>
      <c r="AA238" s="3" t="s">
        <v>481</v>
      </c>
      <c r="AB238" s="4">
        <v>1937000</v>
      </c>
      <c r="AC238" s="4">
        <v>0</v>
      </c>
      <c r="AD238" s="4">
        <v>0</v>
      </c>
      <c r="AE238" s="4">
        <v>1937000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4">
        <v>0</v>
      </c>
      <c r="AM238" s="4">
        <v>0</v>
      </c>
      <c r="AN238" s="4">
        <v>0</v>
      </c>
      <c r="AO238" s="4">
        <v>0</v>
      </c>
      <c r="AP238" s="4">
        <v>0</v>
      </c>
      <c r="AQ238" s="4">
        <v>1937000</v>
      </c>
      <c r="AR238" s="4">
        <v>1763640</v>
      </c>
      <c r="AS238" s="4">
        <v>1763640</v>
      </c>
      <c r="AT238" s="4">
        <v>0</v>
      </c>
      <c r="AU238" s="4">
        <v>0</v>
      </c>
      <c r="AV238" s="4">
        <v>0</v>
      </c>
      <c r="AW238" s="4">
        <v>0</v>
      </c>
      <c r="AX238" s="4">
        <v>173360</v>
      </c>
      <c r="AY238" s="4">
        <v>173360</v>
      </c>
    </row>
    <row r="239" spans="1:51">
      <c r="A239" s="3" t="s">
        <v>52</v>
      </c>
      <c r="B239" s="3" t="s">
        <v>53</v>
      </c>
      <c r="C239" s="3" t="s">
        <v>54</v>
      </c>
      <c r="D239" s="3" t="s">
        <v>55</v>
      </c>
      <c r="E239" s="3" t="s">
        <v>56</v>
      </c>
      <c r="F239" s="3" t="s">
        <v>57</v>
      </c>
      <c r="G239" s="3" t="s">
        <v>58</v>
      </c>
      <c r="H239" s="3" t="s">
        <v>59</v>
      </c>
      <c r="I239" s="3" t="s">
        <v>60</v>
      </c>
      <c r="J239" s="3" t="s">
        <v>61</v>
      </c>
      <c r="K239" s="3" t="s">
        <v>62</v>
      </c>
      <c r="L239" s="3" t="s">
        <v>63</v>
      </c>
      <c r="M239" s="3" t="s">
        <v>400</v>
      </c>
      <c r="N239" s="3" t="s">
        <v>401</v>
      </c>
      <c r="O239" s="3" t="s">
        <v>402</v>
      </c>
      <c r="P239" s="3" t="s">
        <v>403</v>
      </c>
      <c r="Q239" s="3" t="s">
        <v>404</v>
      </c>
      <c r="R239" s="3" t="s">
        <v>405</v>
      </c>
      <c r="S239" s="3" t="s">
        <v>185</v>
      </c>
      <c r="T239" s="3" t="s">
        <v>460</v>
      </c>
      <c r="U239" s="3" t="s">
        <v>54</v>
      </c>
      <c r="V239" s="3" t="s">
        <v>72</v>
      </c>
      <c r="W239" s="3" t="s">
        <v>73</v>
      </c>
      <c r="X239" s="3" t="s">
        <v>74</v>
      </c>
      <c r="Y239" s="3" t="s">
        <v>78</v>
      </c>
      <c r="Z239" s="3" t="s">
        <v>79</v>
      </c>
      <c r="AA239" s="3" t="s">
        <v>482</v>
      </c>
      <c r="AB239" s="4">
        <v>1946000</v>
      </c>
      <c r="AC239" s="4">
        <v>0</v>
      </c>
      <c r="AD239" s="4">
        <v>0</v>
      </c>
      <c r="AE239" s="4">
        <v>1946000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4">
        <v>0</v>
      </c>
      <c r="AM239" s="4">
        <v>0</v>
      </c>
      <c r="AN239" s="4">
        <v>0</v>
      </c>
      <c r="AO239" s="4">
        <v>0</v>
      </c>
      <c r="AP239" s="4">
        <v>0</v>
      </c>
      <c r="AQ239" s="4">
        <v>1946000</v>
      </c>
      <c r="AR239" s="4">
        <v>1184040</v>
      </c>
      <c r="AS239" s="4">
        <v>1184040</v>
      </c>
      <c r="AT239" s="4">
        <v>0</v>
      </c>
      <c r="AU239" s="4">
        <v>0</v>
      </c>
      <c r="AV239" s="4">
        <v>0</v>
      </c>
      <c r="AW239" s="4">
        <v>0</v>
      </c>
      <c r="AX239" s="4">
        <v>761960</v>
      </c>
      <c r="AY239" s="4">
        <v>761960</v>
      </c>
    </row>
    <row r="240" spans="1:51">
      <c r="A240" s="3" t="s">
        <v>52</v>
      </c>
      <c r="B240" s="3" t="s">
        <v>53</v>
      </c>
      <c r="C240" s="3" t="s">
        <v>54</v>
      </c>
      <c r="D240" s="3" t="s">
        <v>55</v>
      </c>
      <c r="E240" s="3" t="s">
        <v>56</v>
      </c>
      <c r="F240" s="3" t="s">
        <v>57</v>
      </c>
      <c r="G240" s="3" t="s">
        <v>58</v>
      </c>
      <c r="H240" s="3" t="s">
        <v>59</v>
      </c>
      <c r="I240" s="3" t="s">
        <v>60</v>
      </c>
      <c r="J240" s="3" t="s">
        <v>61</v>
      </c>
      <c r="K240" s="3" t="s">
        <v>62</v>
      </c>
      <c r="L240" s="3" t="s">
        <v>63</v>
      </c>
      <c r="M240" s="3" t="s">
        <v>400</v>
      </c>
      <c r="N240" s="3" t="s">
        <v>401</v>
      </c>
      <c r="O240" s="3" t="s">
        <v>402</v>
      </c>
      <c r="P240" s="3" t="s">
        <v>403</v>
      </c>
      <c r="Q240" s="3" t="s">
        <v>404</v>
      </c>
      <c r="R240" s="3" t="s">
        <v>405</v>
      </c>
      <c r="S240" s="3" t="s">
        <v>185</v>
      </c>
      <c r="T240" s="3" t="s">
        <v>460</v>
      </c>
      <c r="U240" s="3" t="s">
        <v>54</v>
      </c>
      <c r="V240" s="3" t="s">
        <v>72</v>
      </c>
      <c r="W240" s="3" t="s">
        <v>73</v>
      </c>
      <c r="X240" s="3" t="s">
        <v>74</v>
      </c>
      <c r="Y240" s="3" t="s">
        <v>78</v>
      </c>
      <c r="Z240" s="3" t="s">
        <v>79</v>
      </c>
      <c r="AA240" s="3" t="s">
        <v>483</v>
      </c>
      <c r="AB240" s="4">
        <v>3537000</v>
      </c>
      <c r="AC240" s="4">
        <v>0</v>
      </c>
      <c r="AD240" s="4">
        <v>0</v>
      </c>
      <c r="AE240" s="4">
        <v>3537000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4">
        <v>0</v>
      </c>
      <c r="AM240" s="4">
        <v>0</v>
      </c>
      <c r="AN240" s="4">
        <v>0</v>
      </c>
      <c r="AO240" s="4">
        <v>0</v>
      </c>
      <c r="AP240" s="4">
        <v>0</v>
      </c>
      <c r="AQ240" s="4">
        <v>3537000</v>
      </c>
      <c r="AR240" s="4">
        <v>2732400</v>
      </c>
      <c r="AS240" s="4">
        <v>2732400</v>
      </c>
      <c r="AT240" s="4">
        <v>0</v>
      </c>
      <c r="AU240" s="4">
        <v>0</v>
      </c>
      <c r="AV240" s="4">
        <v>0</v>
      </c>
      <c r="AW240" s="4">
        <v>0</v>
      </c>
      <c r="AX240" s="4">
        <v>804600</v>
      </c>
      <c r="AY240" s="4">
        <v>804600</v>
      </c>
    </row>
    <row r="241" spans="1:51">
      <c r="A241" s="3" t="s">
        <v>52</v>
      </c>
      <c r="B241" s="3" t="s">
        <v>53</v>
      </c>
      <c r="C241" s="3" t="s">
        <v>54</v>
      </c>
      <c r="D241" s="3" t="s">
        <v>55</v>
      </c>
      <c r="E241" s="3" t="s">
        <v>56</v>
      </c>
      <c r="F241" s="3" t="s">
        <v>57</v>
      </c>
      <c r="G241" s="3" t="s">
        <v>58</v>
      </c>
      <c r="H241" s="3" t="s">
        <v>59</v>
      </c>
      <c r="I241" s="3" t="s">
        <v>60</v>
      </c>
      <c r="J241" s="3" t="s">
        <v>61</v>
      </c>
      <c r="K241" s="3" t="s">
        <v>62</v>
      </c>
      <c r="L241" s="3" t="s">
        <v>63</v>
      </c>
      <c r="M241" s="3" t="s">
        <v>400</v>
      </c>
      <c r="N241" s="3" t="s">
        <v>401</v>
      </c>
      <c r="O241" s="3" t="s">
        <v>402</v>
      </c>
      <c r="P241" s="3" t="s">
        <v>403</v>
      </c>
      <c r="Q241" s="3" t="s">
        <v>404</v>
      </c>
      <c r="R241" s="3" t="s">
        <v>405</v>
      </c>
      <c r="S241" s="3" t="s">
        <v>185</v>
      </c>
      <c r="T241" s="3" t="s">
        <v>460</v>
      </c>
      <c r="U241" s="3" t="s">
        <v>54</v>
      </c>
      <c r="V241" s="3" t="s">
        <v>72</v>
      </c>
      <c r="W241" s="3" t="s">
        <v>73</v>
      </c>
      <c r="X241" s="3" t="s">
        <v>74</v>
      </c>
      <c r="Y241" s="3" t="s">
        <v>78</v>
      </c>
      <c r="Z241" s="3" t="s">
        <v>79</v>
      </c>
      <c r="AA241" s="3" t="s">
        <v>484</v>
      </c>
      <c r="AB241" s="4">
        <v>1988000</v>
      </c>
      <c r="AC241" s="4">
        <v>0</v>
      </c>
      <c r="AD241" s="4">
        <v>0</v>
      </c>
      <c r="AE241" s="4">
        <v>1988000</v>
      </c>
      <c r="AF241" s="4">
        <v>0</v>
      </c>
      <c r="AG241" s="4">
        <v>0</v>
      </c>
      <c r="AH241" s="4">
        <v>0</v>
      </c>
      <c r="AI241" s="4">
        <v>0</v>
      </c>
      <c r="AJ241" s="4">
        <v>0</v>
      </c>
      <c r="AK241" s="4">
        <v>0</v>
      </c>
      <c r="AL241" s="4">
        <v>0</v>
      </c>
      <c r="AM241" s="4">
        <v>0</v>
      </c>
      <c r="AN241" s="4">
        <v>0</v>
      </c>
      <c r="AO241" s="4">
        <v>0</v>
      </c>
      <c r="AP241" s="4">
        <v>0</v>
      </c>
      <c r="AQ241" s="4">
        <v>1988000</v>
      </c>
      <c r="AR241" s="4">
        <v>1407600</v>
      </c>
      <c r="AS241" s="4">
        <v>1407600</v>
      </c>
      <c r="AT241" s="4">
        <v>0</v>
      </c>
      <c r="AU241" s="4">
        <v>0</v>
      </c>
      <c r="AV241" s="4">
        <v>0</v>
      </c>
      <c r="AW241" s="4">
        <v>0</v>
      </c>
      <c r="AX241" s="4">
        <v>580400</v>
      </c>
      <c r="AY241" s="4">
        <v>580400</v>
      </c>
    </row>
    <row r="242" spans="1:51">
      <c r="A242" s="3" t="s">
        <v>52</v>
      </c>
      <c r="B242" s="3" t="s">
        <v>53</v>
      </c>
      <c r="C242" s="3" t="s">
        <v>54</v>
      </c>
      <c r="D242" s="3" t="s">
        <v>55</v>
      </c>
      <c r="E242" s="3" t="s">
        <v>56</v>
      </c>
      <c r="F242" s="3" t="s">
        <v>57</v>
      </c>
      <c r="G242" s="3" t="s">
        <v>58</v>
      </c>
      <c r="H242" s="3" t="s">
        <v>59</v>
      </c>
      <c r="I242" s="3" t="s">
        <v>60</v>
      </c>
      <c r="J242" s="3" t="s">
        <v>61</v>
      </c>
      <c r="K242" s="3" t="s">
        <v>62</v>
      </c>
      <c r="L242" s="3" t="s">
        <v>63</v>
      </c>
      <c r="M242" s="3" t="s">
        <v>400</v>
      </c>
      <c r="N242" s="3" t="s">
        <v>401</v>
      </c>
      <c r="O242" s="3" t="s">
        <v>402</v>
      </c>
      <c r="P242" s="3" t="s">
        <v>403</v>
      </c>
      <c r="Q242" s="3" t="s">
        <v>404</v>
      </c>
      <c r="R242" s="3" t="s">
        <v>405</v>
      </c>
      <c r="S242" s="3" t="s">
        <v>185</v>
      </c>
      <c r="T242" s="3" t="s">
        <v>460</v>
      </c>
      <c r="U242" s="3" t="s">
        <v>54</v>
      </c>
      <c r="V242" s="3" t="s">
        <v>72</v>
      </c>
      <c r="W242" s="3" t="s">
        <v>73</v>
      </c>
      <c r="X242" s="3" t="s">
        <v>74</v>
      </c>
      <c r="Y242" s="3" t="s">
        <v>78</v>
      </c>
      <c r="Z242" s="3" t="s">
        <v>79</v>
      </c>
      <c r="AA242" s="3" t="s">
        <v>485</v>
      </c>
      <c r="AB242" s="4">
        <v>2543000</v>
      </c>
      <c r="AC242" s="4">
        <v>0</v>
      </c>
      <c r="AD242" s="4">
        <v>0</v>
      </c>
      <c r="AE242" s="4">
        <v>2543000</v>
      </c>
      <c r="AF242" s="4">
        <v>0</v>
      </c>
      <c r="AG242" s="4">
        <v>0</v>
      </c>
      <c r="AH242" s="4">
        <v>0</v>
      </c>
      <c r="AI242" s="4">
        <v>0</v>
      </c>
      <c r="AJ242" s="4">
        <v>0</v>
      </c>
      <c r="AK242" s="4">
        <v>0</v>
      </c>
      <c r="AL242" s="4">
        <v>0</v>
      </c>
      <c r="AM242" s="4">
        <v>0</v>
      </c>
      <c r="AN242" s="4">
        <v>0</v>
      </c>
      <c r="AO242" s="4">
        <v>0</v>
      </c>
      <c r="AP242" s="4">
        <v>0</v>
      </c>
      <c r="AQ242" s="4">
        <v>2543000</v>
      </c>
      <c r="AR242" s="4">
        <v>1440720</v>
      </c>
      <c r="AS242" s="4">
        <v>1440720</v>
      </c>
      <c r="AT242" s="4">
        <v>0</v>
      </c>
      <c r="AU242" s="4">
        <v>0</v>
      </c>
      <c r="AV242" s="4">
        <v>0</v>
      </c>
      <c r="AW242" s="4">
        <v>0</v>
      </c>
      <c r="AX242" s="4">
        <v>1102280</v>
      </c>
      <c r="AY242" s="4">
        <v>1102280</v>
      </c>
    </row>
    <row r="243" spans="1:51">
      <c r="A243" s="3" t="s">
        <v>52</v>
      </c>
      <c r="B243" s="3" t="s">
        <v>53</v>
      </c>
      <c r="C243" s="3" t="s">
        <v>54</v>
      </c>
      <c r="D243" s="3" t="s">
        <v>55</v>
      </c>
      <c r="E243" s="3" t="s">
        <v>56</v>
      </c>
      <c r="F243" s="3" t="s">
        <v>57</v>
      </c>
      <c r="G243" s="3" t="s">
        <v>58</v>
      </c>
      <c r="H243" s="3" t="s">
        <v>59</v>
      </c>
      <c r="I243" s="3" t="s">
        <v>60</v>
      </c>
      <c r="J243" s="3" t="s">
        <v>61</v>
      </c>
      <c r="K243" s="3" t="s">
        <v>62</v>
      </c>
      <c r="L243" s="3" t="s">
        <v>63</v>
      </c>
      <c r="M243" s="3" t="s">
        <v>400</v>
      </c>
      <c r="N243" s="3" t="s">
        <v>401</v>
      </c>
      <c r="O243" s="3" t="s">
        <v>402</v>
      </c>
      <c r="P243" s="3" t="s">
        <v>403</v>
      </c>
      <c r="Q243" s="3" t="s">
        <v>404</v>
      </c>
      <c r="R243" s="3" t="s">
        <v>405</v>
      </c>
      <c r="S243" s="3" t="s">
        <v>185</v>
      </c>
      <c r="T243" s="3" t="s">
        <v>460</v>
      </c>
      <c r="U243" s="3" t="s">
        <v>54</v>
      </c>
      <c r="V243" s="3" t="s">
        <v>72</v>
      </c>
      <c r="W243" s="3" t="s">
        <v>73</v>
      </c>
      <c r="X243" s="3" t="s">
        <v>74</v>
      </c>
      <c r="Y243" s="3" t="s">
        <v>78</v>
      </c>
      <c r="Z243" s="3" t="s">
        <v>79</v>
      </c>
      <c r="AA243" s="3" t="s">
        <v>486</v>
      </c>
      <c r="AB243" s="4">
        <v>3175000</v>
      </c>
      <c r="AC243" s="4">
        <v>0</v>
      </c>
      <c r="AD243" s="4">
        <v>0</v>
      </c>
      <c r="AE243" s="4">
        <v>3175000</v>
      </c>
      <c r="AF243" s="4">
        <v>0</v>
      </c>
      <c r="AG243" s="4">
        <v>0</v>
      </c>
      <c r="AH243" s="4">
        <v>0</v>
      </c>
      <c r="AI243" s="4">
        <v>0</v>
      </c>
      <c r="AJ243" s="4">
        <v>0</v>
      </c>
      <c r="AK243" s="4">
        <v>0</v>
      </c>
      <c r="AL243" s="4">
        <v>0</v>
      </c>
      <c r="AM243" s="4">
        <v>0</v>
      </c>
      <c r="AN243" s="4">
        <v>0</v>
      </c>
      <c r="AO243" s="4">
        <v>0</v>
      </c>
      <c r="AP243" s="4">
        <v>0</v>
      </c>
      <c r="AQ243" s="4">
        <v>3175000</v>
      </c>
      <c r="AR243" s="4">
        <v>1985770</v>
      </c>
      <c r="AS243" s="4">
        <v>1985770</v>
      </c>
      <c r="AT243" s="4">
        <v>0</v>
      </c>
      <c r="AU243" s="4">
        <v>0</v>
      </c>
      <c r="AV243" s="4">
        <v>0</v>
      </c>
      <c r="AW243" s="4">
        <v>0</v>
      </c>
      <c r="AX243" s="4">
        <v>1189230</v>
      </c>
      <c r="AY243" s="4">
        <v>1189230</v>
      </c>
    </row>
    <row r="244" spans="1:51">
      <c r="A244" s="3" t="s">
        <v>52</v>
      </c>
      <c r="B244" s="3" t="s">
        <v>53</v>
      </c>
      <c r="C244" s="3" t="s">
        <v>54</v>
      </c>
      <c r="D244" s="3" t="s">
        <v>55</v>
      </c>
      <c r="E244" s="3" t="s">
        <v>56</v>
      </c>
      <c r="F244" s="3" t="s">
        <v>57</v>
      </c>
      <c r="G244" s="3" t="s">
        <v>58</v>
      </c>
      <c r="H244" s="3" t="s">
        <v>59</v>
      </c>
      <c r="I244" s="3" t="s">
        <v>60</v>
      </c>
      <c r="J244" s="3" t="s">
        <v>61</v>
      </c>
      <c r="K244" s="3" t="s">
        <v>62</v>
      </c>
      <c r="L244" s="3" t="s">
        <v>63</v>
      </c>
      <c r="M244" s="3" t="s">
        <v>400</v>
      </c>
      <c r="N244" s="3" t="s">
        <v>401</v>
      </c>
      <c r="O244" s="3" t="s">
        <v>402</v>
      </c>
      <c r="P244" s="3" t="s">
        <v>403</v>
      </c>
      <c r="Q244" s="3" t="s">
        <v>404</v>
      </c>
      <c r="R244" s="3" t="s">
        <v>405</v>
      </c>
      <c r="S244" s="3" t="s">
        <v>185</v>
      </c>
      <c r="T244" s="3" t="s">
        <v>460</v>
      </c>
      <c r="U244" s="3" t="s">
        <v>54</v>
      </c>
      <c r="V244" s="3" t="s">
        <v>72</v>
      </c>
      <c r="W244" s="3" t="s">
        <v>73</v>
      </c>
      <c r="X244" s="3" t="s">
        <v>74</v>
      </c>
      <c r="Y244" s="3" t="s">
        <v>78</v>
      </c>
      <c r="Z244" s="3" t="s">
        <v>79</v>
      </c>
      <c r="AA244" s="3" t="s">
        <v>487</v>
      </c>
      <c r="AB244" s="4">
        <v>1857000</v>
      </c>
      <c r="AC244" s="4">
        <v>-1857000</v>
      </c>
      <c r="AD244" s="4">
        <v>0</v>
      </c>
      <c r="AE244" s="4">
        <v>0</v>
      </c>
      <c r="AF244" s="4">
        <v>0</v>
      </c>
      <c r="AG244" s="4">
        <v>0</v>
      </c>
      <c r="AH244" s="4">
        <v>0</v>
      </c>
      <c r="AI244" s="4">
        <v>0</v>
      </c>
      <c r="AJ244" s="4">
        <v>0</v>
      </c>
      <c r="AK244" s="4">
        <v>0</v>
      </c>
      <c r="AL244" s="4">
        <v>0</v>
      </c>
      <c r="AM244" s="4">
        <v>0</v>
      </c>
      <c r="AN244" s="4">
        <v>0</v>
      </c>
      <c r="AO244" s="4">
        <v>0</v>
      </c>
      <c r="AP244" s="4">
        <v>0</v>
      </c>
      <c r="AQ244" s="4">
        <v>0</v>
      </c>
      <c r="AR244" s="4">
        <v>0</v>
      </c>
      <c r="AS244" s="4">
        <v>0</v>
      </c>
      <c r="AT244" s="4">
        <v>0</v>
      </c>
      <c r="AU244" s="4">
        <v>0</v>
      </c>
      <c r="AV244" s="4">
        <v>0</v>
      </c>
      <c r="AW244" s="4">
        <v>0</v>
      </c>
      <c r="AX244" s="4">
        <v>0</v>
      </c>
      <c r="AY244" s="4">
        <v>0</v>
      </c>
    </row>
    <row r="245" spans="1:51">
      <c r="A245" s="3" t="s">
        <v>52</v>
      </c>
      <c r="B245" s="3" t="s">
        <v>53</v>
      </c>
      <c r="C245" s="3" t="s">
        <v>54</v>
      </c>
      <c r="D245" s="3" t="s">
        <v>55</v>
      </c>
      <c r="E245" s="3" t="s">
        <v>56</v>
      </c>
      <c r="F245" s="3" t="s">
        <v>57</v>
      </c>
      <c r="G245" s="3" t="s">
        <v>58</v>
      </c>
      <c r="H245" s="3" t="s">
        <v>59</v>
      </c>
      <c r="I245" s="3" t="s">
        <v>60</v>
      </c>
      <c r="J245" s="3" t="s">
        <v>61</v>
      </c>
      <c r="K245" s="3" t="s">
        <v>62</v>
      </c>
      <c r="L245" s="3" t="s">
        <v>63</v>
      </c>
      <c r="M245" s="3" t="s">
        <v>400</v>
      </c>
      <c r="N245" s="3" t="s">
        <v>401</v>
      </c>
      <c r="O245" s="3" t="s">
        <v>402</v>
      </c>
      <c r="P245" s="3" t="s">
        <v>403</v>
      </c>
      <c r="Q245" s="3" t="s">
        <v>404</v>
      </c>
      <c r="R245" s="3" t="s">
        <v>405</v>
      </c>
      <c r="S245" s="3" t="s">
        <v>185</v>
      </c>
      <c r="T245" s="3" t="s">
        <v>460</v>
      </c>
      <c r="U245" s="3" t="s">
        <v>54</v>
      </c>
      <c r="V245" s="3" t="s">
        <v>72</v>
      </c>
      <c r="W245" s="3" t="s">
        <v>73</v>
      </c>
      <c r="X245" s="3" t="s">
        <v>74</v>
      </c>
      <c r="Y245" s="3" t="s">
        <v>78</v>
      </c>
      <c r="Z245" s="3" t="s">
        <v>79</v>
      </c>
      <c r="AA245" s="3" t="s">
        <v>488</v>
      </c>
      <c r="AB245" s="4">
        <v>3705000</v>
      </c>
      <c r="AC245" s="4">
        <v>0</v>
      </c>
      <c r="AD245" s="4">
        <v>0</v>
      </c>
      <c r="AE245" s="4">
        <v>3705000</v>
      </c>
      <c r="AF245" s="4">
        <v>0</v>
      </c>
      <c r="AG245" s="4">
        <v>0</v>
      </c>
      <c r="AH245" s="4">
        <v>0</v>
      </c>
      <c r="AI245" s="4">
        <v>0</v>
      </c>
      <c r="AJ245" s="4">
        <v>0</v>
      </c>
      <c r="AK245" s="4">
        <v>0</v>
      </c>
      <c r="AL245" s="4">
        <v>0</v>
      </c>
      <c r="AM245" s="4">
        <v>0</v>
      </c>
      <c r="AN245" s="4">
        <v>0</v>
      </c>
      <c r="AO245" s="4">
        <v>0</v>
      </c>
      <c r="AP245" s="4">
        <v>0</v>
      </c>
      <c r="AQ245" s="4">
        <v>3705000</v>
      </c>
      <c r="AR245" s="4">
        <v>2964540</v>
      </c>
      <c r="AS245" s="4">
        <v>2964540</v>
      </c>
      <c r="AT245" s="4">
        <v>0</v>
      </c>
      <c r="AU245" s="4">
        <v>0</v>
      </c>
      <c r="AV245" s="4">
        <v>0</v>
      </c>
      <c r="AW245" s="4">
        <v>0</v>
      </c>
      <c r="AX245" s="4">
        <v>740460</v>
      </c>
      <c r="AY245" s="4">
        <v>740460</v>
      </c>
    </row>
    <row r="246" spans="1:51">
      <c r="A246" s="3" t="s">
        <v>52</v>
      </c>
      <c r="B246" s="3" t="s">
        <v>53</v>
      </c>
      <c r="C246" s="3" t="s">
        <v>54</v>
      </c>
      <c r="D246" s="3" t="s">
        <v>55</v>
      </c>
      <c r="E246" s="3" t="s">
        <v>56</v>
      </c>
      <c r="F246" s="3" t="s">
        <v>57</v>
      </c>
      <c r="G246" s="3" t="s">
        <v>58</v>
      </c>
      <c r="H246" s="3" t="s">
        <v>59</v>
      </c>
      <c r="I246" s="3" t="s">
        <v>60</v>
      </c>
      <c r="J246" s="3" t="s">
        <v>61</v>
      </c>
      <c r="K246" s="3" t="s">
        <v>62</v>
      </c>
      <c r="L246" s="3" t="s">
        <v>63</v>
      </c>
      <c r="M246" s="3" t="s">
        <v>400</v>
      </c>
      <c r="N246" s="3" t="s">
        <v>401</v>
      </c>
      <c r="O246" s="3" t="s">
        <v>402</v>
      </c>
      <c r="P246" s="3" t="s">
        <v>403</v>
      </c>
      <c r="Q246" s="3" t="s">
        <v>404</v>
      </c>
      <c r="R246" s="3" t="s">
        <v>405</v>
      </c>
      <c r="S246" s="3" t="s">
        <v>185</v>
      </c>
      <c r="T246" s="3" t="s">
        <v>460</v>
      </c>
      <c r="U246" s="3" t="s">
        <v>54</v>
      </c>
      <c r="V246" s="3" t="s">
        <v>72</v>
      </c>
      <c r="W246" s="3" t="s">
        <v>73</v>
      </c>
      <c r="X246" s="3" t="s">
        <v>74</v>
      </c>
      <c r="Y246" s="3" t="s">
        <v>78</v>
      </c>
      <c r="Z246" s="3" t="s">
        <v>79</v>
      </c>
      <c r="AA246" s="3" t="s">
        <v>489</v>
      </c>
      <c r="AB246" s="4">
        <v>8778000</v>
      </c>
      <c r="AC246" s="4">
        <v>0</v>
      </c>
      <c r="AD246" s="4">
        <v>0</v>
      </c>
      <c r="AE246" s="4">
        <v>8778000</v>
      </c>
      <c r="AF246" s="4">
        <v>0</v>
      </c>
      <c r="AG246" s="4">
        <v>0</v>
      </c>
      <c r="AH246" s="4">
        <v>0</v>
      </c>
      <c r="AI246" s="4">
        <v>0</v>
      </c>
      <c r="AJ246" s="4">
        <v>0</v>
      </c>
      <c r="AK246" s="4">
        <v>0</v>
      </c>
      <c r="AL246" s="4">
        <v>0</v>
      </c>
      <c r="AM246" s="4">
        <v>0</v>
      </c>
      <c r="AN246" s="4">
        <v>0</v>
      </c>
      <c r="AO246" s="4">
        <v>0</v>
      </c>
      <c r="AP246" s="4">
        <v>0</v>
      </c>
      <c r="AQ246" s="4">
        <v>8778000</v>
      </c>
      <c r="AR246" s="4">
        <v>5439340</v>
      </c>
      <c r="AS246" s="4">
        <v>5439340</v>
      </c>
      <c r="AT246" s="4">
        <v>0</v>
      </c>
      <c r="AU246" s="4">
        <v>0</v>
      </c>
      <c r="AV246" s="4">
        <v>0</v>
      </c>
      <c r="AW246" s="4">
        <v>0</v>
      </c>
      <c r="AX246" s="4">
        <v>3338660</v>
      </c>
      <c r="AY246" s="4">
        <v>3338660</v>
      </c>
    </row>
    <row r="247" spans="1:51">
      <c r="A247" s="3" t="s">
        <v>52</v>
      </c>
      <c r="B247" s="3" t="s">
        <v>53</v>
      </c>
      <c r="C247" s="3" t="s">
        <v>54</v>
      </c>
      <c r="D247" s="3" t="s">
        <v>55</v>
      </c>
      <c r="E247" s="3" t="s">
        <v>56</v>
      </c>
      <c r="F247" s="3" t="s">
        <v>57</v>
      </c>
      <c r="G247" s="3" t="s">
        <v>58</v>
      </c>
      <c r="H247" s="3" t="s">
        <v>59</v>
      </c>
      <c r="I247" s="3" t="s">
        <v>60</v>
      </c>
      <c r="J247" s="3" t="s">
        <v>61</v>
      </c>
      <c r="K247" s="3" t="s">
        <v>62</v>
      </c>
      <c r="L247" s="3" t="s">
        <v>63</v>
      </c>
      <c r="M247" s="3" t="s">
        <v>400</v>
      </c>
      <c r="N247" s="3" t="s">
        <v>401</v>
      </c>
      <c r="O247" s="3" t="s">
        <v>402</v>
      </c>
      <c r="P247" s="3" t="s">
        <v>403</v>
      </c>
      <c r="Q247" s="3" t="s">
        <v>404</v>
      </c>
      <c r="R247" s="3" t="s">
        <v>405</v>
      </c>
      <c r="S247" s="3" t="s">
        <v>185</v>
      </c>
      <c r="T247" s="3" t="s">
        <v>460</v>
      </c>
      <c r="U247" s="3" t="s">
        <v>54</v>
      </c>
      <c r="V247" s="3" t="s">
        <v>72</v>
      </c>
      <c r="W247" s="3" t="s">
        <v>73</v>
      </c>
      <c r="X247" s="3" t="s">
        <v>74</v>
      </c>
      <c r="Y247" s="3" t="s">
        <v>78</v>
      </c>
      <c r="Z247" s="3" t="s">
        <v>79</v>
      </c>
      <c r="AA247" s="3" t="s">
        <v>490</v>
      </c>
      <c r="AB247" s="4">
        <v>0</v>
      </c>
      <c r="AC247" s="4">
        <v>2800000</v>
      </c>
      <c r="AD247" s="4">
        <v>0</v>
      </c>
      <c r="AE247" s="4">
        <v>2800000</v>
      </c>
      <c r="AF247" s="4">
        <v>0</v>
      </c>
      <c r="AG247" s="4">
        <v>0</v>
      </c>
      <c r="AH247" s="4">
        <v>0</v>
      </c>
      <c r="AI247" s="4">
        <v>0</v>
      </c>
      <c r="AJ247" s="4">
        <v>0</v>
      </c>
      <c r="AK247" s="4">
        <v>0</v>
      </c>
      <c r="AL247" s="4">
        <v>0</v>
      </c>
      <c r="AM247" s="4">
        <v>0</v>
      </c>
      <c r="AN247" s="4">
        <v>0</v>
      </c>
      <c r="AO247" s="4">
        <v>0</v>
      </c>
      <c r="AP247" s="4">
        <v>0</v>
      </c>
      <c r="AQ247" s="4">
        <v>2800000</v>
      </c>
      <c r="AR247" s="4">
        <v>2484000</v>
      </c>
      <c r="AS247" s="4">
        <v>2484000</v>
      </c>
      <c r="AT247" s="4">
        <v>0</v>
      </c>
      <c r="AU247" s="4">
        <v>0</v>
      </c>
      <c r="AV247" s="4">
        <v>0</v>
      </c>
      <c r="AW247" s="4">
        <v>0</v>
      </c>
      <c r="AX247" s="4">
        <v>316000</v>
      </c>
      <c r="AY247" s="4">
        <v>316000</v>
      </c>
    </row>
    <row r="248" spans="1:51">
      <c r="A248" s="3" t="s">
        <v>52</v>
      </c>
      <c r="B248" s="3" t="s">
        <v>53</v>
      </c>
      <c r="C248" s="3" t="s">
        <v>54</v>
      </c>
      <c r="D248" s="3" t="s">
        <v>55</v>
      </c>
      <c r="E248" s="3" t="s">
        <v>56</v>
      </c>
      <c r="F248" s="3" t="s">
        <v>57</v>
      </c>
      <c r="G248" s="3" t="s">
        <v>58</v>
      </c>
      <c r="H248" s="3" t="s">
        <v>59</v>
      </c>
      <c r="I248" s="3" t="s">
        <v>60</v>
      </c>
      <c r="J248" s="3" t="s">
        <v>61</v>
      </c>
      <c r="K248" s="3" t="s">
        <v>62</v>
      </c>
      <c r="L248" s="3" t="s">
        <v>63</v>
      </c>
      <c r="M248" s="3" t="s">
        <v>400</v>
      </c>
      <c r="N248" s="3" t="s">
        <v>401</v>
      </c>
      <c r="O248" s="3" t="s">
        <v>402</v>
      </c>
      <c r="P248" s="3" t="s">
        <v>403</v>
      </c>
      <c r="Q248" s="3" t="s">
        <v>404</v>
      </c>
      <c r="R248" s="3" t="s">
        <v>405</v>
      </c>
      <c r="S248" s="3" t="s">
        <v>185</v>
      </c>
      <c r="T248" s="3" t="s">
        <v>460</v>
      </c>
      <c r="U248" s="3" t="s">
        <v>54</v>
      </c>
      <c r="V248" s="3" t="s">
        <v>72</v>
      </c>
      <c r="W248" s="3" t="s">
        <v>73</v>
      </c>
      <c r="X248" s="3" t="s">
        <v>74</v>
      </c>
      <c r="Y248" s="3" t="s">
        <v>78</v>
      </c>
      <c r="Z248" s="3" t="s">
        <v>79</v>
      </c>
      <c r="AA248" s="3" t="s">
        <v>491</v>
      </c>
      <c r="AB248" s="4">
        <v>0</v>
      </c>
      <c r="AC248" s="4">
        <v>1104000</v>
      </c>
      <c r="AD248" s="4">
        <v>138000</v>
      </c>
      <c r="AE248" s="4">
        <v>1242000</v>
      </c>
      <c r="AF248" s="4">
        <v>0</v>
      </c>
      <c r="AG248" s="4">
        <v>0</v>
      </c>
      <c r="AH248" s="4">
        <v>0</v>
      </c>
      <c r="AI248" s="4">
        <v>0</v>
      </c>
      <c r="AJ248" s="4">
        <v>0</v>
      </c>
      <c r="AK248" s="4">
        <v>0</v>
      </c>
      <c r="AL248" s="4">
        <v>0</v>
      </c>
      <c r="AM248" s="4">
        <v>0</v>
      </c>
      <c r="AN248" s="4">
        <v>0</v>
      </c>
      <c r="AO248" s="4">
        <v>0</v>
      </c>
      <c r="AP248" s="4">
        <v>0</v>
      </c>
      <c r="AQ248" s="4">
        <v>1242000</v>
      </c>
      <c r="AR248" s="4">
        <v>1242000</v>
      </c>
      <c r="AS248" s="4">
        <v>1242000</v>
      </c>
      <c r="AT248" s="4">
        <v>0</v>
      </c>
      <c r="AU248" s="4">
        <v>0</v>
      </c>
      <c r="AV248" s="4">
        <v>0</v>
      </c>
      <c r="AW248" s="4">
        <v>0</v>
      </c>
      <c r="AX248" s="4">
        <v>0</v>
      </c>
      <c r="AY248" s="4">
        <v>0</v>
      </c>
    </row>
    <row r="249" spans="1:51">
      <c r="A249" s="3" t="s">
        <v>52</v>
      </c>
      <c r="B249" s="3" t="s">
        <v>53</v>
      </c>
      <c r="C249" s="3" t="s">
        <v>54</v>
      </c>
      <c r="D249" s="3" t="s">
        <v>55</v>
      </c>
      <c r="E249" s="3" t="s">
        <v>56</v>
      </c>
      <c r="F249" s="3" t="s">
        <v>57</v>
      </c>
      <c r="G249" s="3" t="s">
        <v>58</v>
      </c>
      <c r="H249" s="3" t="s">
        <v>59</v>
      </c>
      <c r="I249" s="3" t="s">
        <v>60</v>
      </c>
      <c r="J249" s="3" t="s">
        <v>61</v>
      </c>
      <c r="K249" s="3" t="s">
        <v>62</v>
      </c>
      <c r="L249" s="3" t="s">
        <v>63</v>
      </c>
      <c r="M249" s="3" t="s">
        <v>400</v>
      </c>
      <c r="N249" s="3" t="s">
        <v>401</v>
      </c>
      <c r="O249" s="3" t="s">
        <v>402</v>
      </c>
      <c r="P249" s="3" t="s">
        <v>403</v>
      </c>
      <c r="Q249" s="3" t="s">
        <v>404</v>
      </c>
      <c r="R249" s="3" t="s">
        <v>405</v>
      </c>
      <c r="S249" s="3" t="s">
        <v>185</v>
      </c>
      <c r="T249" s="3" t="s">
        <v>460</v>
      </c>
      <c r="U249" s="3" t="s">
        <v>54</v>
      </c>
      <c r="V249" s="3" t="s">
        <v>72</v>
      </c>
      <c r="W249" s="3" t="s">
        <v>73</v>
      </c>
      <c r="X249" s="3" t="s">
        <v>74</v>
      </c>
      <c r="Y249" s="3" t="s">
        <v>78</v>
      </c>
      <c r="Z249" s="3" t="s">
        <v>79</v>
      </c>
      <c r="AA249" s="3" t="s">
        <v>492</v>
      </c>
      <c r="AB249" s="4">
        <v>0</v>
      </c>
      <c r="AC249" s="4">
        <v>1052000</v>
      </c>
      <c r="AD249" s="4">
        <v>141000</v>
      </c>
      <c r="AE249" s="4">
        <v>1193000</v>
      </c>
      <c r="AF249" s="4">
        <v>0</v>
      </c>
      <c r="AG249" s="4">
        <v>0</v>
      </c>
      <c r="AH249" s="4">
        <v>0</v>
      </c>
      <c r="AI249" s="4">
        <v>0</v>
      </c>
      <c r="AJ249" s="4">
        <v>0</v>
      </c>
      <c r="AK249" s="4">
        <v>0</v>
      </c>
      <c r="AL249" s="4">
        <v>0</v>
      </c>
      <c r="AM249" s="4">
        <v>0</v>
      </c>
      <c r="AN249" s="4">
        <v>0</v>
      </c>
      <c r="AO249" s="4">
        <v>0</v>
      </c>
      <c r="AP249" s="4">
        <v>0</v>
      </c>
      <c r="AQ249" s="4">
        <v>1193000</v>
      </c>
      <c r="AR249" s="4">
        <v>1192320</v>
      </c>
      <c r="AS249" s="4">
        <v>1192320</v>
      </c>
      <c r="AT249" s="4">
        <v>0</v>
      </c>
      <c r="AU249" s="4">
        <v>0</v>
      </c>
      <c r="AV249" s="4">
        <v>0</v>
      </c>
      <c r="AW249" s="4">
        <v>0</v>
      </c>
      <c r="AX249" s="4">
        <v>680</v>
      </c>
      <c r="AY249" s="4">
        <v>680</v>
      </c>
    </row>
    <row r="250" spans="1:51">
      <c r="A250" s="3" t="s">
        <v>52</v>
      </c>
      <c r="B250" s="3" t="s">
        <v>53</v>
      </c>
      <c r="C250" s="3" t="s">
        <v>54</v>
      </c>
      <c r="D250" s="3" t="s">
        <v>55</v>
      </c>
      <c r="E250" s="3" t="s">
        <v>56</v>
      </c>
      <c r="F250" s="3" t="s">
        <v>57</v>
      </c>
      <c r="G250" s="3" t="s">
        <v>58</v>
      </c>
      <c r="H250" s="3" t="s">
        <v>59</v>
      </c>
      <c r="I250" s="3" t="s">
        <v>60</v>
      </c>
      <c r="J250" s="3" t="s">
        <v>61</v>
      </c>
      <c r="K250" s="3" t="s">
        <v>62</v>
      </c>
      <c r="L250" s="3" t="s">
        <v>63</v>
      </c>
      <c r="M250" s="3" t="s">
        <v>400</v>
      </c>
      <c r="N250" s="3" t="s">
        <v>401</v>
      </c>
      <c r="O250" s="3" t="s">
        <v>402</v>
      </c>
      <c r="P250" s="3" t="s">
        <v>403</v>
      </c>
      <c r="Q250" s="3" t="s">
        <v>404</v>
      </c>
      <c r="R250" s="3" t="s">
        <v>405</v>
      </c>
      <c r="S250" s="3" t="s">
        <v>185</v>
      </c>
      <c r="T250" s="3" t="s">
        <v>460</v>
      </c>
      <c r="U250" s="3" t="s">
        <v>54</v>
      </c>
      <c r="V250" s="3" t="s">
        <v>72</v>
      </c>
      <c r="W250" s="3" t="s">
        <v>73</v>
      </c>
      <c r="X250" s="3" t="s">
        <v>74</v>
      </c>
      <c r="Y250" s="3" t="s">
        <v>78</v>
      </c>
      <c r="Z250" s="3" t="s">
        <v>79</v>
      </c>
      <c r="AA250" s="3" t="s">
        <v>493</v>
      </c>
      <c r="AB250" s="4">
        <v>0</v>
      </c>
      <c r="AC250" s="4">
        <v>2199000</v>
      </c>
      <c r="AD250" s="4">
        <v>62000</v>
      </c>
      <c r="AE250" s="4">
        <v>2261000</v>
      </c>
      <c r="AF250" s="4">
        <v>0</v>
      </c>
      <c r="AG250" s="4">
        <v>0</v>
      </c>
      <c r="AH250" s="4">
        <v>0</v>
      </c>
      <c r="AI250" s="4">
        <v>0</v>
      </c>
      <c r="AJ250" s="4">
        <v>0</v>
      </c>
      <c r="AK250" s="4">
        <v>0</v>
      </c>
      <c r="AL250" s="4">
        <v>0</v>
      </c>
      <c r="AM250" s="4">
        <v>0</v>
      </c>
      <c r="AN250" s="4">
        <v>0</v>
      </c>
      <c r="AO250" s="4">
        <v>0</v>
      </c>
      <c r="AP250" s="4">
        <v>0</v>
      </c>
      <c r="AQ250" s="4">
        <v>2261000</v>
      </c>
      <c r="AR250" s="4">
        <v>2260440</v>
      </c>
      <c r="AS250" s="4">
        <v>2260440</v>
      </c>
      <c r="AT250" s="4">
        <v>0</v>
      </c>
      <c r="AU250" s="4">
        <v>0</v>
      </c>
      <c r="AV250" s="4">
        <v>0</v>
      </c>
      <c r="AW250" s="4">
        <v>0</v>
      </c>
      <c r="AX250" s="4">
        <v>560</v>
      </c>
      <c r="AY250" s="4">
        <v>560</v>
      </c>
    </row>
    <row r="251" spans="1:51">
      <c r="A251" s="3" t="s">
        <v>52</v>
      </c>
      <c r="B251" s="3" t="s">
        <v>53</v>
      </c>
      <c r="C251" s="3" t="s">
        <v>54</v>
      </c>
      <c r="D251" s="3" t="s">
        <v>55</v>
      </c>
      <c r="E251" s="3" t="s">
        <v>56</v>
      </c>
      <c r="F251" s="3" t="s">
        <v>57</v>
      </c>
      <c r="G251" s="3" t="s">
        <v>58</v>
      </c>
      <c r="H251" s="3" t="s">
        <v>59</v>
      </c>
      <c r="I251" s="3" t="s">
        <v>60</v>
      </c>
      <c r="J251" s="3" t="s">
        <v>61</v>
      </c>
      <c r="K251" s="3" t="s">
        <v>62</v>
      </c>
      <c r="L251" s="3" t="s">
        <v>63</v>
      </c>
      <c r="M251" s="3" t="s">
        <v>400</v>
      </c>
      <c r="N251" s="3" t="s">
        <v>401</v>
      </c>
      <c r="O251" s="3" t="s">
        <v>402</v>
      </c>
      <c r="P251" s="3" t="s">
        <v>403</v>
      </c>
      <c r="Q251" s="3" t="s">
        <v>404</v>
      </c>
      <c r="R251" s="3" t="s">
        <v>405</v>
      </c>
      <c r="S251" s="3" t="s">
        <v>185</v>
      </c>
      <c r="T251" s="3" t="s">
        <v>460</v>
      </c>
      <c r="U251" s="3" t="s">
        <v>54</v>
      </c>
      <c r="V251" s="3" t="s">
        <v>72</v>
      </c>
      <c r="W251" s="3" t="s">
        <v>73</v>
      </c>
      <c r="X251" s="3" t="s">
        <v>74</v>
      </c>
      <c r="Y251" s="3" t="s">
        <v>78</v>
      </c>
      <c r="Z251" s="3" t="s">
        <v>79</v>
      </c>
      <c r="AA251" s="3" t="s">
        <v>494</v>
      </c>
      <c r="AB251" s="4">
        <v>0</v>
      </c>
      <c r="AC251" s="4">
        <v>832000</v>
      </c>
      <c r="AD251" s="4">
        <v>152000</v>
      </c>
      <c r="AE251" s="4">
        <v>984000</v>
      </c>
      <c r="AF251" s="4">
        <v>0</v>
      </c>
      <c r="AG251" s="4">
        <v>0</v>
      </c>
      <c r="AH251" s="4">
        <v>0</v>
      </c>
      <c r="AI251" s="4">
        <v>0</v>
      </c>
      <c r="AJ251" s="4">
        <v>0</v>
      </c>
      <c r="AK251" s="4">
        <v>0</v>
      </c>
      <c r="AL251" s="4">
        <v>0</v>
      </c>
      <c r="AM251" s="4">
        <v>0</v>
      </c>
      <c r="AN251" s="4">
        <v>0</v>
      </c>
      <c r="AO251" s="4">
        <v>0</v>
      </c>
      <c r="AP251" s="4">
        <v>0</v>
      </c>
      <c r="AQ251" s="4">
        <v>984000</v>
      </c>
      <c r="AR251" s="4">
        <v>983400</v>
      </c>
      <c r="AS251" s="4">
        <v>983400</v>
      </c>
      <c r="AT251" s="4">
        <v>0</v>
      </c>
      <c r="AU251" s="4">
        <v>0</v>
      </c>
      <c r="AV251" s="4">
        <v>0</v>
      </c>
      <c r="AW251" s="4">
        <v>0</v>
      </c>
      <c r="AX251" s="4">
        <v>600</v>
      </c>
      <c r="AY251" s="4">
        <v>600</v>
      </c>
    </row>
    <row r="252" spans="1:51">
      <c r="A252" s="3" t="s">
        <v>52</v>
      </c>
      <c r="B252" s="3" t="s">
        <v>53</v>
      </c>
      <c r="C252" s="3" t="s">
        <v>54</v>
      </c>
      <c r="D252" s="3" t="s">
        <v>55</v>
      </c>
      <c r="E252" s="3" t="s">
        <v>56</v>
      </c>
      <c r="F252" s="3" t="s">
        <v>57</v>
      </c>
      <c r="G252" s="3" t="s">
        <v>58</v>
      </c>
      <c r="H252" s="3" t="s">
        <v>59</v>
      </c>
      <c r="I252" s="3" t="s">
        <v>60</v>
      </c>
      <c r="J252" s="3" t="s">
        <v>61</v>
      </c>
      <c r="K252" s="3" t="s">
        <v>62</v>
      </c>
      <c r="L252" s="3" t="s">
        <v>63</v>
      </c>
      <c r="M252" s="3" t="s">
        <v>400</v>
      </c>
      <c r="N252" s="3" t="s">
        <v>401</v>
      </c>
      <c r="O252" s="3" t="s">
        <v>402</v>
      </c>
      <c r="P252" s="3" t="s">
        <v>403</v>
      </c>
      <c r="Q252" s="3" t="s">
        <v>404</v>
      </c>
      <c r="R252" s="3" t="s">
        <v>405</v>
      </c>
      <c r="S252" s="3" t="s">
        <v>185</v>
      </c>
      <c r="T252" s="3" t="s">
        <v>460</v>
      </c>
      <c r="U252" s="3" t="s">
        <v>54</v>
      </c>
      <c r="V252" s="3" t="s">
        <v>72</v>
      </c>
      <c r="W252" s="3" t="s">
        <v>73</v>
      </c>
      <c r="X252" s="3" t="s">
        <v>74</v>
      </c>
      <c r="Y252" s="3" t="s">
        <v>78</v>
      </c>
      <c r="Z252" s="3" t="s">
        <v>79</v>
      </c>
      <c r="AA252" s="3" t="s">
        <v>495</v>
      </c>
      <c r="AB252" s="4">
        <v>0</v>
      </c>
      <c r="AC252" s="4">
        <v>0</v>
      </c>
      <c r="AD252" s="4">
        <v>1738000</v>
      </c>
      <c r="AE252" s="4">
        <v>1738000</v>
      </c>
      <c r="AF252" s="4">
        <v>0</v>
      </c>
      <c r="AG252" s="4">
        <v>0</v>
      </c>
      <c r="AH252" s="4">
        <v>0</v>
      </c>
      <c r="AI252" s="4">
        <v>0</v>
      </c>
      <c r="AJ252" s="4">
        <v>0</v>
      </c>
      <c r="AK252" s="4">
        <v>0</v>
      </c>
      <c r="AL252" s="4">
        <v>0</v>
      </c>
      <c r="AM252" s="4">
        <v>0</v>
      </c>
      <c r="AN252" s="4">
        <v>0</v>
      </c>
      <c r="AO252" s="4">
        <v>0</v>
      </c>
      <c r="AP252" s="4">
        <v>0</v>
      </c>
      <c r="AQ252" s="4">
        <v>1738000</v>
      </c>
      <c r="AR252" s="4">
        <v>507110</v>
      </c>
      <c r="AS252" s="4">
        <v>507110</v>
      </c>
      <c r="AT252" s="4">
        <v>0</v>
      </c>
      <c r="AU252" s="4">
        <v>0</v>
      </c>
      <c r="AV252" s="4">
        <v>0</v>
      </c>
      <c r="AW252" s="4">
        <v>0</v>
      </c>
      <c r="AX252" s="4">
        <v>1230890</v>
      </c>
      <c r="AY252" s="4">
        <v>1230890</v>
      </c>
    </row>
    <row r="253" spans="1:51">
      <c r="A253" s="3" t="s">
        <v>52</v>
      </c>
      <c r="B253" s="3" t="s">
        <v>53</v>
      </c>
      <c r="C253" s="3" t="s">
        <v>54</v>
      </c>
      <c r="D253" s="3" t="s">
        <v>55</v>
      </c>
      <c r="E253" s="3" t="s">
        <v>56</v>
      </c>
      <c r="F253" s="3" t="s">
        <v>57</v>
      </c>
      <c r="G253" s="3" t="s">
        <v>58</v>
      </c>
      <c r="H253" s="3" t="s">
        <v>59</v>
      </c>
      <c r="I253" s="3" t="s">
        <v>60</v>
      </c>
      <c r="J253" s="3" t="s">
        <v>61</v>
      </c>
      <c r="K253" s="3" t="s">
        <v>62</v>
      </c>
      <c r="L253" s="3" t="s">
        <v>63</v>
      </c>
      <c r="M253" s="3" t="s">
        <v>400</v>
      </c>
      <c r="N253" s="3" t="s">
        <v>401</v>
      </c>
      <c r="O253" s="3" t="s">
        <v>402</v>
      </c>
      <c r="P253" s="3" t="s">
        <v>403</v>
      </c>
      <c r="Q253" s="3" t="s">
        <v>404</v>
      </c>
      <c r="R253" s="3" t="s">
        <v>405</v>
      </c>
      <c r="S253" s="3" t="s">
        <v>185</v>
      </c>
      <c r="T253" s="3" t="s">
        <v>460</v>
      </c>
      <c r="U253" s="3" t="s">
        <v>54</v>
      </c>
      <c r="V253" s="3" t="s">
        <v>72</v>
      </c>
      <c r="W253" s="3" t="s">
        <v>73</v>
      </c>
      <c r="X253" s="3" t="s">
        <v>74</v>
      </c>
      <c r="Y253" s="3" t="s">
        <v>78</v>
      </c>
      <c r="Z253" s="3" t="s">
        <v>79</v>
      </c>
      <c r="AA253" s="3" t="s">
        <v>496</v>
      </c>
      <c r="AB253" s="4">
        <v>0</v>
      </c>
      <c r="AC253" s="4">
        <v>0</v>
      </c>
      <c r="AD253" s="4">
        <v>2086000</v>
      </c>
      <c r="AE253" s="4">
        <v>2086000</v>
      </c>
      <c r="AF253" s="4">
        <v>0</v>
      </c>
      <c r="AG253" s="4">
        <v>0</v>
      </c>
      <c r="AH253" s="4">
        <v>0</v>
      </c>
      <c r="AI253" s="4">
        <v>0</v>
      </c>
      <c r="AJ253" s="4">
        <v>0</v>
      </c>
      <c r="AK253" s="4">
        <v>0</v>
      </c>
      <c r="AL253" s="4">
        <v>0</v>
      </c>
      <c r="AM253" s="4">
        <v>0</v>
      </c>
      <c r="AN253" s="4">
        <v>0</v>
      </c>
      <c r="AO253" s="4">
        <v>0</v>
      </c>
      <c r="AP253" s="4">
        <v>0</v>
      </c>
      <c r="AQ253" s="4">
        <v>2086000</v>
      </c>
      <c r="AR253" s="4">
        <v>596160</v>
      </c>
      <c r="AS253" s="4">
        <v>596160</v>
      </c>
      <c r="AT253" s="4">
        <v>0</v>
      </c>
      <c r="AU253" s="4">
        <v>0</v>
      </c>
      <c r="AV253" s="4">
        <v>0</v>
      </c>
      <c r="AW253" s="4">
        <v>0</v>
      </c>
      <c r="AX253" s="4">
        <v>1489840</v>
      </c>
      <c r="AY253" s="4">
        <v>1489840</v>
      </c>
    </row>
    <row r="254" spans="1:51">
      <c r="A254" s="3" t="s">
        <v>52</v>
      </c>
      <c r="B254" s="3" t="s">
        <v>53</v>
      </c>
      <c r="C254" s="3" t="s">
        <v>54</v>
      </c>
      <c r="D254" s="3" t="s">
        <v>55</v>
      </c>
      <c r="E254" s="3" t="s">
        <v>56</v>
      </c>
      <c r="F254" s="3" t="s">
        <v>57</v>
      </c>
      <c r="G254" s="3" t="s">
        <v>58</v>
      </c>
      <c r="H254" s="3" t="s">
        <v>59</v>
      </c>
      <c r="I254" s="3" t="s">
        <v>60</v>
      </c>
      <c r="J254" s="3" t="s">
        <v>61</v>
      </c>
      <c r="K254" s="3" t="s">
        <v>62</v>
      </c>
      <c r="L254" s="3" t="s">
        <v>63</v>
      </c>
      <c r="M254" s="3" t="s">
        <v>400</v>
      </c>
      <c r="N254" s="3" t="s">
        <v>401</v>
      </c>
      <c r="O254" s="3" t="s">
        <v>402</v>
      </c>
      <c r="P254" s="3" t="s">
        <v>403</v>
      </c>
      <c r="Q254" s="3" t="s">
        <v>404</v>
      </c>
      <c r="R254" s="3" t="s">
        <v>405</v>
      </c>
      <c r="S254" s="3" t="s">
        <v>185</v>
      </c>
      <c r="T254" s="3" t="s">
        <v>460</v>
      </c>
      <c r="U254" s="3" t="s">
        <v>54</v>
      </c>
      <c r="V254" s="3" t="s">
        <v>72</v>
      </c>
      <c r="W254" s="3" t="s">
        <v>73</v>
      </c>
      <c r="X254" s="3" t="s">
        <v>74</v>
      </c>
      <c r="Y254" s="3" t="s">
        <v>78</v>
      </c>
      <c r="Z254" s="3" t="s">
        <v>79</v>
      </c>
      <c r="AA254" s="3" t="s">
        <v>497</v>
      </c>
      <c r="AB254" s="4">
        <v>0</v>
      </c>
      <c r="AC254" s="4">
        <v>0</v>
      </c>
      <c r="AD254" s="4">
        <v>3650000</v>
      </c>
      <c r="AE254" s="4">
        <v>3650000</v>
      </c>
      <c r="AF254" s="4">
        <v>0</v>
      </c>
      <c r="AG254" s="4">
        <v>0</v>
      </c>
      <c r="AH254" s="4">
        <v>0</v>
      </c>
      <c r="AI254" s="4">
        <v>0</v>
      </c>
      <c r="AJ254" s="4">
        <v>0</v>
      </c>
      <c r="AK254" s="4">
        <v>0</v>
      </c>
      <c r="AL254" s="4">
        <v>0</v>
      </c>
      <c r="AM254" s="4">
        <v>0</v>
      </c>
      <c r="AN254" s="4">
        <v>0</v>
      </c>
      <c r="AO254" s="4">
        <v>0</v>
      </c>
      <c r="AP254" s="4">
        <v>0</v>
      </c>
      <c r="AQ254" s="4">
        <v>3650000</v>
      </c>
      <c r="AR254" s="4">
        <v>1126080</v>
      </c>
      <c r="AS254" s="4">
        <v>1126080</v>
      </c>
      <c r="AT254" s="4">
        <v>0</v>
      </c>
      <c r="AU254" s="4">
        <v>0</v>
      </c>
      <c r="AV254" s="4">
        <v>0</v>
      </c>
      <c r="AW254" s="4">
        <v>0</v>
      </c>
      <c r="AX254" s="4">
        <v>2523920</v>
      </c>
      <c r="AY254" s="4">
        <v>2523920</v>
      </c>
    </row>
    <row r="255" spans="1:51">
      <c r="A255" s="3" t="s">
        <v>52</v>
      </c>
      <c r="B255" s="3" t="s">
        <v>53</v>
      </c>
      <c r="C255" s="3" t="s">
        <v>54</v>
      </c>
      <c r="D255" s="3" t="s">
        <v>55</v>
      </c>
      <c r="E255" s="3" t="s">
        <v>56</v>
      </c>
      <c r="F255" s="3" t="s">
        <v>57</v>
      </c>
      <c r="G255" s="3" t="s">
        <v>58</v>
      </c>
      <c r="H255" s="3" t="s">
        <v>59</v>
      </c>
      <c r="I255" s="3" t="s">
        <v>60</v>
      </c>
      <c r="J255" s="3" t="s">
        <v>61</v>
      </c>
      <c r="K255" s="3" t="s">
        <v>62</v>
      </c>
      <c r="L255" s="3" t="s">
        <v>63</v>
      </c>
      <c r="M255" s="3" t="s">
        <v>400</v>
      </c>
      <c r="N255" s="3" t="s">
        <v>401</v>
      </c>
      <c r="O255" s="3" t="s">
        <v>402</v>
      </c>
      <c r="P255" s="3" t="s">
        <v>403</v>
      </c>
      <c r="Q255" s="3" t="s">
        <v>404</v>
      </c>
      <c r="R255" s="3" t="s">
        <v>405</v>
      </c>
      <c r="S255" s="3" t="s">
        <v>185</v>
      </c>
      <c r="T255" s="3" t="s">
        <v>460</v>
      </c>
      <c r="U255" s="3" t="s">
        <v>54</v>
      </c>
      <c r="V255" s="3" t="s">
        <v>72</v>
      </c>
      <c r="W255" s="3" t="s">
        <v>73</v>
      </c>
      <c r="X255" s="3" t="s">
        <v>74</v>
      </c>
      <c r="Y255" s="3" t="s">
        <v>78</v>
      </c>
      <c r="Z255" s="3" t="s">
        <v>79</v>
      </c>
      <c r="AA255" s="3" t="s">
        <v>498</v>
      </c>
      <c r="AB255" s="4">
        <v>0</v>
      </c>
      <c r="AC255" s="4">
        <v>0</v>
      </c>
      <c r="AD255" s="4">
        <v>1043000</v>
      </c>
      <c r="AE255" s="4">
        <v>1043000</v>
      </c>
      <c r="AF255" s="4">
        <v>0</v>
      </c>
      <c r="AG255" s="4">
        <v>0</v>
      </c>
      <c r="AH255" s="4">
        <v>0</v>
      </c>
      <c r="AI255" s="4">
        <v>0</v>
      </c>
      <c r="AJ255" s="4">
        <v>0</v>
      </c>
      <c r="AK255" s="4">
        <v>0</v>
      </c>
      <c r="AL255" s="4">
        <v>0</v>
      </c>
      <c r="AM255" s="4">
        <v>0</v>
      </c>
      <c r="AN255" s="4">
        <v>0</v>
      </c>
      <c r="AO255" s="4">
        <v>0</v>
      </c>
      <c r="AP255" s="4">
        <v>0</v>
      </c>
      <c r="AQ255" s="4">
        <v>1043000</v>
      </c>
      <c r="AR255" s="4">
        <v>298080</v>
      </c>
      <c r="AS255" s="4">
        <v>298080</v>
      </c>
      <c r="AT255" s="4">
        <v>0</v>
      </c>
      <c r="AU255" s="4">
        <v>0</v>
      </c>
      <c r="AV255" s="4">
        <v>0</v>
      </c>
      <c r="AW255" s="4">
        <v>0</v>
      </c>
      <c r="AX255" s="4">
        <v>744920</v>
      </c>
      <c r="AY255" s="4">
        <v>744920</v>
      </c>
    </row>
    <row r="256" spans="1:51">
      <c r="A256" s="3" t="s">
        <v>52</v>
      </c>
      <c r="B256" s="3" t="s">
        <v>53</v>
      </c>
      <c r="C256" s="3" t="s">
        <v>54</v>
      </c>
      <c r="D256" s="3" t="s">
        <v>55</v>
      </c>
      <c r="E256" s="3" t="s">
        <v>56</v>
      </c>
      <c r="F256" s="3" t="s">
        <v>57</v>
      </c>
      <c r="G256" s="3" t="s">
        <v>58</v>
      </c>
      <c r="H256" s="3" t="s">
        <v>59</v>
      </c>
      <c r="I256" s="3" t="s">
        <v>60</v>
      </c>
      <c r="J256" s="3" t="s">
        <v>61</v>
      </c>
      <c r="K256" s="3" t="s">
        <v>62</v>
      </c>
      <c r="L256" s="3" t="s">
        <v>63</v>
      </c>
      <c r="M256" s="3" t="s">
        <v>400</v>
      </c>
      <c r="N256" s="3" t="s">
        <v>401</v>
      </c>
      <c r="O256" s="3" t="s">
        <v>402</v>
      </c>
      <c r="P256" s="3" t="s">
        <v>403</v>
      </c>
      <c r="Q256" s="3" t="s">
        <v>404</v>
      </c>
      <c r="R256" s="3" t="s">
        <v>405</v>
      </c>
      <c r="S256" s="3" t="s">
        <v>185</v>
      </c>
      <c r="T256" s="3" t="s">
        <v>460</v>
      </c>
      <c r="U256" s="3" t="s">
        <v>54</v>
      </c>
      <c r="V256" s="3" t="s">
        <v>72</v>
      </c>
      <c r="W256" s="3" t="s">
        <v>73</v>
      </c>
      <c r="X256" s="3" t="s">
        <v>74</v>
      </c>
      <c r="Y256" s="3" t="s">
        <v>78</v>
      </c>
      <c r="Z256" s="3" t="s">
        <v>79</v>
      </c>
      <c r="AA256" s="3" t="s">
        <v>499</v>
      </c>
      <c r="AB256" s="4">
        <v>0</v>
      </c>
      <c r="AC256" s="4">
        <v>0</v>
      </c>
      <c r="AD256" s="4">
        <v>1773000</v>
      </c>
      <c r="AE256" s="4">
        <v>1773000</v>
      </c>
      <c r="AF256" s="4">
        <v>0</v>
      </c>
      <c r="AG256" s="4">
        <v>0</v>
      </c>
      <c r="AH256" s="4">
        <v>0</v>
      </c>
      <c r="AI256" s="4">
        <v>0</v>
      </c>
      <c r="AJ256" s="4">
        <v>0</v>
      </c>
      <c r="AK256" s="4">
        <v>0</v>
      </c>
      <c r="AL256" s="4">
        <v>0</v>
      </c>
      <c r="AM256" s="4">
        <v>0</v>
      </c>
      <c r="AN256" s="4">
        <v>0</v>
      </c>
      <c r="AO256" s="4">
        <v>0</v>
      </c>
      <c r="AP256" s="4">
        <v>0</v>
      </c>
      <c r="AQ256" s="4">
        <v>1773000</v>
      </c>
      <c r="AR256" s="4">
        <v>463680</v>
      </c>
      <c r="AS256" s="4">
        <v>463680</v>
      </c>
      <c r="AT256" s="4">
        <v>0</v>
      </c>
      <c r="AU256" s="4">
        <v>0</v>
      </c>
      <c r="AV256" s="4">
        <v>0</v>
      </c>
      <c r="AW256" s="4">
        <v>0</v>
      </c>
      <c r="AX256" s="4">
        <v>1309320</v>
      </c>
      <c r="AY256" s="4">
        <v>1309320</v>
      </c>
    </row>
    <row r="257" spans="1:51">
      <c r="A257" s="3" t="s">
        <v>52</v>
      </c>
      <c r="B257" s="3" t="s">
        <v>53</v>
      </c>
      <c r="C257" s="3" t="s">
        <v>54</v>
      </c>
      <c r="D257" s="3" t="s">
        <v>55</v>
      </c>
      <c r="E257" s="3" t="s">
        <v>56</v>
      </c>
      <c r="F257" s="3" t="s">
        <v>57</v>
      </c>
      <c r="G257" s="3" t="s">
        <v>58</v>
      </c>
      <c r="H257" s="3" t="s">
        <v>59</v>
      </c>
      <c r="I257" s="3" t="s">
        <v>60</v>
      </c>
      <c r="J257" s="3" t="s">
        <v>61</v>
      </c>
      <c r="K257" s="3" t="s">
        <v>62</v>
      </c>
      <c r="L257" s="3" t="s">
        <v>63</v>
      </c>
      <c r="M257" s="3" t="s">
        <v>400</v>
      </c>
      <c r="N257" s="3" t="s">
        <v>401</v>
      </c>
      <c r="O257" s="3" t="s">
        <v>402</v>
      </c>
      <c r="P257" s="3" t="s">
        <v>403</v>
      </c>
      <c r="Q257" s="3" t="s">
        <v>404</v>
      </c>
      <c r="R257" s="3" t="s">
        <v>405</v>
      </c>
      <c r="S257" s="3" t="s">
        <v>185</v>
      </c>
      <c r="T257" s="3" t="s">
        <v>460</v>
      </c>
      <c r="U257" s="3" t="s">
        <v>54</v>
      </c>
      <c r="V257" s="3" t="s">
        <v>72</v>
      </c>
      <c r="W257" s="3" t="s">
        <v>73</v>
      </c>
      <c r="X257" s="3" t="s">
        <v>74</v>
      </c>
      <c r="Y257" s="3" t="s">
        <v>78</v>
      </c>
      <c r="Z257" s="3" t="s">
        <v>79</v>
      </c>
      <c r="AA257" s="3" t="s">
        <v>500</v>
      </c>
      <c r="AB257" s="4">
        <v>0</v>
      </c>
      <c r="AC257" s="4">
        <v>0</v>
      </c>
      <c r="AD257" s="4">
        <v>1339000</v>
      </c>
      <c r="AE257" s="4">
        <v>1339000</v>
      </c>
      <c r="AF257" s="4">
        <v>0</v>
      </c>
      <c r="AG257" s="4">
        <v>0</v>
      </c>
      <c r="AH257" s="4">
        <v>0</v>
      </c>
      <c r="AI257" s="4">
        <v>0</v>
      </c>
      <c r="AJ257" s="4">
        <v>0</v>
      </c>
      <c r="AK257" s="4">
        <v>0</v>
      </c>
      <c r="AL257" s="4">
        <v>0</v>
      </c>
      <c r="AM257" s="4">
        <v>0</v>
      </c>
      <c r="AN257" s="4">
        <v>0</v>
      </c>
      <c r="AO257" s="4">
        <v>0</v>
      </c>
      <c r="AP257" s="4">
        <v>0</v>
      </c>
      <c r="AQ257" s="4">
        <v>1339000</v>
      </c>
      <c r="AR257" s="4">
        <v>397440</v>
      </c>
      <c r="AS257" s="4">
        <v>397440</v>
      </c>
      <c r="AT257" s="4">
        <v>0</v>
      </c>
      <c r="AU257" s="4">
        <v>0</v>
      </c>
      <c r="AV257" s="4">
        <v>0</v>
      </c>
      <c r="AW257" s="4">
        <v>0</v>
      </c>
      <c r="AX257" s="4">
        <v>941560</v>
      </c>
      <c r="AY257" s="4">
        <v>941560</v>
      </c>
    </row>
    <row r="258" spans="1:51">
      <c r="A258" s="3" t="s">
        <v>52</v>
      </c>
      <c r="B258" s="3" t="s">
        <v>53</v>
      </c>
      <c r="C258" s="3" t="s">
        <v>54</v>
      </c>
      <c r="D258" s="3" t="s">
        <v>55</v>
      </c>
      <c r="E258" s="3" t="s">
        <v>56</v>
      </c>
      <c r="F258" s="3" t="s">
        <v>57</v>
      </c>
      <c r="G258" s="3" t="s">
        <v>58</v>
      </c>
      <c r="H258" s="3" t="s">
        <v>59</v>
      </c>
      <c r="I258" s="3" t="s">
        <v>60</v>
      </c>
      <c r="J258" s="3" t="s">
        <v>61</v>
      </c>
      <c r="K258" s="3" t="s">
        <v>62</v>
      </c>
      <c r="L258" s="3" t="s">
        <v>63</v>
      </c>
      <c r="M258" s="3" t="s">
        <v>400</v>
      </c>
      <c r="N258" s="3" t="s">
        <v>401</v>
      </c>
      <c r="O258" s="3" t="s">
        <v>402</v>
      </c>
      <c r="P258" s="3" t="s">
        <v>403</v>
      </c>
      <c r="Q258" s="3" t="s">
        <v>404</v>
      </c>
      <c r="R258" s="3" t="s">
        <v>405</v>
      </c>
      <c r="S258" s="3" t="s">
        <v>185</v>
      </c>
      <c r="T258" s="3" t="s">
        <v>460</v>
      </c>
      <c r="U258" s="3" t="s">
        <v>54</v>
      </c>
      <c r="V258" s="3" t="s">
        <v>72</v>
      </c>
      <c r="W258" s="3" t="s">
        <v>73</v>
      </c>
      <c r="X258" s="3" t="s">
        <v>74</v>
      </c>
      <c r="Y258" s="3" t="s">
        <v>78</v>
      </c>
      <c r="Z258" s="3" t="s">
        <v>79</v>
      </c>
      <c r="AA258" s="3" t="s">
        <v>501</v>
      </c>
      <c r="AB258" s="4">
        <v>0</v>
      </c>
      <c r="AC258" s="4">
        <v>0</v>
      </c>
      <c r="AD258" s="4">
        <v>3164000</v>
      </c>
      <c r="AE258" s="4">
        <v>3164000</v>
      </c>
      <c r="AF258" s="4">
        <v>0</v>
      </c>
      <c r="AG258" s="4">
        <v>0</v>
      </c>
      <c r="AH258" s="4">
        <v>0</v>
      </c>
      <c r="AI258" s="4">
        <v>0</v>
      </c>
      <c r="AJ258" s="4">
        <v>0</v>
      </c>
      <c r="AK258" s="4">
        <v>0</v>
      </c>
      <c r="AL258" s="4">
        <v>0</v>
      </c>
      <c r="AM258" s="4">
        <v>0</v>
      </c>
      <c r="AN258" s="4">
        <v>0</v>
      </c>
      <c r="AO258" s="4">
        <v>0</v>
      </c>
      <c r="AP258" s="4">
        <v>0</v>
      </c>
      <c r="AQ258" s="4">
        <v>3164000</v>
      </c>
      <c r="AR258" s="4">
        <v>927360</v>
      </c>
      <c r="AS258" s="4">
        <v>927360</v>
      </c>
      <c r="AT258" s="4">
        <v>0</v>
      </c>
      <c r="AU258" s="4">
        <v>0</v>
      </c>
      <c r="AV258" s="4">
        <v>0</v>
      </c>
      <c r="AW258" s="4">
        <v>0</v>
      </c>
      <c r="AX258" s="4">
        <v>2236640</v>
      </c>
      <c r="AY258" s="4">
        <v>2236640</v>
      </c>
    </row>
    <row r="259" spans="1:51">
      <c r="A259" s="3" t="s">
        <v>52</v>
      </c>
      <c r="B259" s="3" t="s">
        <v>53</v>
      </c>
      <c r="C259" s="3" t="s">
        <v>54</v>
      </c>
      <c r="D259" s="3" t="s">
        <v>55</v>
      </c>
      <c r="E259" s="3" t="s">
        <v>56</v>
      </c>
      <c r="F259" s="3" t="s">
        <v>57</v>
      </c>
      <c r="G259" s="3" t="s">
        <v>58</v>
      </c>
      <c r="H259" s="3" t="s">
        <v>59</v>
      </c>
      <c r="I259" s="3" t="s">
        <v>60</v>
      </c>
      <c r="J259" s="3" t="s">
        <v>61</v>
      </c>
      <c r="K259" s="3" t="s">
        <v>62</v>
      </c>
      <c r="L259" s="3" t="s">
        <v>63</v>
      </c>
      <c r="M259" s="3" t="s">
        <v>400</v>
      </c>
      <c r="N259" s="3" t="s">
        <v>401</v>
      </c>
      <c r="O259" s="3" t="s">
        <v>402</v>
      </c>
      <c r="P259" s="3" t="s">
        <v>403</v>
      </c>
      <c r="Q259" s="3" t="s">
        <v>404</v>
      </c>
      <c r="R259" s="3" t="s">
        <v>405</v>
      </c>
      <c r="S259" s="3" t="s">
        <v>185</v>
      </c>
      <c r="T259" s="3" t="s">
        <v>460</v>
      </c>
      <c r="U259" s="3" t="s">
        <v>54</v>
      </c>
      <c r="V259" s="3" t="s">
        <v>72</v>
      </c>
      <c r="W259" s="3" t="s">
        <v>73</v>
      </c>
      <c r="X259" s="3" t="s">
        <v>74</v>
      </c>
      <c r="Y259" s="3" t="s">
        <v>78</v>
      </c>
      <c r="Z259" s="3" t="s">
        <v>79</v>
      </c>
      <c r="AA259" s="3" t="s">
        <v>502</v>
      </c>
      <c r="AB259" s="4">
        <v>0</v>
      </c>
      <c r="AC259" s="4">
        <v>0</v>
      </c>
      <c r="AD259" s="4">
        <v>2964000</v>
      </c>
      <c r="AE259" s="4">
        <v>2964000</v>
      </c>
      <c r="AF259" s="4">
        <v>0</v>
      </c>
      <c r="AG259" s="4">
        <v>0</v>
      </c>
      <c r="AH259" s="4">
        <v>0</v>
      </c>
      <c r="AI259" s="4">
        <v>0</v>
      </c>
      <c r="AJ259" s="4">
        <v>0</v>
      </c>
      <c r="AK259" s="4">
        <v>0</v>
      </c>
      <c r="AL259" s="4">
        <v>0</v>
      </c>
      <c r="AM259" s="4">
        <v>0</v>
      </c>
      <c r="AN259" s="4">
        <v>0</v>
      </c>
      <c r="AO259" s="4">
        <v>0</v>
      </c>
      <c r="AP259" s="4">
        <v>0</v>
      </c>
      <c r="AQ259" s="4">
        <v>2964000</v>
      </c>
      <c r="AR259" s="4">
        <v>828000</v>
      </c>
      <c r="AS259" s="4">
        <v>828000</v>
      </c>
      <c r="AT259" s="4">
        <v>0</v>
      </c>
      <c r="AU259" s="4">
        <v>0</v>
      </c>
      <c r="AV259" s="4">
        <v>0</v>
      </c>
      <c r="AW259" s="4">
        <v>0</v>
      </c>
      <c r="AX259" s="4">
        <v>2136000</v>
      </c>
      <c r="AY259" s="4">
        <v>2136000</v>
      </c>
    </row>
    <row r="260" spans="1:51">
      <c r="A260" s="3" t="s">
        <v>52</v>
      </c>
      <c r="B260" s="3" t="s">
        <v>53</v>
      </c>
      <c r="C260" s="3" t="s">
        <v>54</v>
      </c>
      <c r="D260" s="3" t="s">
        <v>55</v>
      </c>
      <c r="E260" s="3" t="s">
        <v>56</v>
      </c>
      <c r="F260" s="3" t="s">
        <v>57</v>
      </c>
      <c r="G260" s="3" t="s">
        <v>58</v>
      </c>
      <c r="H260" s="3" t="s">
        <v>59</v>
      </c>
      <c r="I260" s="3" t="s">
        <v>60</v>
      </c>
      <c r="J260" s="3" t="s">
        <v>61</v>
      </c>
      <c r="K260" s="3" t="s">
        <v>62</v>
      </c>
      <c r="L260" s="3" t="s">
        <v>63</v>
      </c>
      <c r="M260" s="3" t="s">
        <v>400</v>
      </c>
      <c r="N260" s="3" t="s">
        <v>401</v>
      </c>
      <c r="O260" s="3" t="s">
        <v>402</v>
      </c>
      <c r="P260" s="3" t="s">
        <v>403</v>
      </c>
      <c r="Q260" s="3" t="s">
        <v>404</v>
      </c>
      <c r="R260" s="3" t="s">
        <v>405</v>
      </c>
      <c r="S260" s="3" t="s">
        <v>185</v>
      </c>
      <c r="T260" s="3" t="s">
        <v>460</v>
      </c>
      <c r="U260" s="3" t="s">
        <v>54</v>
      </c>
      <c r="V260" s="3" t="s">
        <v>72</v>
      </c>
      <c r="W260" s="3" t="s">
        <v>73</v>
      </c>
      <c r="X260" s="3" t="s">
        <v>74</v>
      </c>
      <c r="Y260" s="3" t="s">
        <v>78</v>
      </c>
      <c r="Z260" s="3" t="s">
        <v>79</v>
      </c>
      <c r="AA260" s="3" t="s">
        <v>503</v>
      </c>
      <c r="AB260" s="4">
        <v>0</v>
      </c>
      <c r="AC260" s="4">
        <v>0</v>
      </c>
      <c r="AD260" s="4">
        <v>1565000</v>
      </c>
      <c r="AE260" s="4">
        <v>1565000</v>
      </c>
      <c r="AF260" s="4">
        <v>0</v>
      </c>
      <c r="AG260" s="4">
        <v>0</v>
      </c>
      <c r="AH260" s="4">
        <v>0</v>
      </c>
      <c r="AI260" s="4">
        <v>0</v>
      </c>
      <c r="AJ260" s="4">
        <v>0</v>
      </c>
      <c r="AK260" s="4">
        <v>0</v>
      </c>
      <c r="AL260" s="4">
        <v>0</v>
      </c>
      <c r="AM260" s="4">
        <v>0</v>
      </c>
      <c r="AN260" s="4">
        <v>0</v>
      </c>
      <c r="AO260" s="4">
        <v>0</v>
      </c>
      <c r="AP260" s="4">
        <v>0</v>
      </c>
      <c r="AQ260" s="4">
        <v>1565000</v>
      </c>
      <c r="AR260" s="4">
        <v>430560</v>
      </c>
      <c r="AS260" s="4">
        <v>430560</v>
      </c>
      <c r="AT260" s="4">
        <v>0</v>
      </c>
      <c r="AU260" s="4">
        <v>0</v>
      </c>
      <c r="AV260" s="4">
        <v>0</v>
      </c>
      <c r="AW260" s="4">
        <v>0</v>
      </c>
      <c r="AX260" s="4">
        <v>1134440</v>
      </c>
      <c r="AY260" s="4">
        <v>1134440</v>
      </c>
    </row>
    <row r="261" spans="1:51">
      <c r="A261" s="3" t="s">
        <v>52</v>
      </c>
      <c r="B261" s="3" t="s">
        <v>53</v>
      </c>
      <c r="C261" s="3" t="s">
        <v>54</v>
      </c>
      <c r="D261" s="3" t="s">
        <v>55</v>
      </c>
      <c r="E261" s="3" t="s">
        <v>56</v>
      </c>
      <c r="F261" s="3" t="s">
        <v>57</v>
      </c>
      <c r="G261" s="3" t="s">
        <v>58</v>
      </c>
      <c r="H261" s="3" t="s">
        <v>59</v>
      </c>
      <c r="I261" s="3" t="s">
        <v>60</v>
      </c>
      <c r="J261" s="3" t="s">
        <v>61</v>
      </c>
      <c r="K261" s="3" t="s">
        <v>62</v>
      </c>
      <c r="L261" s="3" t="s">
        <v>63</v>
      </c>
      <c r="M261" s="3" t="s">
        <v>400</v>
      </c>
      <c r="N261" s="3" t="s">
        <v>401</v>
      </c>
      <c r="O261" s="3" t="s">
        <v>402</v>
      </c>
      <c r="P261" s="3" t="s">
        <v>403</v>
      </c>
      <c r="Q261" s="3" t="s">
        <v>404</v>
      </c>
      <c r="R261" s="3" t="s">
        <v>405</v>
      </c>
      <c r="S261" s="3" t="s">
        <v>185</v>
      </c>
      <c r="T261" s="3" t="s">
        <v>460</v>
      </c>
      <c r="U261" s="3" t="s">
        <v>54</v>
      </c>
      <c r="V261" s="3" t="s">
        <v>72</v>
      </c>
      <c r="W261" s="3" t="s">
        <v>73</v>
      </c>
      <c r="X261" s="3" t="s">
        <v>74</v>
      </c>
      <c r="Y261" s="3" t="s">
        <v>78</v>
      </c>
      <c r="Z261" s="3" t="s">
        <v>79</v>
      </c>
      <c r="AA261" s="3" t="s">
        <v>504</v>
      </c>
      <c r="AB261" s="4">
        <v>0</v>
      </c>
      <c r="AC261" s="4">
        <v>0</v>
      </c>
      <c r="AD261" s="4">
        <v>1651000</v>
      </c>
      <c r="AE261" s="4">
        <v>1651000</v>
      </c>
      <c r="AF261" s="4">
        <v>0</v>
      </c>
      <c r="AG261" s="4">
        <v>0</v>
      </c>
      <c r="AH261" s="4">
        <v>0</v>
      </c>
      <c r="AI261" s="4">
        <v>0</v>
      </c>
      <c r="AJ261" s="4">
        <v>0</v>
      </c>
      <c r="AK261" s="4">
        <v>0</v>
      </c>
      <c r="AL261" s="4">
        <v>0</v>
      </c>
      <c r="AM261" s="4">
        <v>0</v>
      </c>
      <c r="AN261" s="4">
        <v>0</v>
      </c>
      <c r="AO261" s="4">
        <v>0</v>
      </c>
      <c r="AP261" s="4">
        <v>0</v>
      </c>
      <c r="AQ261" s="4">
        <v>1651000</v>
      </c>
      <c r="AR261" s="4">
        <v>429120</v>
      </c>
      <c r="AS261" s="4">
        <v>429120</v>
      </c>
      <c r="AT261" s="4">
        <v>0</v>
      </c>
      <c r="AU261" s="4">
        <v>0</v>
      </c>
      <c r="AV261" s="4">
        <v>0</v>
      </c>
      <c r="AW261" s="4">
        <v>0</v>
      </c>
      <c r="AX261" s="4">
        <v>1221880</v>
      </c>
      <c r="AY261" s="4">
        <v>1221880</v>
      </c>
    </row>
    <row r="262" spans="1:51">
      <c r="A262" s="3" t="s">
        <v>52</v>
      </c>
      <c r="B262" s="3" t="s">
        <v>53</v>
      </c>
      <c r="C262" s="3" t="s">
        <v>54</v>
      </c>
      <c r="D262" s="3" t="s">
        <v>55</v>
      </c>
      <c r="E262" s="3" t="s">
        <v>56</v>
      </c>
      <c r="F262" s="3" t="s">
        <v>57</v>
      </c>
      <c r="G262" s="3" t="s">
        <v>58</v>
      </c>
      <c r="H262" s="3" t="s">
        <v>59</v>
      </c>
      <c r="I262" s="3" t="s">
        <v>60</v>
      </c>
      <c r="J262" s="3" t="s">
        <v>61</v>
      </c>
      <c r="K262" s="3" t="s">
        <v>62</v>
      </c>
      <c r="L262" s="3" t="s">
        <v>63</v>
      </c>
      <c r="M262" s="3" t="s">
        <v>400</v>
      </c>
      <c r="N262" s="3" t="s">
        <v>401</v>
      </c>
      <c r="O262" s="3" t="s">
        <v>402</v>
      </c>
      <c r="P262" s="3" t="s">
        <v>403</v>
      </c>
      <c r="Q262" s="3" t="s">
        <v>404</v>
      </c>
      <c r="R262" s="3" t="s">
        <v>405</v>
      </c>
      <c r="S262" s="3" t="s">
        <v>185</v>
      </c>
      <c r="T262" s="3" t="s">
        <v>460</v>
      </c>
      <c r="U262" s="3" t="s">
        <v>54</v>
      </c>
      <c r="V262" s="3" t="s">
        <v>72</v>
      </c>
      <c r="W262" s="3" t="s">
        <v>73</v>
      </c>
      <c r="X262" s="3" t="s">
        <v>74</v>
      </c>
      <c r="Y262" s="3" t="s">
        <v>78</v>
      </c>
      <c r="Z262" s="3" t="s">
        <v>79</v>
      </c>
      <c r="AA262" s="3" t="s">
        <v>505</v>
      </c>
      <c r="AB262" s="4">
        <v>0</v>
      </c>
      <c r="AC262" s="4">
        <v>0</v>
      </c>
      <c r="AD262" s="4">
        <v>2008000</v>
      </c>
      <c r="AE262" s="4">
        <v>2008000</v>
      </c>
      <c r="AF262" s="4">
        <v>0</v>
      </c>
      <c r="AG262" s="4">
        <v>0</v>
      </c>
      <c r="AH262" s="4">
        <v>0</v>
      </c>
      <c r="AI262" s="4">
        <v>0</v>
      </c>
      <c r="AJ262" s="4">
        <v>0</v>
      </c>
      <c r="AK262" s="4">
        <v>0</v>
      </c>
      <c r="AL262" s="4">
        <v>0</v>
      </c>
      <c r="AM262" s="4">
        <v>0</v>
      </c>
      <c r="AN262" s="4">
        <v>0</v>
      </c>
      <c r="AO262" s="4">
        <v>0</v>
      </c>
      <c r="AP262" s="4">
        <v>0</v>
      </c>
      <c r="AQ262" s="4">
        <v>2008000</v>
      </c>
      <c r="AR262" s="4">
        <v>397440</v>
      </c>
      <c r="AS262" s="4">
        <v>397440</v>
      </c>
      <c r="AT262" s="4">
        <v>0</v>
      </c>
      <c r="AU262" s="4">
        <v>0</v>
      </c>
      <c r="AV262" s="4">
        <v>0</v>
      </c>
      <c r="AW262" s="4">
        <v>0</v>
      </c>
      <c r="AX262" s="4">
        <v>1610560</v>
      </c>
      <c r="AY262" s="4">
        <v>1610560</v>
      </c>
    </row>
    <row r="263" spans="1:51">
      <c r="A263" s="3" t="s">
        <v>52</v>
      </c>
      <c r="B263" s="3" t="s">
        <v>53</v>
      </c>
      <c r="C263" s="3" t="s">
        <v>54</v>
      </c>
      <c r="D263" s="3" t="s">
        <v>55</v>
      </c>
      <c r="E263" s="3" t="s">
        <v>56</v>
      </c>
      <c r="F263" s="3" t="s">
        <v>57</v>
      </c>
      <c r="G263" s="3" t="s">
        <v>58</v>
      </c>
      <c r="H263" s="3" t="s">
        <v>59</v>
      </c>
      <c r="I263" s="3" t="s">
        <v>60</v>
      </c>
      <c r="J263" s="3" t="s">
        <v>61</v>
      </c>
      <c r="K263" s="3" t="s">
        <v>62</v>
      </c>
      <c r="L263" s="3" t="s">
        <v>63</v>
      </c>
      <c r="M263" s="3" t="s">
        <v>400</v>
      </c>
      <c r="N263" s="3" t="s">
        <v>401</v>
      </c>
      <c r="O263" s="3" t="s">
        <v>402</v>
      </c>
      <c r="P263" s="3" t="s">
        <v>403</v>
      </c>
      <c r="Q263" s="3" t="s">
        <v>404</v>
      </c>
      <c r="R263" s="3" t="s">
        <v>405</v>
      </c>
      <c r="S263" s="3" t="s">
        <v>185</v>
      </c>
      <c r="T263" s="3" t="s">
        <v>460</v>
      </c>
      <c r="U263" s="3" t="s">
        <v>54</v>
      </c>
      <c r="V263" s="3" t="s">
        <v>72</v>
      </c>
      <c r="W263" s="3" t="s">
        <v>73</v>
      </c>
      <c r="X263" s="3" t="s">
        <v>74</v>
      </c>
      <c r="Y263" s="3" t="s">
        <v>78</v>
      </c>
      <c r="Z263" s="3" t="s">
        <v>79</v>
      </c>
      <c r="AA263" s="3" t="s">
        <v>506</v>
      </c>
      <c r="AB263" s="4">
        <v>0</v>
      </c>
      <c r="AC263" s="4">
        <v>0</v>
      </c>
      <c r="AD263" s="4">
        <v>3633000</v>
      </c>
      <c r="AE263" s="4">
        <v>3633000</v>
      </c>
      <c r="AF263" s="4">
        <v>0</v>
      </c>
      <c r="AG263" s="4">
        <v>0</v>
      </c>
      <c r="AH263" s="4">
        <v>0</v>
      </c>
      <c r="AI263" s="4">
        <v>0</v>
      </c>
      <c r="AJ263" s="4">
        <v>0</v>
      </c>
      <c r="AK263" s="4">
        <v>0</v>
      </c>
      <c r="AL263" s="4">
        <v>0</v>
      </c>
      <c r="AM263" s="4">
        <v>0</v>
      </c>
      <c r="AN263" s="4">
        <v>0</v>
      </c>
      <c r="AO263" s="4">
        <v>0</v>
      </c>
      <c r="AP263" s="4">
        <v>0</v>
      </c>
      <c r="AQ263" s="4">
        <v>3633000</v>
      </c>
      <c r="AR263" s="4">
        <v>1192320</v>
      </c>
      <c r="AS263" s="4">
        <v>1192320</v>
      </c>
      <c r="AT263" s="4">
        <v>0</v>
      </c>
      <c r="AU263" s="4">
        <v>0</v>
      </c>
      <c r="AV263" s="4">
        <v>0</v>
      </c>
      <c r="AW263" s="4">
        <v>0</v>
      </c>
      <c r="AX263" s="4">
        <v>2440680</v>
      </c>
      <c r="AY263" s="4">
        <v>2440680</v>
      </c>
    </row>
    <row r="264" spans="1:51">
      <c r="A264" s="3" t="s">
        <v>52</v>
      </c>
      <c r="B264" s="3" t="s">
        <v>53</v>
      </c>
      <c r="C264" s="3" t="s">
        <v>54</v>
      </c>
      <c r="D264" s="3" t="s">
        <v>55</v>
      </c>
      <c r="E264" s="3" t="s">
        <v>56</v>
      </c>
      <c r="F264" s="3" t="s">
        <v>57</v>
      </c>
      <c r="G264" s="3" t="s">
        <v>58</v>
      </c>
      <c r="H264" s="3" t="s">
        <v>59</v>
      </c>
      <c r="I264" s="3" t="s">
        <v>60</v>
      </c>
      <c r="J264" s="3" t="s">
        <v>61</v>
      </c>
      <c r="K264" s="3" t="s">
        <v>62</v>
      </c>
      <c r="L264" s="3" t="s">
        <v>63</v>
      </c>
      <c r="M264" s="3" t="s">
        <v>400</v>
      </c>
      <c r="N264" s="3" t="s">
        <v>401</v>
      </c>
      <c r="O264" s="3" t="s">
        <v>402</v>
      </c>
      <c r="P264" s="3" t="s">
        <v>403</v>
      </c>
      <c r="Q264" s="3" t="s">
        <v>404</v>
      </c>
      <c r="R264" s="3" t="s">
        <v>405</v>
      </c>
      <c r="S264" s="3" t="s">
        <v>185</v>
      </c>
      <c r="T264" s="3" t="s">
        <v>460</v>
      </c>
      <c r="U264" s="3" t="s">
        <v>54</v>
      </c>
      <c r="V264" s="3" t="s">
        <v>72</v>
      </c>
      <c r="W264" s="3" t="s">
        <v>73</v>
      </c>
      <c r="X264" s="3" t="s">
        <v>74</v>
      </c>
      <c r="Y264" s="3" t="s">
        <v>78</v>
      </c>
      <c r="Z264" s="3" t="s">
        <v>79</v>
      </c>
      <c r="AA264" s="3" t="s">
        <v>507</v>
      </c>
      <c r="AB264" s="4">
        <v>0</v>
      </c>
      <c r="AC264" s="4">
        <v>0</v>
      </c>
      <c r="AD264" s="4">
        <v>1912000</v>
      </c>
      <c r="AE264" s="4">
        <v>1912000</v>
      </c>
      <c r="AF264" s="4">
        <v>0</v>
      </c>
      <c r="AG264" s="4">
        <v>0</v>
      </c>
      <c r="AH264" s="4">
        <v>0</v>
      </c>
      <c r="AI264" s="4">
        <v>0</v>
      </c>
      <c r="AJ264" s="4">
        <v>0</v>
      </c>
      <c r="AK264" s="4">
        <v>0</v>
      </c>
      <c r="AL264" s="4">
        <v>0</v>
      </c>
      <c r="AM264" s="4">
        <v>0</v>
      </c>
      <c r="AN264" s="4">
        <v>0</v>
      </c>
      <c r="AO264" s="4">
        <v>0</v>
      </c>
      <c r="AP264" s="4">
        <v>0</v>
      </c>
      <c r="AQ264" s="4">
        <v>1912000</v>
      </c>
      <c r="AR264" s="4">
        <v>656720</v>
      </c>
      <c r="AS264" s="4">
        <v>656720</v>
      </c>
      <c r="AT264" s="4">
        <v>0</v>
      </c>
      <c r="AU264" s="4">
        <v>0</v>
      </c>
      <c r="AV264" s="4">
        <v>0</v>
      </c>
      <c r="AW264" s="4">
        <v>0</v>
      </c>
      <c r="AX264" s="4">
        <v>1255280</v>
      </c>
      <c r="AY264" s="4">
        <v>1255280</v>
      </c>
    </row>
    <row r="265" spans="1:51">
      <c r="A265" s="3" t="s">
        <v>52</v>
      </c>
      <c r="B265" s="3" t="s">
        <v>53</v>
      </c>
      <c r="C265" s="3" t="s">
        <v>54</v>
      </c>
      <c r="D265" s="3" t="s">
        <v>55</v>
      </c>
      <c r="E265" s="3" t="s">
        <v>56</v>
      </c>
      <c r="F265" s="3" t="s">
        <v>57</v>
      </c>
      <c r="G265" s="3" t="s">
        <v>58</v>
      </c>
      <c r="H265" s="3" t="s">
        <v>59</v>
      </c>
      <c r="I265" s="3" t="s">
        <v>60</v>
      </c>
      <c r="J265" s="3" t="s">
        <v>61</v>
      </c>
      <c r="K265" s="3" t="s">
        <v>62</v>
      </c>
      <c r="L265" s="3" t="s">
        <v>63</v>
      </c>
      <c r="M265" s="3" t="s">
        <v>400</v>
      </c>
      <c r="N265" s="3" t="s">
        <v>401</v>
      </c>
      <c r="O265" s="3" t="s">
        <v>402</v>
      </c>
      <c r="P265" s="3" t="s">
        <v>403</v>
      </c>
      <c r="Q265" s="3" t="s">
        <v>404</v>
      </c>
      <c r="R265" s="3" t="s">
        <v>405</v>
      </c>
      <c r="S265" s="3" t="s">
        <v>185</v>
      </c>
      <c r="T265" s="3" t="s">
        <v>460</v>
      </c>
      <c r="U265" s="3" t="s">
        <v>54</v>
      </c>
      <c r="V265" s="3" t="s">
        <v>72</v>
      </c>
      <c r="W265" s="3" t="s">
        <v>73</v>
      </c>
      <c r="X265" s="3" t="s">
        <v>74</v>
      </c>
      <c r="Y265" s="3" t="s">
        <v>78</v>
      </c>
      <c r="Z265" s="3" t="s">
        <v>79</v>
      </c>
      <c r="AA265" s="3" t="s">
        <v>508</v>
      </c>
      <c r="AB265" s="4">
        <v>0</v>
      </c>
      <c r="AC265" s="4">
        <v>0</v>
      </c>
      <c r="AD265" s="4">
        <v>4172000</v>
      </c>
      <c r="AE265" s="4">
        <v>4172000</v>
      </c>
      <c r="AF265" s="4">
        <v>0</v>
      </c>
      <c r="AG265" s="4">
        <v>0</v>
      </c>
      <c r="AH265" s="4">
        <v>0</v>
      </c>
      <c r="AI265" s="4">
        <v>0</v>
      </c>
      <c r="AJ265" s="4">
        <v>0</v>
      </c>
      <c r="AK265" s="4">
        <v>0</v>
      </c>
      <c r="AL265" s="4">
        <v>0</v>
      </c>
      <c r="AM265" s="4">
        <v>0</v>
      </c>
      <c r="AN265" s="4">
        <v>0</v>
      </c>
      <c r="AO265" s="4">
        <v>0</v>
      </c>
      <c r="AP265" s="4">
        <v>0</v>
      </c>
      <c r="AQ265" s="4">
        <v>4172000</v>
      </c>
      <c r="AR265" s="4">
        <v>1192320</v>
      </c>
      <c r="AS265" s="4">
        <v>1192320</v>
      </c>
      <c r="AT265" s="4">
        <v>0</v>
      </c>
      <c r="AU265" s="4">
        <v>0</v>
      </c>
      <c r="AV265" s="4">
        <v>0</v>
      </c>
      <c r="AW265" s="4">
        <v>0</v>
      </c>
      <c r="AX265" s="4">
        <v>2979680</v>
      </c>
      <c r="AY265" s="4">
        <v>2979680</v>
      </c>
    </row>
    <row r="266" spans="1:51">
      <c r="A266" s="3" t="s">
        <v>52</v>
      </c>
      <c r="B266" s="3" t="s">
        <v>53</v>
      </c>
      <c r="C266" s="3" t="s">
        <v>54</v>
      </c>
      <c r="D266" s="3" t="s">
        <v>55</v>
      </c>
      <c r="E266" s="3" t="s">
        <v>56</v>
      </c>
      <c r="F266" s="3" t="s">
        <v>57</v>
      </c>
      <c r="G266" s="3" t="s">
        <v>58</v>
      </c>
      <c r="H266" s="3" t="s">
        <v>59</v>
      </c>
      <c r="I266" s="3" t="s">
        <v>60</v>
      </c>
      <c r="J266" s="3" t="s">
        <v>61</v>
      </c>
      <c r="K266" s="3" t="s">
        <v>62</v>
      </c>
      <c r="L266" s="3" t="s">
        <v>63</v>
      </c>
      <c r="M266" s="3" t="s">
        <v>400</v>
      </c>
      <c r="N266" s="3" t="s">
        <v>401</v>
      </c>
      <c r="O266" s="3" t="s">
        <v>402</v>
      </c>
      <c r="P266" s="3" t="s">
        <v>403</v>
      </c>
      <c r="Q266" s="3" t="s">
        <v>404</v>
      </c>
      <c r="R266" s="3" t="s">
        <v>405</v>
      </c>
      <c r="S266" s="3" t="s">
        <v>185</v>
      </c>
      <c r="T266" s="3" t="s">
        <v>460</v>
      </c>
      <c r="U266" s="3" t="s">
        <v>54</v>
      </c>
      <c r="V266" s="3" t="s">
        <v>72</v>
      </c>
      <c r="W266" s="3" t="s">
        <v>73</v>
      </c>
      <c r="X266" s="3" t="s">
        <v>74</v>
      </c>
      <c r="Y266" s="3" t="s">
        <v>78</v>
      </c>
      <c r="Z266" s="3" t="s">
        <v>79</v>
      </c>
      <c r="AA266" s="3" t="s">
        <v>509</v>
      </c>
      <c r="AB266" s="4">
        <v>0</v>
      </c>
      <c r="AC266" s="4">
        <v>0</v>
      </c>
      <c r="AD266" s="4">
        <v>1530000</v>
      </c>
      <c r="AE266" s="4">
        <v>1530000</v>
      </c>
      <c r="AF266" s="4">
        <v>0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4">
        <v>0</v>
      </c>
      <c r="AM266" s="4">
        <v>0</v>
      </c>
      <c r="AN266" s="4">
        <v>0</v>
      </c>
      <c r="AO266" s="4">
        <v>0</v>
      </c>
      <c r="AP266" s="4">
        <v>0</v>
      </c>
      <c r="AQ266" s="4">
        <v>1530000</v>
      </c>
      <c r="AR266" s="4">
        <v>322920</v>
      </c>
      <c r="AS266" s="4">
        <v>322920</v>
      </c>
      <c r="AT266" s="4">
        <v>0</v>
      </c>
      <c r="AU266" s="4">
        <v>0</v>
      </c>
      <c r="AV266" s="4">
        <v>0</v>
      </c>
      <c r="AW266" s="4">
        <v>0</v>
      </c>
      <c r="AX266" s="4">
        <v>1207080</v>
      </c>
      <c r="AY266" s="4">
        <v>1207080</v>
      </c>
    </row>
    <row r="267" spans="1:51">
      <c r="A267" s="3" t="s">
        <v>52</v>
      </c>
      <c r="B267" s="3" t="s">
        <v>53</v>
      </c>
      <c r="C267" s="3" t="s">
        <v>54</v>
      </c>
      <c r="D267" s="3" t="s">
        <v>55</v>
      </c>
      <c r="E267" s="3" t="s">
        <v>56</v>
      </c>
      <c r="F267" s="3" t="s">
        <v>57</v>
      </c>
      <c r="G267" s="3" t="s">
        <v>58</v>
      </c>
      <c r="H267" s="3" t="s">
        <v>59</v>
      </c>
      <c r="I267" s="3" t="s">
        <v>60</v>
      </c>
      <c r="J267" s="3" t="s">
        <v>61</v>
      </c>
      <c r="K267" s="3" t="s">
        <v>62</v>
      </c>
      <c r="L267" s="3" t="s">
        <v>63</v>
      </c>
      <c r="M267" s="3" t="s">
        <v>400</v>
      </c>
      <c r="N267" s="3" t="s">
        <v>401</v>
      </c>
      <c r="O267" s="3" t="s">
        <v>402</v>
      </c>
      <c r="P267" s="3" t="s">
        <v>403</v>
      </c>
      <c r="Q267" s="3" t="s">
        <v>404</v>
      </c>
      <c r="R267" s="3" t="s">
        <v>405</v>
      </c>
      <c r="S267" s="3" t="s">
        <v>185</v>
      </c>
      <c r="T267" s="3" t="s">
        <v>460</v>
      </c>
      <c r="U267" s="3" t="s">
        <v>54</v>
      </c>
      <c r="V267" s="3" t="s">
        <v>72</v>
      </c>
      <c r="W267" s="3" t="s">
        <v>73</v>
      </c>
      <c r="X267" s="3" t="s">
        <v>74</v>
      </c>
      <c r="Y267" s="3" t="s">
        <v>78</v>
      </c>
      <c r="Z267" s="3" t="s">
        <v>79</v>
      </c>
      <c r="AA267" s="3" t="s">
        <v>510</v>
      </c>
      <c r="AB267" s="4">
        <v>0</v>
      </c>
      <c r="AC267" s="4">
        <v>0</v>
      </c>
      <c r="AD267" s="4">
        <v>1721000</v>
      </c>
      <c r="AE267" s="4">
        <v>1721000</v>
      </c>
      <c r="AF267" s="4">
        <v>0</v>
      </c>
      <c r="AG267" s="4">
        <v>0</v>
      </c>
      <c r="AH267" s="4">
        <v>0</v>
      </c>
      <c r="AI267" s="4">
        <v>0</v>
      </c>
      <c r="AJ267" s="4">
        <v>0</v>
      </c>
      <c r="AK267" s="4">
        <v>0</v>
      </c>
      <c r="AL267" s="4">
        <v>0</v>
      </c>
      <c r="AM267" s="4">
        <v>0</v>
      </c>
      <c r="AN267" s="4">
        <v>0</v>
      </c>
      <c r="AO267" s="4">
        <v>0</v>
      </c>
      <c r="AP267" s="4">
        <v>0</v>
      </c>
      <c r="AQ267" s="4">
        <v>1721000</v>
      </c>
      <c r="AR267" s="4">
        <v>422280</v>
      </c>
      <c r="AS267" s="4">
        <v>422280</v>
      </c>
      <c r="AT267" s="4">
        <v>0</v>
      </c>
      <c r="AU267" s="4">
        <v>0</v>
      </c>
      <c r="AV267" s="4">
        <v>0</v>
      </c>
      <c r="AW267" s="4">
        <v>0</v>
      </c>
      <c r="AX267" s="4">
        <v>1298720</v>
      </c>
      <c r="AY267" s="4">
        <v>1298720</v>
      </c>
    </row>
    <row r="268" spans="1:51">
      <c r="A268" s="3" t="s">
        <v>52</v>
      </c>
      <c r="B268" s="3" t="s">
        <v>53</v>
      </c>
      <c r="C268" s="3" t="s">
        <v>54</v>
      </c>
      <c r="D268" s="3" t="s">
        <v>55</v>
      </c>
      <c r="E268" s="3" t="s">
        <v>56</v>
      </c>
      <c r="F268" s="3" t="s">
        <v>57</v>
      </c>
      <c r="G268" s="3" t="s">
        <v>58</v>
      </c>
      <c r="H268" s="3" t="s">
        <v>59</v>
      </c>
      <c r="I268" s="3" t="s">
        <v>60</v>
      </c>
      <c r="J268" s="3" t="s">
        <v>61</v>
      </c>
      <c r="K268" s="3" t="s">
        <v>62</v>
      </c>
      <c r="L268" s="3" t="s">
        <v>63</v>
      </c>
      <c r="M268" s="3" t="s">
        <v>400</v>
      </c>
      <c r="N268" s="3" t="s">
        <v>401</v>
      </c>
      <c r="O268" s="3" t="s">
        <v>402</v>
      </c>
      <c r="P268" s="3" t="s">
        <v>403</v>
      </c>
      <c r="Q268" s="3" t="s">
        <v>404</v>
      </c>
      <c r="R268" s="3" t="s">
        <v>405</v>
      </c>
      <c r="S268" s="3" t="s">
        <v>185</v>
      </c>
      <c r="T268" s="3" t="s">
        <v>460</v>
      </c>
      <c r="U268" s="3" t="s">
        <v>54</v>
      </c>
      <c r="V268" s="3" t="s">
        <v>72</v>
      </c>
      <c r="W268" s="3" t="s">
        <v>73</v>
      </c>
      <c r="X268" s="3" t="s">
        <v>74</v>
      </c>
      <c r="Y268" s="3" t="s">
        <v>78</v>
      </c>
      <c r="Z268" s="3" t="s">
        <v>79</v>
      </c>
      <c r="AA268" s="3" t="s">
        <v>511</v>
      </c>
      <c r="AB268" s="4">
        <v>0</v>
      </c>
      <c r="AC268" s="4">
        <v>0</v>
      </c>
      <c r="AD268" s="4">
        <v>2008000</v>
      </c>
      <c r="AE268" s="4">
        <v>2008000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4">
        <v>0</v>
      </c>
      <c r="AM268" s="4">
        <v>0</v>
      </c>
      <c r="AN268" s="4">
        <v>0</v>
      </c>
      <c r="AO268" s="4">
        <v>0</v>
      </c>
      <c r="AP268" s="4">
        <v>0</v>
      </c>
      <c r="AQ268" s="4">
        <v>2008000</v>
      </c>
      <c r="AR268" s="4">
        <v>563040</v>
      </c>
      <c r="AS268" s="4">
        <v>563040</v>
      </c>
      <c r="AT268" s="4">
        <v>0</v>
      </c>
      <c r="AU268" s="4">
        <v>0</v>
      </c>
      <c r="AV268" s="4">
        <v>0</v>
      </c>
      <c r="AW268" s="4">
        <v>0</v>
      </c>
      <c r="AX268" s="4">
        <v>1444960</v>
      </c>
      <c r="AY268" s="4">
        <v>1444960</v>
      </c>
    </row>
    <row r="269" spans="1:51">
      <c r="A269" s="3" t="s">
        <v>52</v>
      </c>
      <c r="B269" s="3" t="s">
        <v>53</v>
      </c>
      <c r="C269" s="3" t="s">
        <v>54</v>
      </c>
      <c r="D269" s="3" t="s">
        <v>55</v>
      </c>
      <c r="E269" s="3" t="s">
        <v>56</v>
      </c>
      <c r="F269" s="3" t="s">
        <v>57</v>
      </c>
      <c r="G269" s="3" t="s">
        <v>58</v>
      </c>
      <c r="H269" s="3" t="s">
        <v>59</v>
      </c>
      <c r="I269" s="3" t="s">
        <v>60</v>
      </c>
      <c r="J269" s="3" t="s">
        <v>61</v>
      </c>
      <c r="K269" s="3" t="s">
        <v>62</v>
      </c>
      <c r="L269" s="3" t="s">
        <v>63</v>
      </c>
      <c r="M269" s="3" t="s">
        <v>400</v>
      </c>
      <c r="N269" s="3" t="s">
        <v>401</v>
      </c>
      <c r="O269" s="3" t="s">
        <v>402</v>
      </c>
      <c r="P269" s="3" t="s">
        <v>403</v>
      </c>
      <c r="Q269" s="3" t="s">
        <v>404</v>
      </c>
      <c r="R269" s="3" t="s">
        <v>405</v>
      </c>
      <c r="S269" s="3" t="s">
        <v>185</v>
      </c>
      <c r="T269" s="3" t="s">
        <v>460</v>
      </c>
      <c r="U269" s="3" t="s">
        <v>54</v>
      </c>
      <c r="V269" s="3" t="s">
        <v>72</v>
      </c>
      <c r="W269" s="3" t="s">
        <v>73</v>
      </c>
      <c r="X269" s="3" t="s">
        <v>74</v>
      </c>
      <c r="Y269" s="3" t="s">
        <v>78</v>
      </c>
      <c r="Z269" s="3" t="s">
        <v>79</v>
      </c>
      <c r="AA269" s="3" t="s">
        <v>512</v>
      </c>
      <c r="AB269" s="4">
        <v>0</v>
      </c>
      <c r="AC269" s="4">
        <v>0</v>
      </c>
      <c r="AD269" s="4">
        <v>2260000</v>
      </c>
      <c r="AE269" s="4">
        <v>2260000</v>
      </c>
      <c r="AF269" s="4">
        <v>0</v>
      </c>
      <c r="AG269" s="4">
        <v>0</v>
      </c>
      <c r="AH269" s="4">
        <v>0</v>
      </c>
      <c r="AI269" s="4">
        <v>0</v>
      </c>
      <c r="AJ269" s="4">
        <v>0</v>
      </c>
      <c r="AK269" s="4">
        <v>0</v>
      </c>
      <c r="AL269" s="4">
        <v>0</v>
      </c>
      <c r="AM269" s="4">
        <v>0</v>
      </c>
      <c r="AN269" s="4">
        <v>0</v>
      </c>
      <c r="AO269" s="4">
        <v>0</v>
      </c>
      <c r="AP269" s="4">
        <v>0</v>
      </c>
      <c r="AQ269" s="4">
        <v>2260000</v>
      </c>
      <c r="AR269" s="4">
        <v>546480</v>
      </c>
      <c r="AS269" s="4">
        <v>546480</v>
      </c>
      <c r="AT269" s="4">
        <v>0</v>
      </c>
      <c r="AU269" s="4">
        <v>0</v>
      </c>
      <c r="AV269" s="4">
        <v>0</v>
      </c>
      <c r="AW269" s="4">
        <v>0</v>
      </c>
      <c r="AX269" s="4">
        <v>1713520</v>
      </c>
      <c r="AY269" s="4">
        <v>1713520</v>
      </c>
    </row>
    <row r="270" spans="1:51">
      <c r="A270" s="3" t="s">
        <v>52</v>
      </c>
      <c r="B270" s="3" t="s">
        <v>53</v>
      </c>
      <c r="C270" s="3" t="s">
        <v>54</v>
      </c>
      <c r="D270" s="3" t="s">
        <v>55</v>
      </c>
      <c r="E270" s="3" t="s">
        <v>56</v>
      </c>
      <c r="F270" s="3" t="s">
        <v>57</v>
      </c>
      <c r="G270" s="3" t="s">
        <v>58</v>
      </c>
      <c r="H270" s="3" t="s">
        <v>59</v>
      </c>
      <c r="I270" s="3" t="s">
        <v>60</v>
      </c>
      <c r="J270" s="3" t="s">
        <v>61</v>
      </c>
      <c r="K270" s="3" t="s">
        <v>62</v>
      </c>
      <c r="L270" s="3" t="s">
        <v>63</v>
      </c>
      <c r="M270" s="3" t="s">
        <v>400</v>
      </c>
      <c r="N270" s="3" t="s">
        <v>401</v>
      </c>
      <c r="O270" s="3" t="s">
        <v>402</v>
      </c>
      <c r="P270" s="3" t="s">
        <v>403</v>
      </c>
      <c r="Q270" s="3" t="s">
        <v>404</v>
      </c>
      <c r="R270" s="3" t="s">
        <v>405</v>
      </c>
      <c r="S270" s="3" t="s">
        <v>185</v>
      </c>
      <c r="T270" s="3" t="s">
        <v>460</v>
      </c>
      <c r="U270" s="3" t="s">
        <v>54</v>
      </c>
      <c r="V270" s="3" t="s">
        <v>72</v>
      </c>
      <c r="W270" s="3" t="s">
        <v>73</v>
      </c>
      <c r="X270" s="3" t="s">
        <v>74</v>
      </c>
      <c r="Y270" s="3" t="s">
        <v>78</v>
      </c>
      <c r="Z270" s="3" t="s">
        <v>79</v>
      </c>
      <c r="AA270" s="3" t="s">
        <v>513</v>
      </c>
      <c r="AB270" s="4">
        <v>0</v>
      </c>
      <c r="AC270" s="4">
        <v>0</v>
      </c>
      <c r="AD270" s="4">
        <v>2364000</v>
      </c>
      <c r="AE270" s="4">
        <v>2364000</v>
      </c>
      <c r="AF270" s="4">
        <v>0</v>
      </c>
      <c r="AG270" s="4">
        <v>0</v>
      </c>
      <c r="AH270" s="4">
        <v>0</v>
      </c>
      <c r="AI270" s="4">
        <v>0</v>
      </c>
      <c r="AJ270" s="4">
        <v>0</v>
      </c>
      <c r="AK270" s="4">
        <v>0</v>
      </c>
      <c r="AL270" s="4">
        <v>0</v>
      </c>
      <c r="AM270" s="4">
        <v>0</v>
      </c>
      <c r="AN270" s="4">
        <v>0</v>
      </c>
      <c r="AO270" s="4">
        <v>0</v>
      </c>
      <c r="AP270" s="4">
        <v>0</v>
      </c>
      <c r="AQ270" s="4">
        <v>2364000</v>
      </c>
      <c r="AR270" s="4">
        <v>794880</v>
      </c>
      <c r="AS270" s="4">
        <v>794880</v>
      </c>
      <c r="AT270" s="4">
        <v>0</v>
      </c>
      <c r="AU270" s="4">
        <v>0</v>
      </c>
      <c r="AV270" s="4">
        <v>0</v>
      </c>
      <c r="AW270" s="4">
        <v>0</v>
      </c>
      <c r="AX270" s="4">
        <v>1569120</v>
      </c>
      <c r="AY270" s="4">
        <v>1569120</v>
      </c>
    </row>
    <row r="271" spans="1:51">
      <c r="A271" s="3" t="s">
        <v>52</v>
      </c>
      <c r="B271" s="3" t="s">
        <v>53</v>
      </c>
      <c r="C271" s="3" t="s">
        <v>54</v>
      </c>
      <c r="D271" s="3" t="s">
        <v>55</v>
      </c>
      <c r="E271" s="3" t="s">
        <v>56</v>
      </c>
      <c r="F271" s="3" t="s">
        <v>57</v>
      </c>
      <c r="G271" s="3" t="s">
        <v>58</v>
      </c>
      <c r="H271" s="3" t="s">
        <v>59</v>
      </c>
      <c r="I271" s="3" t="s">
        <v>60</v>
      </c>
      <c r="J271" s="3" t="s">
        <v>61</v>
      </c>
      <c r="K271" s="3" t="s">
        <v>62</v>
      </c>
      <c r="L271" s="3" t="s">
        <v>63</v>
      </c>
      <c r="M271" s="3" t="s">
        <v>400</v>
      </c>
      <c r="N271" s="3" t="s">
        <v>401</v>
      </c>
      <c r="O271" s="3" t="s">
        <v>402</v>
      </c>
      <c r="P271" s="3" t="s">
        <v>403</v>
      </c>
      <c r="Q271" s="3" t="s">
        <v>404</v>
      </c>
      <c r="R271" s="3" t="s">
        <v>405</v>
      </c>
      <c r="S271" s="3" t="s">
        <v>185</v>
      </c>
      <c r="T271" s="3" t="s">
        <v>460</v>
      </c>
      <c r="U271" s="3" t="s">
        <v>54</v>
      </c>
      <c r="V271" s="3" t="s">
        <v>72</v>
      </c>
      <c r="W271" s="3" t="s">
        <v>73</v>
      </c>
      <c r="X271" s="3" t="s">
        <v>74</v>
      </c>
      <c r="Y271" s="3" t="s">
        <v>78</v>
      </c>
      <c r="Z271" s="3" t="s">
        <v>79</v>
      </c>
      <c r="AA271" s="3" t="s">
        <v>514</v>
      </c>
      <c r="AB271" s="4">
        <v>0</v>
      </c>
      <c r="AC271" s="4">
        <v>0</v>
      </c>
      <c r="AD271" s="4">
        <v>1356000</v>
      </c>
      <c r="AE271" s="4">
        <v>1356000</v>
      </c>
      <c r="AF271" s="4">
        <v>0</v>
      </c>
      <c r="AG271" s="4">
        <v>0</v>
      </c>
      <c r="AH271" s="4">
        <v>0</v>
      </c>
      <c r="AI271" s="4">
        <v>0</v>
      </c>
      <c r="AJ271" s="4">
        <v>0</v>
      </c>
      <c r="AK271" s="4">
        <v>0</v>
      </c>
      <c r="AL271" s="4">
        <v>0</v>
      </c>
      <c r="AM271" s="4">
        <v>0</v>
      </c>
      <c r="AN271" s="4">
        <v>0</v>
      </c>
      <c r="AO271" s="4">
        <v>0</v>
      </c>
      <c r="AP271" s="4">
        <v>0</v>
      </c>
      <c r="AQ271" s="4">
        <v>1356000</v>
      </c>
      <c r="AR271" s="4">
        <v>331200</v>
      </c>
      <c r="AS271" s="4">
        <v>331200</v>
      </c>
      <c r="AT271" s="4">
        <v>0</v>
      </c>
      <c r="AU271" s="4">
        <v>0</v>
      </c>
      <c r="AV271" s="4">
        <v>0</v>
      </c>
      <c r="AW271" s="4">
        <v>0</v>
      </c>
      <c r="AX271" s="4">
        <v>1024800</v>
      </c>
      <c r="AY271" s="4">
        <v>1024800</v>
      </c>
    </row>
    <row r="272" spans="1:51">
      <c r="A272" s="3" t="s">
        <v>52</v>
      </c>
      <c r="B272" s="3" t="s">
        <v>53</v>
      </c>
      <c r="C272" s="3" t="s">
        <v>54</v>
      </c>
      <c r="D272" s="3" t="s">
        <v>55</v>
      </c>
      <c r="E272" s="3" t="s">
        <v>56</v>
      </c>
      <c r="F272" s="3" t="s">
        <v>57</v>
      </c>
      <c r="G272" s="3" t="s">
        <v>58</v>
      </c>
      <c r="H272" s="3" t="s">
        <v>59</v>
      </c>
      <c r="I272" s="3" t="s">
        <v>60</v>
      </c>
      <c r="J272" s="3" t="s">
        <v>61</v>
      </c>
      <c r="K272" s="3" t="s">
        <v>62</v>
      </c>
      <c r="L272" s="3" t="s">
        <v>63</v>
      </c>
      <c r="M272" s="3" t="s">
        <v>400</v>
      </c>
      <c r="N272" s="3" t="s">
        <v>401</v>
      </c>
      <c r="O272" s="3" t="s">
        <v>402</v>
      </c>
      <c r="P272" s="3" t="s">
        <v>403</v>
      </c>
      <c r="Q272" s="3" t="s">
        <v>404</v>
      </c>
      <c r="R272" s="3" t="s">
        <v>405</v>
      </c>
      <c r="S272" s="3" t="s">
        <v>185</v>
      </c>
      <c r="T272" s="3" t="s">
        <v>460</v>
      </c>
      <c r="U272" s="3" t="s">
        <v>54</v>
      </c>
      <c r="V272" s="3" t="s">
        <v>72</v>
      </c>
      <c r="W272" s="3" t="s">
        <v>73</v>
      </c>
      <c r="X272" s="3" t="s">
        <v>74</v>
      </c>
      <c r="Y272" s="3" t="s">
        <v>78</v>
      </c>
      <c r="Z272" s="3" t="s">
        <v>79</v>
      </c>
      <c r="AA272" s="3" t="s">
        <v>515</v>
      </c>
      <c r="AB272" s="4">
        <v>0</v>
      </c>
      <c r="AC272" s="4">
        <v>0</v>
      </c>
      <c r="AD272" s="4">
        <v>3233000</v>
      </c>
      <c r="AE272" s="4">
        <v>3233000</v>
      </c>
      <c r="AF272" s="4">
        <v>0</v>
      </c>
      <c r="AG272" s="4">
        <v>0</v>
      </c>
      <c r="AH272" s="4">
        <v>0</v>
      </c>
      <c r="AI272" s="4">
        <v>0</v>
      </c>
      <c r="AJ272" s="4">
        <v>0</v>
      </c>
      <c r="AK272" s="4">
        <v>0</v>
      </c>
      <c r="AL272" s="4">
        <v>0</v>
      </c>
      <c r="AM272" s="4">
        <v>0</v>
      </c>
      <c r="AN272" s="4">
        <v>0</v>
      </c>
      <c r="AO272" s="4">
        <v>0</v>
      </c>
      <c r="AP272" s="4">
        <v>0</v>
      </c>
      <c r="AQ272" s="4">
        <v>3233000</v>
      </c>
      <c r="AR272" s="4">
        <v>794880</v>
      </c>
      <c r="AS272" s="4">
        <v>794880</v>
      </c>
      <c r="AT272" s="4">
        <v>0</v>
      </c>
      <c r="AU272" s="4">
        <v>0</v>
      </c>
      <c r="AV272" s="4">
        <v>0</v>
      </c>
      <c r="AW272" s="4">
        <v>0</v>
      </c>
      <c r="AX272" s="4">
        <v>2438120</v>
      </c>
      <c r="AY272" s="4">
        <v>2438120</v>
      </c>
    </row>
    <row r="273" spans="1:51">
      <c r="A273" s="3" t="s">
        <v>52</v>
      </c>
      <c r="B273" s="3" t="s">
        <v>53</v>
      </c>
      <c r="C273" s="3" t="s">
        <v>54</v>
      </c>
      <c r="D273" s="3" t="s">
        <v>55</v>
      </c>
      <c r="E273" s="3" t="s">
        <v>56</v>
      </c>
      <c r="F273" s="3" t="s">
        <v>57</v>
      </c>
      <c r="G273" s="3" t="s">
        <v>58</v>
      </c>
      <c r="H273" s="3" t="s">
        <v>59</v>
      </c>
      <c r="I273" s="3" t="s">
        <v>60</v>
      </c>
      <c r="J273" s="3" t="s">
        <v>61</v>
      </c>
      <c r="K273" s="3" t="s">
        <v>62</v>
      </c>
      <c r="L273" s="3" t="s">
        <v>63</v>
      </c>
      <c r="M273" s="3" t="s">
        <v>400</v>
      </c>
      <c r="N273" s="3" t="s">
        <v>401</v>
      </c>
      <c r="O273" s="3" t="s">
        <v>402</v>
      </c>
      <c r="P273" s="3" t="s">
        <v>403</v>
      </c>
      <c r="Q273" s="3" t="s">
        <v>404</v>
      </c>
      <c r="R273" s="3" t="s">
        <v>405</v>
      </c>
      <c r="S273" s="3" t="s">
        <v>185</v>
      </c>
      <c r="T273" s="3" t="s">
        <v>460</v>
      </c>
      <c r="U273" s="3" t="s">
        <v>54</v>
      </c>
      <c r="V273" s="3" t="s">
        <v>72</v>
      </c>
      <c r="W273" s="3" t="s">
        <v>73</v>
      </c>
      <c r="X273" s="3" t="s">
        <v>74</v>
      </c>
      <c r="Y273" s="3" t="s">
        <v>78</v>
      </c>
      <c r="Z273" s="3" t="s">
        <v>79</v>
      </c>
      <c r="AA273" s="3" t="s">
        <v>516</v>
      </c>
      <c r="AB273" s="4">
        <v>0</v>
      </c>
      <c r="AC273" s="4">
        <v>0</v>
      </c>
      <c r="AD273" s="4">
        <v>1591000</v>
      </c>
      <c r="AE273" s="4">
        <v>1591000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0</v>
      </c>
      <c r="AL273" s="4">
        <v>0</v>
      </c>
      <c r="AM273" s="4">
        <v>0</v>
      </c>
      <c r="AN273" s="4">
        <v>0</v>
      </c>
      <c r="AO273" s="4">
        <v>0</v>
      </c>
      <c r="AP273" s="4">
        <v>0</v>
      </c>
      <c r="AQ273" s="4">
        <v>1591000</v>
      </c>
      <c r="AR273" s="4">
        <v>563040</v>
      </c>
      <c r="AS273" s="4">
        <v>563040</v>
      </c>
      <c r="AT273" s="4">
        <v>0</v>
      </c>
      <c r="AU273" s="4">
        <v>0</v>
      </c>
      <c r="AV273" s="4">
        <v>0</v>
      </c>
      <c r="AW273" s="4">
        <v>0</v>
      </c>
      <c r="AX273" s="4">
        <v>1027960</v>
      </c>
      <c r="AY273" s="4">
        <v>1027960</v>
      </c>
    </row>
    <row r="274" spans="1:51">
      <c r="A274" s="3" t="s">
        <v>52</v>
      </c>
      <c r="B274" s="3" t="s">
        <v>53</v>
      </c>
      <c r="C274" s="3" t="s">
        <v>54</v>
      </c>
      <c r="D274" s="3" t="s">
        <v>55</v>
      </c>
      <c r="E274" s="3" t="s">
        <v>56</v>
      </c>
      <c r="F274" s="3" t="s">
        <v>57</v>
      </c>
      <c r="G274" s="3" t="s">
        <v>58</v>
      </c>
      <c r="H274" s="3" t="s">
        <v>59</v>
      </c>
      <c r="I274" s="3" t="s">
        <v>60</v>
      </c>
      <c r="J274" s="3" t="s">
        <v>61</v>
      </c>
      <c r="K274" s="3" t="s">
        <v>62</v>
      </c>
      <c r="L274" s="3" t="s">
        <v>63</v>
      </c>
      <c r="M274" s="3" t="s">
        <v>400</v>
      </c>
      <c r="N274" s="3" t="s">
        <v>401</v>
      </c>
      <c r="O274" s="3" t="s">
        <v>402</v>
      </c>
      <c r="P274" s="3" t="s">
        <v>403</v>
      </c>
      <c r="Q274" s="3" t="s">
        <v>404</v>
      </c>
      <c r="R274" s="3" t="s">
        <v>405</v>
      </c>
      <c r="S274" s="3" t="s">
        <v>185</v>
      </c>
      <c r="T274" s="3" t="s">
        <v>460</v>
      </c>
      <c r="U274" s="3" t="s">
        <v>54</v>
      </c>
      <c r="V274" s="3" t="s">
        <v>72</v>
      </c>
      <c r="W274" s="3" t="s">
        <v>73</v>
      </c>
      <c r="X274" s="3" t="s">
        <v>74</v>
      </c>
      <c r="Y274" s="3" t="s">
        <v>78</v>
      </c>
      <c r="Z274" s="3" t="s">
        <v>79</v>
      </c>
      <c r="AA274" s="3" t="s">
        <v>517</v>
      </c>
      <c r="AB274" s="4">
        <v>0</v>
      </c>
      <c r="AC274" s="4">
        <v>0</v>
      </c>
      <c r="AD274" s="4">
        <v>3824000</v>
      </c>
      <c r="AE274" s="4">
        <v>3824000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0</v>
      </c>
      <c r="AL274" s="4">
        <v>0</v>
      </c>
      <c r="AM274" s="4">
        <v>0</v>
      </c>
      <c r="AN274" s="4">
        <v>0</v>
      </c>
      <c r="AO274" s="4">
        <v>0</v>
      </c>
      <c r="AP274" s="4">
        <v>0</v>
      </c>
      <c r="AQ274" s="4">
        <v>3824000</v>
      </c>
      <c r="AR274" s="4">
        <v>1126080</v>
      </c>
      <c r="AS274" s="4">
        <v>1126080</v>
      </c>
      <c r="AT274" s="4">
        <v>0</v>
      </c>
      <c r="AU274" s="4">
        <v>0</v>
      </c>
      <c r="AV274" s="4">
        <v>0</v>
      </c>
      <c r="AW274" s="4">
        <v>0</v>
      </c>
      <c r="AX274" s="4">
        <v>2697920</v>
      </c>
      <c r="AY274" s="4">
        <v>2697920</v>
      </c>
    </row>
    <row r="275" spans="1:51">
      <c r="A275" s="3" t="s">
        <v>52</v>
      </c>
      <c r="B275" s="3" t="s">
        <v>53</v>
      </c>
      <c r="C275" s="3" t="s">
        <v>54</v>
      </c>
      <c r="D275" s="3" t="s">
        <v>55</v>
      </c>
      <c r="E275" s="3" t="s">
        <v>56</v>
      </c>
      <c r="F275" s="3" t="s">
        <v>57</v>
      </c>
      <c r="G275" s="3" t="s">
        <v>58</v>
      </c>
      <c r="H275" s="3" t="s">
        <v>59</v>
      </c>
      <c r="I275" s="3" t="s">
        <v>60</v>
      </c>
      <c r="J275" s="3" t="s">
        <v>61</v>
      </c>
      <c r="K275" s="3" t="s">
        <v>62</v>
      </c>
      <c r="L275" s="3" t="s">
        <v>63</v>
      </c>
      <c r="M275" s="3" t="s">
        <v>400</v>
      </c>
      <c r="N275" s="3" t="s">
        <v>401</v>
      </c>
      <c r="O275" s="3" t="s">
        <v>402</v>
      </c>
      <c r="P275" s="3" t="s">
        <v>403</v>
      </c>
      <c r="Q275" s="3" t="s">
        <v>404</v>
      </c>
      <c r="R275" s="3" t="s">
        <v>405</v>
      </c>
      <c r="S275" s="3" t="s">
        <v>185</v>
      </c>
      <c r="T275" s="3" t="s">
        <v>460</v>
      </c>
      <c r="U275" s="3" t="s">
        <v>54</v>
      </c>
      <c r="V275" s="3" t="s">
        <v>72</v>
      </c>
      <c r="W275" s="3" t="s">
        <v>73</v>
      </c>
      <c r="X275" s="3" t="s">
        <v>74</v>
      </c>
      <c r="Y275" s="3" t="s">
        <v>78</v>
      </c>
      <c r="Z275" s="3" t="s">
        <v>79</v>
      </c>
      <c r="AA275" s="3" t="s">
        <v>518</v>
      </c>
      <c r="AB275" s="4">
        <v>0</v>
      </c>
      <c r="AC275" s="4">
        <v>0</v>
      </c>
      <c r="AD275" s="4">
        <v>1721000</v>
      </c>
      <c r="AE275" s="4">
        <v>1721000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0</v>
      </c>
      <c r="AL275" s="4">
        <v>0</v>
      </c>
      <c r="AM275" s="4">
        <v>0</v>
      </c>
      <c r="AN275" s="4">
        <v>0</v>
      </c>
      <c r="AO275" s="4">
        <v>0</v>
      </c>
      <c r="AP275" s="4">
        <v>0</v>
      </c>
      <c r="AQ275" s="4">
        <v>1721000</v>
      </c>
      <c r="AR275" s="4">
        <v>596160</v>
      </c>
      <c r="AS275" s="4">
        <v>596160</v>
      </c>
      <c r="AT275" s="4">
        <v>0</v>
      </c>
      <c r="AU275" s="4">
        <v>0</v>
      </c>
      <c r="AV275" s="4">
        <v>0</v>
      </c>
      <c r="AW275" s="4">
        <v>0</v>
      </c>
      <c r="AX275" s="4">
        <v>1124840</v>
      </c>
      <c r="AY275" s="4">
        <v>1124840</v>
      </c>
    </row>
    <row r="276" spans="1:51">
      <c r="A276" s="3" t="s">
        <v>52</v>
      </c>
      <c r="B276" s="3" t="s">
        <v>53</v>
      </c>
      <c r="C276" s="3" t="s">
        <v>54</v>
      </c>
      <c r="D276" s="3" t="s">
        <v>55</v>
      </c>
      <c r="E276" s="3" t="s">
        <v>56</v>
      </c>
      <c r="F276" s="3" t="s">
        <v>57</v>
      </c>
      <c r="G276" s="3" t="s">
        <v>58</v>
      </c>
      <c r="H276" s="3" t="s">
        <v>59</v>
      </c>
      <c r="I276" s="3" t="s">
        <v>60</v>
      </c>
      <c r="J276" s="3" t="s">
        <v>61</v>
      </c>
      <c r="K276" s="3" t="s">
        <v>62</v>
      </c>
      <c r="L276" s="3" t="s">
        <v>63</v>
      </c>
      <c r="M276" s="3" t="s">
        <v>400</v>
      </c>
      <c r="N276" s="3" t="s">
        <v>401</v>
      </c>
      <c r="O276" s="3" t="s">
        <v>402</v>
      </c>
      <c r="P276" s="3" t="s">
        <v>403</v>
      </c>
      <c r="Q276" s="3" t="s">
        <v>404</v>
      </c>
      <c r="R276" s="3" t="s">
        <v>405</v>
      </c>
      <c r="S276" s="3" t="s">
        <v>185</v>
      </c>
      <c r="T276" s="3" t="s">
        <v>460</v>
      </c>
      <c r="U276" s="3" t="s">
        <v>54</v>
      </c>
      <c r="V276" s="3" t="s">
        <v>72</v>
      </c>
      <c r="W276" s="3" t="s">
        <v>73</v>
      </c>
      <c r="X276" s="3" t="s">
        <v>74</v>
      </c>
      <c r="Y276" s="3" t="s">
        <v>78</v>
      </c>
      <c r="Z276" s="3" t="s">
        <v>79</v>
      </c>
      <c r="AA276" s="3" t="s">
        <v>519</v>
      </c>
      <c r="AB276" s="4">
        <v>0</v>
      </c>
      <c r="AC276" s="4">
        <v>0</v>
      </c>
      <c r="AD276" s="4">
        <v>1504000</v>
      </c>
      <c r="AE276" s="4">
        <v>1504000</v>
      </c>
      <c r="AF276" s="4">
        <v>0</v>
      </c>
      <c r="AG276" s="4">
        <v>0</v>
      </c>
      <c r="AH276" s="4">
        <v>0</v>
      </c>
      <c r="AI276" s="4">
        <v>0</v>
      </c>
      <c r="AJ276" s="4">
        <v>0</v>
      </c>
      <c r="AK276" s="4">
        <v>0</v>
      </c>
      <c r="AL276" s="4">
        <v>0</v>
      </c>
      <c r="AM276" s="4">
        <v>0</v>
      </c>
      <c r="AN276" s="4">
        <v>0</v>
      </c>
      <c r="AO276" s="4">
        <v>0</v>
      </c>
      <c r="AP276" s="4">
        <v>0</v>
      </c>
      <c r="AQ276" s="4">
        <v>1504000</v>
      </c>
      <c r="AR276" s="4">
        <v>463680</v>
      </c>
      <c r="AS276" s="4">
        <v>463680</v>
      </c>
      <c r="AT276" s="4">
        <v>0</v>
      </c>
      <c r="AU276" s="4">
        <v>0</v>
      </c>
      <c r="AV276" s="4">
        <v>0</v>
      </c>
      <c r="AW276" s="4">
        <v>0</v>
      </c>
      <c r="AX276" s="4">
        <v>1040320</v>
      </c>
      <c r="AY276" s="4">
        <v>1040320</v>
      </c>
    </row>
    <row r="277" spans="1:51">
      <c r="A277" s="3" t="s">
        <v>52</v>
      </c>
      <c r="B277" s="3" t="s">
        <v>53</v>
      </c>
      <c r="C277" s="3" t="s">
        <v>54</v>
      </c>
      <c r="D277" s="3" t="s">
        <v>55</v>
      </c>
      <c r="E277" s="3" t="s">
        <v>56</v>
      </c>
      <c r="F277" s="3" t="s">
        <v>57</v>
      </c>
      <c r="G277" s="3" t="s">
        <v>58</v>
      </c>
      <c r="H277" s="3" t="s">
        <v>59</v>
      </c>
      <c r="I277" s="3" t="s">
        <v>60</v>
      </c>
      <c r="J277" s="3" t="s">
        <v>61</v>
      </c>
      <c r="K277" s="3" t="s">
        <v>62</v>
      </c>
      <c r="L277" s="3" t="s">
        <v>63</v>
      </c>
      <c r="M277" s="3" t="s">
        <v>400</v>
      </c>
      <c r="N277" s="3" t="s">
        <v>401</v>
      </c>
      <c r="O277" s="3" t="s">
        <v>402</v>
      </c>
      <c r="P277" s="3" t="s">
        <v>403</v>
      </c>
      <c r="Q277" s="3" t="s">
        <v>404</v>
      </c>
      <c r="R277" s="3" t="s">
        <v>405</v>
      </c>
      <c r="S277" s="3" t="s">
        <v>185</v>
      </c>
      <c r="T277" s="3" t="s">
        <v>460</v>
      </c>
      <c r="U277" s="3" t="s">
        <v>54</v>
      </c>
      <c r="V277" s="3" t="s">
        <v>72</v>
      </c>
      <c r="W277" s="3" t="s">
        <v>73</v>
      </c>
      <c r="X277" s="3" t="s">
        <v>74</v>
      </c>
      <c r="Y277" s="3" t="s">
        <v>78</v>
      </c>
      <c r="Z277" s="3" t="s">
        <v>79</v>
      </c>
      <c r="AA277" s="3" t="s">
        <v>520</v>
      </c>
      <c r="AB277" s="4">
        <v>0</v>
      </c>
      <c r="AC277" s="4">
        <v>0</v>
      </c>
      <c r="AD277" s="4">
        <v>2773000</v>
      </c>
      <c r="AE277" s="4">
        <v>2773000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0</v>
      </c>
      <c r="AL277" s="4">
        <v>0</v>
      </c>
      <c r="AM277" s="4">
        <v>0</v>
      </c>
      <c r="AN277" s="4">
        <v>0</v>
      </c>
      <c r="AO277" s="4">
        <v>0</v>
      </c>
      <c r="AP277" s="4">
        <v>0</v>
      </c>
      <c r="AQ277" s="4">
        <v>2773000</v>
      </c>
      <c r="AR277" s="4">
        <v>654120</v>
      </c>
      <c r="AS277" s="4">
        <v>654120</v>
      </c>
      <c r="AT277" s="4">
        <v>0</v>
      </c>
      <c r="AU277" s="4">
        <v>0</v>
      </c>
      <c r="AV277" s="4">
        <v>0</v>
      </c>
      <c r="AW277" s="4">
        <v>0</v>
      </c>
      <c r="AX277" s="4">
        <v>2118880</v>
      </c>
      <c r="AY277" s="4">
        <v>2118880</v>
      </c>
    </row>
    <row r="278" spans="1:51">
      <c r="A278" s="3" t="s">
        <v>52</v>
      </c>
      <c r="B278" s="3" t="s">
        <v>53</v>
      </c>
      <c r="C278" s="3" t="s">
        <v>54</v>
      </c>
      <c r="D278" s="3" t="s">
        <v>55</v>
      </c>
      <c r="E278" s="3" t="s">
        <v>56</v>
      </c>
      <c r="F278" s="3" t="s">
        <v>57</v>
      </c>
      <c r="G278" s="3" t="s">
        <v>58</v>
      </c>
      <c r="H278" s="3" t="s">
        <v>59</v>
      </c>
      <c r="I278" s="3" t="s">
        <v>60</v>
      </c>
      <c r="J278" s="3" t="s">
        <v>61</v>
      </c>
      <c r="K278" s="3" t="s">
        <v>62</v>
      </c>
      <c r="L278" s="3" t="s">
        <v>63</v>
      </c>
      <c r="M278" s="3" t="s">
        <v>400</v>
      </c>
      <c r="N278" s="3" t="s">
        <v>401</v>
      </c>
      <c r="O278" s="3" t="s">
        <v>402</v>
      </c>
      <c r="P278" s="3" t="s">
        <v>403</v>
      </c>
      <c r="Q278" s="3" t="s">
        <v>404</v>
      </c>
      <c r="R278" s="3" t="s">
        <v>405</v>
      </c>
      <c r="S278" s="3" t="s">
        <v>185</v>
      </c>
      <c r="T278" s="3" t="s">
        <v>460</v>
      </c>
      <c r="U278" s="3" t="s">
        <v>54</v>
      </c>
      <c r="V278" s="3" t="s">
        <v>72</v>
      </c>
      <c r="W278" s="3" t="s">
        <v>73</v>
      </c>
      <c r="X278" s="3" t="s">
        <v>74</v>
      </c>
      <c r="Y278" s="3" t="s">
        <v>78</v>
      </c>
      <c r="Z278" s="3" t="s">
        <v>79</v>
      </c>
      <c r="AA278" s="3" t="s">
        <v>521</v>
      </c>
      <c r="AB278" s="4">
        <v>0</v>
      </c>
      <c r="AC278" s="4">
        <v>0</v>
      </c>
      <c r="AD278" s="4">
        <v>7270000</v>
      </c>
      <c r="AE278" s="4">
        <v>7270000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0</v>
      </c>
      <c r="AL278" s="4">
        <v>0</v>
      </c>
      <c r="AM278" s="4">
        <v>0</v>
      </c>
      <c r="AN278" s="4">
        <v>0</v>
      </c>
      <c r="AO278" s="4">
        <v>0</v>
      </c>
      <c r="AP278" s="4">
        <v>0</v>
      </c>
      <c r="AQ278" s="4">
        <v>7270000</v>
      </c>
      <c r="AR278" s="4">
        <v>1949700</v>
      </c>
      <c r="AS278" s="4">
        <v>1949700</v>
      </c>
      <c r="AT278" s="4">
        <v>0</v>
      </c>
      <c r="AU278" s="4">
        <v>0</v>
      </c>
      <c r="AV278" s="4">
        <v>0</v>
      </c>
      <c r="AW278" s="4">
        <v>0</v>
      </c>
      <c r="AX278" s="4">
        <v>5320300</v>
      </c>
      <c r="AY278" s="4">
        <v>5320300</v>
      </c>
    </row>
    <row r="279" spans="1:51">
      <c r="A279" s="3" t="s">
        <v>52</v>
      </c>
      <c r="B279" s="3" t="s">
        <v>53</v>
      </c>
      <c r="C279" s="3" t="s">
        <v>54</v>
      </c>
      <c r="D279" s="3" t="s">
        <v>55</v>
      </c>
      <c r="E279" s="3" t="s">
        <v>56</v>
      </c>
      <c r="F279" s="3" t="s">
        <v>57</v>
      </c>
      <c r="G279" s="3" t="s">
        <v>58</v>
      </c>
      <c r="H279" s="3" t="s">
        <v>59</v>
      </c>
      <c r="I279" s="3" t="s">
        <v>60</v>
      </c>
      <c r="J279" s="3" t="s">
        <v>61</v>
      </c>
      <c r="K279" s="3" t="s">
        <v>62</v>
      </c>
      <c r="L279" s="3" t="s">
        <v>63</v>
      </c>
      <c r="M279" s="3" t="s">
        <v>400</v>
      </c>
      <c r="N279" s="3" t="s">
        <v>401</v>
      </c>
      <c r="O279" s="3" t="s">
        <v>402</v>
      </c>
      <c r="P279" s="3" t="s">
        <v>403</v>
      </c>
      <c r="Q279" s="3" t="s">
        <v>404</v>
      </c>
      <c r="R279" s="3" t="s">
        <v>405</v>
      </c>
      <c r="S279" s="3" t="s">
        <v>185</v>
      </c>
      <c r="T279" s="3" t="s">
        <v>460</v>
      </c>
      <c r="U279" s="3" t="s">
        <v>54</v>
      </c>
      <c r="V279" s="3" t="s">
        <v>72</v>
      </c>
      <c r="W279" s="3" t="s">
        <v>73</v>
      </c>
      <c r="X279" s="3" t="s">
        <v>74</v>
      </c>
      <c r="Y279" s="3" t="s">
        <v>78</v>
      </c>
      <c r="Z279" s="3" t="s">
        <v>79</v>
      </c>
      <c r="AA279" s="3" t="s">
        <v>522</v>
      </c>
      <c r="AB279" s="4">
        <v>0</v>
      </c>
      <c r="AC279" s="4">
        <v>0</v>
      </c>
      <c r="AD279" s="4">
        <v>3729000</v>
      </c>
      <c r="AE279" s="4">
        <v>3729000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0</v>
      </c>
      <c r="AL279" s="4">
        <v>0</v>
      </c>
      <c r="AM279" s="4">
        <v>0</v>
      </c>
      <c r="AN279" s="4">
        <v>0</v>
      </c>
      <c r="AO279" s="4">
        <v>0</v>
      </c>
      <c r="AP279" s="4">
        <v>0</v>
      </c>
      <c r="AQ279" s="4">
        <v>3729000</v>
      </c>
      <c r="AR279" s="4">
        <v>1225440</v>
      </c>
      <c r="AS279" s="4">
        <v>1225440</v>
      </c>
      <c r="AT279" s="4">
        <v>0</v>
      </c>
      <c r="AU279" s="4">
        <v>0</v>
      </c>
      <c r="AV279" s="4">
        <v>0</v>
      </c>
      <c r="AW279" s="4">
        <v>0</v>
      </c>
      <c r="AX279" s="4">
        <v>2503560</v>
      </c>
      <c r="AY279" s="4">
        <v>2503560</v>
      </c>
    </row>
    <row r="280" spans="1:51">
      <c r="A280" s="3" t="s">
        <v>52</v>
      </c>
      <c r="B280" s="3" t="s">
        <v>53</v>
      </c>
      <c r="C280" s="3" t="s">
        <v>54</v>
      </c>
      <c r="D280" s="3" t="s">
        <v>55</v>
      </c>
      <c r="E280" s="3" t="s">
        <v>56</v>
      </c>
      <c r="F280" s="3" t="s">
        <v>57</v>
      </c>
      <c r="G280" s="3" t="s">
        <v>58</v>
      </c>
      <c r="H280" s="3" t="s">
        <v>59</v>
      </c>
      <c r="I280" s="3" t="s">
        <v>60</v>
      </c>
      <c r="J280" s="3" t="s">
        <v>61</v>
      </c>
      <c r="K280" s="3" t="s">
        <v>62</v>
      </c>
      <c r="L280" s="3" t="s">
        <v>63</v>
      </c>
      <c r="M280" s="3" t="s">
        <v>400</v>
      </c>
      <c r="N280" s="3" t="s">
        <v>401</v>
      </c>
      <c r="O280" s="3" t="s">
        <v>402</v>
      </c>
      <c r="P280" s="3" t="s">
        <v>403</v>
      </c>
      <c r="Q280" s="3" t="s">
        <v>404</v>
      </c>
      <c r="R280" s="3" t="s">
        <v>405</v>
      </c>
      <c r="S280" s="3" t="s">
        <v>185</v>
      </c>
      <c r="T280" s="3" t="s">
        <v>460</v>
      </c>
      <c r="U280" s="3" t="s">
        <v>54</v>
      </c>
      <c r="V280" s="3" t="s">
        <v>72</v>
      </c>
      <c r="W280" s="3" t="s">
        <v>73</v>
      </c>
      <c r="X280" s="3" t="s">
        <v>74</v>
      </c>
      <c r="Y280" s="3" t="s">
        <v>78</v>
      </c>
      <c r="Z280" s="3" t="s">
        <v>79</v>
      </c>
      <c r="AA280" s="3" t="s">
        <v>523</v>
      </c>
      <c r="AB280" s="4">
        <v>0</v>
      </c>
      <c r="AC280" s="4">
        <v>0</v>
      </c>
      <c r="AD280" s="4">
        <v>1548000</v>
      </c>
      <c r="AE280" s="4">
        <v>1548000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4">
        <v>0</v>
      </c>
      <c r="AM280" s="4">
        <v>0</v>
      </c>
      <c r="AN280" s="4">
        <v>0</v>
      </c>
      <c r="AO280" s="4">
        <v>0</v>
      </c>
      <c r="AP280" s="4">
        <v>0</v>
      </c>
      <c r="AQ280" s="4">
        <v>1548000</v>
      </c>
      <c r="AR280" s="4">
        <v>429120</v>
      </c>
      <c r="AS280" s="4">
        <v>429120</v>
      </c>
      <c r="AT280" s="4">
        <v>0</v>
      </c>
      <c r="AU280" s="4">
        <v>0</v>
      </c>
      <c r="AV280" s="4">
        <v>0</v>
      </c>
      <c r="AW280" s="4">
        <v>0</v>
      </c>
      <c r="AX280" s="4">
        <v>1118880</v>
      </c>
      <c r="AY280" s="4">
        <v>1118880</v>
      </c>
    </row>
    <row r="281" spans="1:51">
      <c r="A281" s="3" t="s">
        <v>52</v>
      </c>
      <c r="B281" s="3" t="s">
        <v>53</v>
      </c>
      <c r="C281" s="3" t="s">
        <v>54</v>
      </c>
      <c r="D281" s="3" t="s">
        <v>55</v>
      </c>
      <c r="E281" s="3" t="s">
        <v>56</v>
      </c>
      <c r="F281" s="3" t="s">
        <v>57</v>
      </c>
      <c r="G281" s="3" t="s">
        <v>58</v>
      </c>
      <c r="H281" s="3" t="s">
        <v>59</v>
      </c>
      <c r="I281" s="3" t="s">
        <v>60</v>
      </c>
      <c r="J281" s="3" t="s">
        <v>61</v>
      </c>
      <c r="K281" s="3" t="s">
        <v>62</v>
      </c>
      <c r="L281" s="3" t="s">
        <v>63</v>
      </c>
      <c r="M281" s="3" t="s">
        <v>400</v>
      </c>
      <c r="N281" s="3" t="s">
        <v>401</v>
      </c>
      <c r="O281" s="3" t="s">
        <v>402</v>
      </c>
      <c r="P281" s="3" t="s">
        <v>403</v>
      </c>
      <c r="Q281" s="3" t="s">
        <v>404</v>
      </c>
      <c r="R281" s="3" t="s">
        <v>405</v>
      </c>
      <c r="S281" s="3" t="s">
        <v>189</v>
      </c>
      <c r="T281" s="3" t="s">
        <v>524</v>
      </c>
      <c r="U281" s="3" t="s">
        <v>54</v>
      </c>
      <c r="V281" s="3" t="s">
        <v>72</v>
      </c>
      <c r="W281" s="3" t="s">
        <v>73</v>
      </c>
      <c r="X281" s="3" t="s">
        <v>74</v>
      </c>
      <c r="Y281" s="3" t="s">
        <v>75</v>
      </c>
      <c r="Z281" s="3" t="s">
        <v>76</v>
      </c>
      <c r="AA281" s="3" t="s">
        <v>525</v>
      </c>
      <c r="AB281" s="4">
        <v>0</v>
      </c>
      <c r="AC281" s="4">
        <v>0</v>
      </c>
      <c r="AD281" s="4">
        <v>87000</v>
      </c>
      <c r="AE281" s="4">
        <v>87000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4">
        <v>0</v>
      </c>
      <c r="AM281" s="4">
        <v>0</v>
      </c>
      <c r="AN281" s="4">
        <v>0</v>
      </c>
      <c r="AO281" s="4">
        <v>0</v>
      </c>
      <c r="AP281" s="4">
        <v>0</v>
      </c>
      <c r="AQ281" s="4">
        <v>87000</v>
      </c>
      <c r="AR281" s="4">
        <v>0</v>
      </c>
      <c r="AS281" s="4">
        <v>0</v>
      </c>
      <c r="AT281" s="4">
        <v>0</v>
      </c>
      <c r="AU281" s="4">
        <v>0</v>
      </c>
      <c r="AV281" s="4">
        <v>0</v>
      </c>
      <c r="AW281" s="4">
        <v>0</v>
      </c>
      <c r="AX281" s="4">
        <v>87000</v>
      </c>
      <c r="AY281" s="4">
        <v>87000</v>
      </c>
    </row>
    <row r="282" spans="1:51">
      <c r="A282" s="3" t="s">
        <v>52</v>
      </c>
      <c r="B282" s="3" t="s">
        <v>53</v>
      </c>
      <c r="C282" s="3" t="s">
        <v>54</v>
      </c>
      <c r="D282" s="3" t="s">
        <v>55</v>
      </c>
      <c r="E282" s="3" t="s">
        <v>56</v>
      </c>
      <c r="F282" s="3" t="s">
        <v>57</v>
      </c>
      <c r="G282" s="3" t="s">
        <v>58</v>
      </c>
      <c r="H282" s="3" t="s">
        <v>59</v>
      </c>
      <c r="I282" s="3" t="s">
        <v>60</v>
      </c>
      <c r="J282" s="3" t="s">
        <v>61</v>
      </c>
      <c r="K282" s="3" t="s">
        <v>62</v>
      </c>
      <c r="L282" s="3" t="s">
        <v>63</v>
      </c>
      <c r="M282" s="3" t="s">
        <v>400</v>
      </c>
      <c r="N282" s="3" t="s">
        <v>401</v>
      </c>
      <c r="O282" s="3" t="s">
        <v>402</v>
      </c>
      <c r="P282" s="3" t="s">
        <v>403</v>
      </c>
      <c r="Q282" s="3" t="s">
        <v>404</v>
      </c>
      <c r="R282" s="3" t="s">
        <v>405</v>
      </c>
      <c r="S282" s="3" t="s">
        <v>189</v>
      </c>
      <c r="T282" s="3" t="s">
        <v>524</v>
      </c>
      <c r="U282" s="3" t="s">
        <v>54</v>
      </c>
      <c r="V282" s="3" t="s">
        <v>72</v>
      </c>
      <c r="W282" s="3" t="s">
        <v>73</v>
      </c>
      <c r="X282" s="3" t="s">
        <v>74</v>
      </c>
      <c r="Y282" s="3" t="s">
        <v>75</v>
      </c>
      <c r="Z282" s="3" t="s">
        <v>76</v>
      </c>
      <c r="AA282" s="3" t="s">
        <v>526</v>
      </c>
      <c r="AB282" s="4">
        <v>0</v>
      </c>
      <c r="AC282" s="4">
        <v>0</v>
      </c>
      <c r="AD282" s="4">
        <v>104000</v>
      </c>
      <c r="AE282" s="4">
        <v>104000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  <c r="AM282" s="4">
        <v>0</v>
      </c>
      <c r="AN282" s="4">
        <v>0</v>
      </c>
      <c r="AO282" s="4">
        <v>0</v>
      </c>
      <c r="AP282" s="4">
        <v>0</v>
      </c>
      <c r="AQ282" s="4">
        <v>104000</v>
      </c>
      <c r="AR282" s="4">
        <v>0</v>
      </c>
      <c r="AS282" s="4">
        <v>0</v>
      </c>
      <c r="AT282" s="4">
        <v>0</v>
      </c>
      <c r="AU282" s="4">
        <v>0</v>
      </c>
      <c r="AV282" s="4">
        <v>0</v>
      </c>
      <c r="AW282" s="4">
        <v>0</v>
      </c>
      <c r="AX282" s="4">
        <v>104000</v>
      </c>
      <c r="AY282" s="4">
        <v>104000</v>
      </c>
    </row>
    <row r="283" spans="1:51">
      <c r="A283" s="3" t="s">
        <v>52</v>
      </c>
      <c r="B283" s="3" t="s">
        <v>53</v>
      </c>
      <c r="C283" s="3" t="s">
        <v>54</v>
      </c>
      <c r="D283" s="3" t="s">
        <v>55</v>
      </c>
      <c r="E283" s="3" t="s">
        <v>56</v>
      </c>
      <c r="F283" s="3" t="s">
        <v>57</v>
      </c>
      <c r="G283" s="3" t="s">
        <v>58</v>
      </c>
      <c r="H283" s="3" t="s">
        <v>59</v>
      </c>
      <c r="I283" s="3" t="s">
        <v>60</v>
      </c>
      <c r="J283" s="3" t="s">
        <v>61</v>
      </c>
      <c r="K283" s="3" t="s">
        <v>62</v>
      </c>
      <c r="L283" s="3" t="s">
        <v>63</v>
      </c>
      <c r="M283" s="3" t="s">
        <v>400</v>
      </c>
      <c r="N283" s="3" t="s">
        <v>401</v>
      </c>
      <c r="O283" s="3" t="s">
        <v>402</v>
      </c>
      <c r="P283" s="3" t="s">
        <v>403</v>
      </c>
      <c r="Q283" s="3" t="s">
        <v>404</v>
      </c>
      <c r="R283" s="3" t="s">
        <v>405</v>
      </c>
      <c r="S283" s="3" t="s">
        <v>189</v>
      </c>
      <c r="T283" s="3" t="s">
        <v>524</v>
      </c>
      <c r="U283" s="3" t="s">
        <v>54</v>
      </c>
      <c r="V283" s="3" t="s">
        <v>72</v>
      </c>
      <c r="W283" s="3" t="s">
        <v>73</v>
      </c>
      <c r="X283" s="3" t="s">
        <v>74</v>
      </c>
      <c r="Y283" s="3" t="s">
        <v>75</v>
      </c>
      <c r="Z283" s="3" t="s">
        <v>76</v>
      </c>
      <c r="AA283" s="3" t="s">
        <v>527</v>
      </c>
      <c r="AB283" s="4">
        <v>0</v>
      </c>
      <c r="AC283" s="4">
        <v>0</v>
      </c>
      <c r="AD283" s="4">
        <v>183000</v>
      </c>
      <c r="AE283" s="4">
        <v>183000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4">
        <v>0</v>
      </c>
      <c r="AM283" s="4">
        <v>0</v>
      </c>
      <c r="AN283" s="4">
        <v>0</v>
      </c>
      <c r="AO283" s="4">
        <v>0</v>
      </c>
      <c r="AP283" s="4">
        <v>0</v>
      </c>
      <c r="AQ283" s="4">
        <v>183000</v>
      </c>
      <c r="AR283" s="4">
        <v>0</v>
      </c>
      <c r="AS283" s="4">
        <v>0</v>
      </c>
      <c r="AT283" s="4">
        <v>0</v>
      </c>
      <c r="AU283" s="4">
        <v>0</v>
      </c>
      <c r="AV283" s="4">
        <v>0</v>
      </c>
      <c r="AW283" s="4">
        <v>0</v>
      </c>
      <c r="AX283" s="4">
        <v>183000</v>
      </c>
      <c r="AY283" s="4">
        <v>183000</v>
      </c>
    </row>
    <row r="284" spans="1:51">
      <c r="A284" s="3" t="s">
        <v>52</v>
      </c>
      <c r="B284" s="3" t="s">
        <v>53</v>
      </c>
      <c r="C284" s="3" t="s">
        <v>54</v>
      </c>
      <c r="D284" s="3" t="s">
        <v>55</v>
      </c>
      <c r="E284" s="3" t="s">
        <v>56</v>
      </c>
      <c r="F284" s="3" t="s">
        <v>57</v>
      </c>
      <c r="G284" s="3" t="s">
        <v>58</v>
      </c>
      <c r="H284" s="3" t="s">
        <v>59</v>
      </c>
      <c r="I284" s="3" t="s">
        <v>60</v>
      </c>
      <c r="J284" s="3" t="s">
        <v>61</v>
      </c>
      <c r="K284" s="3" t="s">
        <v>62</v>
      </c>
      <c r="L284" s="3" t="s">
        <v>63</v>
      </c>
      <c r="M284" s="3" t="s">
        <v>400</v>
      </c>
      <c r="N284" s="3" t="s">
        <v>401</v>
      </c>
      <c r="O284" s="3" t="s">
        <v>402</v>
      </c>
      <c r="P284" s="3" t="s">
        <v>403</v>
      </c>
      <c r="Q284" s="3" t="s">
        <v>404</v>
      </c>
      <c r="R284" s="3" t="s">
        <v>405</v>
      </c>
      <c r="S284" s="3" t="s">
        <v>189</v>
      </c>
      <c r="T284" s="3" t="s">
        <v>524</v>
      </c>
      <c r="U284" s="3" t="s">
        <v>54</v>
      </c>
      <c r="V284" s="3" t="s">
        <v>72</v>
      </c>
      <c r="W284" s="3" t="s">
        <v>73</v>
      </c>
      <c r="X284" s="3" t="s">
        <v>74</v>
      </c>
      <c r="Y284" s="3" t="s">
        <v>75</v>
      </c>
      <c r="Z284" s="3" t="s">
        <v>76</v>
      </c>
      <c r="AA284" s="3" t="s">
        <v>528</v>
      </c>
      <c r="AB284" s="4">
        <v>0</v>
      </c>
      <c r="AC284" s="4">
        <v>0</v>
      </c>
      <c r="AD284" s="4">
        <v>52000</v>
      </c>
      <c r="AE284" s="4">
        <v>52000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4">
        <v>0</v>
      </c>
      <c r="AM284" s="4">
        <v>0</v>
      </c>
      <c r="AN284" s="4">
        <v>0</v>
      </c>
      <c r="AO284" s="4">
        <v>0</v>
      </c>
      <c r="AP284" s="4">
        <v>0</v>
      </c>
      <c r="AQ284" s="4">
        <v>52000</v>
      </c>
      <c r="AR284" s="4">
        <v>0</v>
      </c>
      <c r="AS284" s="4">
        <v>0</v>
      </c>
      <c r="AT284" s="4">
        <v>0</v>
      </c>
      <c r="AU284" s="4">
        <v>0</v>
      </c>
      <c r="AV284" s="4">
        <v>0</v>
      </c>
      <c r="AW284" s="4">
        <v>0</v>
      </c>
      <c r="AX284" s="4">
        <v>52000</v>
      </c>
      <c r="AY284" s="4">
        <v>52000</v>
      </c>
    </row>
    <row r="285" spans="1:51">
      <c r="A285" s="3" t="s">
        <v>52</v>
      </c>
      <c r="B285" s="3" t="s">
        <v>53</v>
      </c>
      <c r="C285" s="3" t="s">
        <v>54</v>
      </c>
      <c r="D285" s="3" t="s">
        <v>55</v>
      </c>
      <c r="E285" s="3" t="s">
        <v>56</v>
      </c>
      <c r="F285" s="3" t="s">
        <v>57</v>
      </c>
      <c r="G285" s="3" t="s">
        <v>58</v>
      </c>
      <c r="H285" s="3" t="s">
        <v>59</v>
      </c>
      <c r="I285" s="3" t="s">
        <v>60</v>
      </c>
      <c r="J285" s="3" t="s">
        <v>61</v>
      </c>
      <c r="K285" s="3" t="s">
        <v>62</v>
      </c>
      <c r="L285" s="3" t="s">
        <v>63</v>
      </c>
      <c r="M285" s="3" t="s">
        <v>400</v>
      </c>
      <c r="N285" s="3" t="s">
        <v>401</v>
      </c>
      <c r="O285" s="3" t="s">
        <v>402</v>
      </c>
      <c r="P285" s="3" t="s">
        <v>403</v>
      </c>
      <c r="Q285" s="3" t="s">
        <v>404</v>
      </c>
      <c r="R285" s="3" t="s">
        <v>405</v>
      </c>
      <c r="S285" s="3" t="s">
        <v>189</v>
      </c>
      <c r="T285" s="3" t="s">
        <v>524</v>
      </c>
      <c r="U285" s="3" t="s">
        <v>54</v>
      </c>
      <c r="V285" s="3" t="s">
        <v>72</v>
      </c>
      <c r="W285" s="3" t="s">
        <v>73</v>
      </c>
      <c r="X285" s="3" t="s">
        <v>74</v>
      </c>
      <c r="Y285" s="3" t="s">
        <v>75</v>
      </c>
      <c r="Z285" s="3" t="s">
        <v>76</v>
      </c>
      <c r="AA285" s="3" t="s">
        <v>529</v>
      </c>
      <c r="AB285" s="4">
        <v>0</v>
      </c>
      <c r="AC285" s="4">
        <v>0</v>
      </c>
      <c r="AD285" s="4">
        <v>89000</v>
      </c>
      <c r="AE285" s="4">
        <v>89000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4">
        <v>0</v>
      </c>
      <c r="AM285" s="4">
        <v>0</v>
      </c>
      <c r="AN285" s="4">
        <v>0</v>
      </c>
      <c r="AO285" s="4">
        <v>0</v>
      </c>
      <c r="AP285" s="4">
        <v>0</v>
      </c>
      <c r="AQ285" s="4">
        <v>89000</v>
      </c>
      <c r="AR285" s="4">
        <v>0</v>
      </c>
      <c r="AS285" s="4">
        <v>0</v>
      </c>
      <c r="AT285" s="4">
        <v>0</v>
      </c>
      <c r="AU285" s="4">
        <v>0</v>
      </c>
      <c r="AV285" s="4">
        <v>0</v>
      </c>
      <c r="AW285" s="4">
        <v>0</v>
      </c>
      <c r="AX285" s="4">
        <v>89000</v>
      </c>
      <c r="AY285" s="4">
        <v>89000</v>
      </c>
    </row>
    <row r="286" spans="1:51">
      <c r="A286" s="3" t="s">
        <v>52</v>
      </c>
      <c r="B286" s="3" t="s">
        <v>53</v>
      </c>
      <c r="C286" s="3" t="s">
        <v>54</v>
      </c>
      <c r="D286" s="3" t="s">
        <v>55</v>
      </c>
      <c r="E286" s="3" t="s">
        <v>56</v>
      </c>
      <c r="F286" s="3" t="s">
        <v>57</v>
      </c>
      <c r="G286" s="3" t="s">
        <v>58</v>
      </c>
      <c r="H286" s="3" t="s">
        <v>59</v>
      </c>
      <c r="I286" s="3" t="s">
        <v>60</v>
      </c>
      <c r="J286" s="3" t="s">
        <v>61</v>
      </c>
      <c r="K286" s="3" t="s">
        <v>62</v>
      </c>
      <c r="L286" s="3" t="s">
        <v>63</v>
      </c>
      <c r="M286" s="3" t="s">
        <v>400</v>
      </c>
      <c r="N286" s="3" t="s">
        <v>401</v>
      </c>
      <c r="O286" s="3" t="s">
        <v>402</v>
      </c>
      <c r="P286" s="3" t="s">
        <v>403</v>
      </c>
      <c r="Q286" s="3" t="s">
        <v>404</v>
      </c>
      <c r="R286" s="3" t="s">
        <v>405</v>
      </c>
      <c r="S286" s="3" t="s">
        <v>189</v>
      </c>
      <c r="T286" s="3" t="s">
        <v>524</v>
      </c>
      <c r="U286" s="3" t="s">
        <v>54</v>
      </c>
      <c r="V286" s="3" t="s">
        <v>72</v>
      </c>
      <c r="W286" s="3" t="s">
        <v>73</v>
      </c>
      <c r="X286" s="3" t="s">
        <v>74</v>
      </c>
      <c r="Y286" s="3" t="s">
        <v>75</v>
      </c>
      <c r="Z286" s="3" t="s">
        <v>76</v>
      </c>
      <c r="AA286" s="3" t="s">
        <v>530</v>
      </c>
      <c r="AB286" s="4">
        <v>0</v>
      </c>
      <c r="AC286" s="4">
        <v>0</v>
      </c>
      <c r="AD286" s="4">
        <v>67000</v>
      </c>
      <c r="AE286" s="4">
        <v>67000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4">
        <v>0</v>
      </c>
      <c r="AM286" s="4">
        <v>0</v>
      </c>
      <c r="AN286" s="4">
        <v>0</v>
      </c>
      <c r="AO286" s="4">
        <v>0</v>
      </c>
      <c r="AP286" s="4">
        <v>0</v>
      </c>
      <c r="AQ286" s="4">
        <v>67000</v>
      </c>
      <c r="AR286" s="4">
        <v>0</v>
      </c>
      <c r="AS286" s="4">
        <v>0</v>
      </c>
      <c r="AT286" s="4">
        <v>0</v>
      </c>
      <c r="AU286" s="4">
        <v>0</v>
      </c>
      <c r="AV286" s="4">
        <v>0</v>
      </c>
      <c r="AW286" s="4">
        <v>0</v>
      </c>
      <c r="AX286" s="4">
        <v>67000</v>
      </c>
      <c r="AY286" s="4">
        <v>67000</v>
      </c>
    </row>
    <row r="287" spans="1:51">
      <c r="A287" s="3" t="s">
        <v>52</v>
      </c>
      <c r="B287" s="3" t="s">
        <v>53</v>
      </c>
      <c r="C287" s="3" t="s">
        <v>54</v>
      </c>
      <c r="D287" s="3" t="s">
        <v>55</v>
      </c>
      <c r="E287" s="3" t="s">
        <v>56</v>
      </c>
      <c r="F287" s="3" t="s">
        <v>57</v>
      </c>
      <c r="G287" s="3" t="s">
        <v>58</v>
      </c>
      <c r="H287" s="3" t="s">
        <v>59</v>
      </c>
      <c r="I287" s="3" t="s">
        <v>60</v>
      </c>
      <c r="J287" s="3" t="s">
        <v>61</v>
      </c>
      <c r="K287" s="3" t="s">
        <v>62</v>
      </c>
      <c r="L287" s="3" t="s">
        <v>63</v>
      </c>
      <c r="M287" s="3" t="s">
        <v>400</v>
      </c>
      <c r="N287" s="3" t="s">
        <v>401</v>
      </c>
      <c r="O287" s="3" t="s">
        <v>402</v>
      </c>
      <c r="P287" s="3" t="s">
        <v>403</v>
      </c>
      <c r="Q287" s="3" t="s">
        <v>404</v>
      </c>
      <c r="R287" s="3" t="s">
        <v>405</v>
      </c>
      <c r="S287" s="3" t="s">
        <v>189</v>
      </c>
      <c r="T287" s="3" t="s">
        <v>524</v>
      </c>
      <c r="U287" s="3" t="s">
        <v>54</v>
      </c>
      <c r="V287" s="3" t="s">
        <v>72</v>
      </c>
      <c r="W287" s="3" t="s">
        <v>73</v>
      </c>
      <c r="X287" s="3" t="s">
        <v>74</v>
      </c>
      <c r="Y287" s="3" t="s">
        <v>75</v>
      </c>
      <c r="Z287" s="3" t="s">
        <v>76</v>
      </c>
      <c r="AA287" s="3" t="s">
        <v>531</v>
      </c>
      <c r="AB287" s="4">
        <v>0</v>
      </c>
      <c r="AC287" s="4">
        <v>0</v>
      </c>
      <c r="AD287" s="4">
        <v>158000</v>
      </c>
      <c r="AE287" s="4">
        <v>158000</v>
      </c>
      <c r="AF287" s="4">
        <v>0</v>
      </c>
      <c r="AG287" s="4">
        <v>0</v>
      </c>
      <c r="AH287" s="4">
        <v>0</v>
      </c>
      <c r="AI287" s="4">
        <v>0</v>
      </c>
      <c r="AJ287" s="4">
        <v>0</v>
      </c>
      <c r="AK287" s="4">
        <v>0</v>
      </c>
      <c r="AL287" s="4">
        <v>0</v>
      </c>
      <c r="AM287" s="4">
        <v>0</v>
      </c>
      <c r="AN287" s="4">
        <v>0</v>
      </c>
      <c r="AO287" s="4">
        <v>0</v>
      </c>
      <c r="AP287" s="4">
        <v>0</v>
      </c>
      <c r="AQ287" s="4">
        <v>158000</v>
      </c>
      <c r="AR287" s="4">
        <v>0</v>
      </c>
      <c r="AS287" s="4">
        <v>0</v>
      </c>
      <c r="AT287" s="4">
        <v>0</v>
      </c>
      <c r="AU287" s="4">
        <v>0</v>
      </c>
      <c r="AV287" s="4">
        <v>0</v>
      </c>
      <c r="AW287" s="4">
        <v>0</v>
      </c>
      <c r="AX287" s="4">
        <v>158000</v>
      </c>
      <c r="AY287" s="4">
        <v>158000</v>
      </c>
    </row>
    <row r="288" spans="1:51">
      <c r="A288" s="3" t="s">
        <v>52</v>
      </c>
      <c r="B288" s="3" t="s">
        <v>53</v>
      </c>
      <c r="C288" s="3" t="s">
        <v>54</v>
      </c>
      <c r="D288" s="3" t="s">
        <v>55</v>
      </c>
      <c r="E288" s="3" t="s">
        <v>56</v>
      </c>
      <c r="F288" s="3" t="s">
        <v>57</v>
      </c>
      <c r="G288" s="3" t="s">
        <v>58</v>
      </c>
      <c r="H288" s="3" t="s">
        <v>59</v>
      </c>
      <c r="I288" s="3" t="s">
        <v>60</v>
      </c>
      <c r="J288" s="3" t="s">
        <v>61</v>
      </c>
      <c r="K288" s="3" t="s">
        <v>62</v>
      </c>
      <c r="L288" s="3" t="s">
        <v>63</v>
      </c>
      <c r="M288" s="3" t="s">
        <v>400</v>
      </c>
      <c r="N288" s="3" t="s">
        <v>401</v>
      </c>
      <c r="O288" s="3" t="s">
        <v>402</v>
      </c>
      <c r="P288" s="3" t="s">
        <v>403</v>
      </c>
      <c r="Q288" s="3" t="s">
        <v>404</v>
      </c>
      <c r="R288" s="3" t="s">
        <v>405</v>
      </c>
      <c r="S288" s="3" t="s">
        <v>189</v>
      </c>
      <c r="T288" s="3" t="s">
        <v>524</v>
      </c>
      <c r="U288" s="3" t="s">
        <v>54</v>
      </c>
      <c r="V288" s="3" t="s">
        <v>72</v>
      </c>
      <c r="W288" s="3" t="s">
        <v>73</v>
      </c>
      <c r="X288" s="3" t="s">
        <v>74</v>
      </c>
      <c r="Y288" s="3" t="s">
        <v>75</v>
      </c>
      <c r="Z288" s="3" t="s">
        <v>76</v>
      </c>
      <c r="AA288" s="3" t="s">
        <v>532</v>
      </c>
      <c r="AB288" s="4">
        <v>0</v>
      </c>
      <c r="AC288" s="4">
        <v>0</v>
      </c>
      <c r="AD288" s="4">
        <v>148000</v>
      </c>
      <c r="AE288" s="4">
        <v>148000</v>
      </c>
      <c r="AF288" s="4">
        <v>0</v>
      </c>
      <c r="AG288" s="4">
        <v>0</v>
      </c>
      <c r="AH288" s="4">
        <v>0</v>
      </c>
      <c r="AI288" s="4">
        <v>0</v>
      </c>
      <c r="AJ288" s="4">
        <v>0</v>
      </c>
      <c r="AK288" s="4">
        <v>0</v>
      </c>
      <c r="AL288" s="4">
        <v>0</v>
      </c>
      <c r="AM288" s="4">
        <v>0</v>
      </c>
      <c r="AN288" s="4">
        <v>0</v>
      </c>
      <c r="AO288" s="4">
        <v>0</v>
      </c>
      <c r="AP288" s="4">
        <v>0</v>
      </c>
      <c r="AQ288" s="4">
        <v>148000</v>
      </c>
      <c r="AR288" s="4">
        <v>0</v>
      </c>
      <c r="AS288" s="4">
        <v>0</v>
      </c>
      <c r="AT288" s="4">
        <v>0</v>
      </c>
      <c r="AU288" s="4">
        <v>0</v>
      </c>
      <c r="AV288" s="4">
        <v>0</v>
      </c>
      <c r="AW288" s="4">
        <v>0</v>
      </c>
      <c r="AX288" s="4">
        <v>148000</v>
      </c>
      <c r="AY288" s="4">
        <v>148000</v>
      </c>
    </row>
    <row r="289" spans="1:51">
      <c r="A289" s="3" t="s">
        <v>52</v>
      </c>
      <c r="B289" s="3" t="s">
        <v>53</v>
      </c>
      <c r="C289" s="3" t="s">
        <v>54</v>
      </c>
      <c r="D289" s="3" t="s">
        <v>55</v>
      </c>
      <c r="E289" s="3" t="s">
        <v>56</v>
      </c>
      <c r="F289" s="3" t="s">
        <v>57</v>
      </c>
      <c r="G289" s="3" t="s">
        <v>58</v>
      </c>
      <c r="H289" s="3" t="s">
        <v>59</v>
      </c>
      <c r="I289" s="3" t="s">
        <v>60</v>
      </c>
      <c r="J289" s="3" t="s">
        <v>61</v>
      </c>
      <c r="K289" s="3" t="s">
        <v>62</v>
      </c>
      <c r="L289" s="3" t="s">
        <v>63</v>
      </c>
      <c r="M289" s="3" t="s">
        <v>400</v>
      </c>
      <c r="N289" s="3" t="s">
        <v>401</v>
      </c>
      <c r="O289" s="3" t="s">
        <v>402</v>
      </c>
      <c r="P289" s="3" t="s">
        <v>403</v>
      </c>
      <c r="Q289" s="3" t="s">
        <v>404</v>
      </c>
      <c r="R289" s="3" t="s">
        <v>405</v>
      </c>
      <c r="S289" s="3" t="s">
        <v>189</v>
      </c>
      <c r="T289" s="3" t="s">
        <v>524</v>
      </c>
      <c r="U289" s="3" t="s">
        <v>54</v>
      </c>
      <c r="V289" s="3" t="s">
        <v>72</v>
      </c>
      <c r="W289" s="3" t="s">
        <v>73</v>
      </c>
      <c r="X289" s="3" t="s">
        <v>74</v>
      </c>
      <c r="Y289" s="3" t="s">
        <v>75</v>
      </c>
      <c r="Z289" s="3" t="s">
        <v>76</v>
      </c>
      <c r="AA289" s="3" t="s">
        <v>533</v>
      </c>
      <c r="AB289" s="4">
        <v>0</v>
      </c>
      <c r="AC289" s="4">
        <v>0</v>
      </c>
      <c r="AD289" s="4">
        <v>78000</v>
      </c>
      <c r="AE289" s="4">
        <v>78000</v>
      </c>
      <c r="AF289" s="4">
        <v>0</v>
      </c>
      <c r="AG289" s="4">
        <v>0</v>
      </c>
      <c r="AH289" s="4">
        <v>0</v>
      </c>
      <c r="AI289" s="4">
        <v>0</v>
      </c>
      <c r="AJ289" s="4">
        <v>0</v>
      </c>
      <c r="AK289" s="4">
        <v>0</v>
      </c>
      <c r="AL289" s="4">
        <v>0</v>
      </c>
      <c r="AM289" s="4">
        <v>0</v>
      </c>
      <c r="AN289" s="4">
        <v>0</v>
      </c>
      <c r="AO289" s="4">
        <v>0</v>
      </c>
      <c r="AP289" s="4">
        <v>0</v>
      </c>
      <c r="AQ289" s="4">
        <v>78000</v>
      </c>
      <c r="AR289" s="4">
        <v>0</v>
      </c>
      <c r="AS289" s="4">
        <v>0</v>
      </c>
      <c r="AT289" s="4">
        <v>0</v>
      </c>
      <c r="AU289" s="4">
        <v>0</v>
      </c>
      <c r="AV289" s="4">
        <v>0</v>
      </c>
      <c r="AW289" s="4">
        <v>0</v>
      </c>
      <c r="AX289" s="4">
        <v>78000</v>
      </c>
      <c r="AY289" s="4">
        <v>78000</v>
      </c>
    </row>
    <row r="290" spans="1:51">
      <c r="A290" s="3" t="s">
        <v>52</v>
      </c>
      <c r="B290" s="3" t="s">
        <v>53</v>
      </c>
      <c r="C290" s="3" t="s">
        <v>54</v>
      </c>
      <c r="D290" s="3" t="s">
        <v>55</v>
      </c>
      <c r="E290" s="3" t="s">
        <v>56</v>
      </c>
      <c r="F290" s="3" t="s">
        <v>57</v>
      </c>
      <c r="G290" s="3" t="s">
        <v>58</v>
      </c>
      <c r="H290" s="3" t="s">
        <v>59</v>
      </c>
      <c r="I290" s="3" t="s">
        <v>60</v>
      </c>
      <c r="J290" s="3" t="s">
        <v>61</v>
      </c>
      <c r="K290" s="3" t="s">
        <v>62</v>
      </c>
      <c r="L290" s="3" t="s">
        <v>63</v>
      </c>
      <c r="M290" s="3" t="s">
        <v>400</v>
      </c>
      <c r="N290" s="3" t="s">
        <v>401</v>
      </c>
      <c r="O290" s="3" t="s">
        <v>402</v>
      </c>
      <c r="P290" s="3" t="s">
        <v>403</v>
      </c>
      <c r="Q290" s="3" t="s">
        <v>404</v>
      </c>
      <c r="R290" s="3" t="s">
        <v>405</v>
      </c>
      <c r="S290" s="3" t="s">
        <v>189</v>
      </c>
      <c r="T290" s="3" t="s">
        <v>524</v>
      </c>
      <c r="U290" s="3" t="s">
        <v>54</v>
      </c>
      <c r="V290" s="3" t="s">
        <v>72</v>
      </c>
      <c r="W290" s="3" t="s">
        <v>73</v>
      </c>
      <c r="X290" s="3" t="s">
        <v>74</v>
      </c>
      <c r="Y290" s="3" t="s">
        <v>75</v>
      </c>
      <c r="Z290" s="3" t="s">
        <v>76</v>
      </c>
      <c r="AA290" s="3" t="s">
        <v>534</v>
      </c>
      <c r="AB290" s="4">
        <v>0</v>
      </c>
      <c r="AC290" s="4">
        <v>0</v>
      </c>
      <c r="AD290" s="4">
        <v>83000</v>
      </c>
      <c r="AE290" s="4">
        <v>83000</v>
      </c>
      <c r="AF290" s="4">
        <v>0</v>
      </c>
      <c r="AG290" s="4">
        <v>0</v>
      </c>
      <c r="AH290" s="4">
        <v>0</v>
      </c>
      <c r="AI290" s="4">
        <v>0</v>
      </c>
      <c r="AJ290" s="4">
        <v>0</v>
      </c>
      <c r="AK290" s="4">
        <v>0</v>
      </c>
      <c r="AL290" s="4">
        <v>0</v>
      </c>
      <c r="AM290" s="4">
        <v>0</v>
      </c>
      <c r="AN290" s="4">
        <v>0</v>
      </c>
      <c r="AO290" s="4">
        <v>0</v>
      </c>
      <c r="AP290" s="4">
        <v>0</v>
      </c>
      <c r="AQ290" s="4">
        <v>83000</v>
      </c>
      <c r="AR290" s="4">
        <v>0</v>
      </c>
      <c r="AS290" s="4">
        <v>0</v>
      </c>
      <c r="AT290" s="4">
        <v>0</v>
      </c>
      <c r="AU290" s="4">
        <v>0</v>
      </c>
      <c r="AV290" s="4">
        <v>0</v>
      </c>
      <c r="AW290" s="4">
        <v>0</v>
      </c>
      <c r="AX290" s="4">
        <v>83000</v>
      </c>
      <c r="AY290" s="4">
        <v>83000</v>
      </c>
    </row>
    <row r="291" spans="1:51">
      <c r="A291" s="3" t="s">
        <v>52</v>
      </c>
      <c r="B291" s="3" t="s">
        <v>53</v>
      </c>
      <c r="C291" s="3" t="s">
        <v>54</v>
      </c>
      <c r="D291" s="3" t="s">
        <v>55</v>
      </c>
      <c r="E291" s="3" t="s">
        <v>56</v>
      </c>
      <c r="F291" s="3" t="s">
        <v>57</v>
      </c>
      <c r="G291" s="3" t="s">
        <v>58</v>
      </c>
      <c r="H291" s="3" t="s">
        <v>59</v>
      </c>
      <c r="I291" s="3" t="s">
        <v>60</v>
      </c>
      <c r="J291" s="3" t="s">
        <v>61</v>
      </c>
      <c r="K291" s="3" t="s">
        <v>62</v>
      </c>
      <c r="L291" s="3" t="s">
        <v>63</v>
      </c>
      <c r="M291" s="3" t="s">
        <v>400</v>
      </c>
      <c r="N291" s="3" t="s">
        <v>401</v>
      </c>
      <c r="O291" s="3" t="s">
        <v>402</v>
      </c>
      <c r="P291" s="3" t="s">
        <v>403</v>
      </c>
      <c r="Q291" s="3" t="s">
        <v>404</v>
      </c>
      <c r="R291" s="3" t="s">
        <v>405</v>
      </c>
      <c r="S291" s="3" t="s">
        <v>189</v>
      </c>
      <c r="T291" s="3" t="s">
        <v>524</v>
      </c>
      <c r="U291" s="3" t="s">
        <v>54</v>
      </c>
      <c r="V291" s="3" t="s">
        <v>72</v>
      </c>
      <c r="W291" s="3" t="s">
        <v>73</v>
      </c>
      <c r="X291" s="3" t="s">
        <v>74</v>
      </c>
      <c r="Y291" s="3" t="s">
        <v>75</v>
      </c>
      <c r="Z291" s="3" t="s">
        <v>76</v>
      </c>
      <c r="AA291" s="3" t="s">
        <v>535</v>
      </c>
      <c r="AB291" s="4">
        <v>0</v>
      </c>
      <c r="AC291" s="4">
        <v>0</v>
      </c>
      <c r="AD291" s="4">
        <v>100000</v>
      </c>
      <c r="AE291" s="4">
        <v>100000</v>
      </c>
      <c r="AF291" s="4">
        <v>0</v>
      </c>
      <c r="AG291" s="4">
        <v>0</v>
      </c>
      <c r="AH291" s="4">
        <v>0</v>
      </c>
      <c r="AI291" s="4">
        <v>0</v>
      </c>
      <c r="AJ291" s="4">
        <v>0</v>
      </c>
      <c r="AK291" s="4">
        <v>0</v>
      </c>
      <c r="AL291" s="4">
        <v>0</v>
      </c>
      <c r="AM291" s="4">
        <v>0</v>
      </c>
      <c r="AN291" s="4">
        <v>0</v>
      </c>
      <c r="AO291" s="4">
        <v>0</v>
      </c>
      <c r="AP291" s="4">
        <v>0</v>
      </c>
      <c r="AQ291" s="4">
        <v>100000</v>
      </c>
      <c r="AR291" s="4">
        <v>0</v>
      </c>
      <c r="AS291" s="4">
        <v>0</v>
      </c>
      <c r="AT291" s="4">
        <v>0</v>
      </c>
      <c r="AU291" s="4">
        <v>0</v>
      </c>
      <c r="AV291" s="4">
        <v>0</v>
      </c>
      <c r="AW291" s="4">
        <v>0</v>
      </c>
      <c r="AX291" s="4">
        <v>100000</v>
      </c>
      <c r="AY291" s="4">
        <v>100000</v>
      </c>
    </row>
    <row r="292" spans="1:51">
      <c r="A292" s="3" t="s">
        <v>52</v>
      </c>
      <c r="B292" s="3" t="s">
        <v>53</v>
      </c>
      <c r="C292" s="3" t="s">
        <v>54</v>
      </c>
      <c r="D292" s="3" t="s">
        <v>55</v>
      </c>
      <c r="E292" s="3" t="s">
        <v>56</v>
      </c>
      <c r="F292" s="3" t="s">
        <v>57</v>
      </c>
      <c r="G292" s="3" t="s">
        <v>58</v>
      </c>
      <c r="H292" s="3" t="s">
        <v>59</v>
      </c>
      <c r="I292" s="3" t="s">
        <v>60</v>
      </c>
      <c r="J292" s="3" t="s">
        <v>61</v>
      </c>
      <c r="K292" s="3" t="s">
        <v>62</v>
      </c>
      <c r="L292" s="3" t="s">
        <v>63</v>
      </c>
      <c r="M292" s="3" t="s">
        <v>400</v>
      </c>
      <c r="N292" s="3" t="s">
        <v>401</v>
      </c>
      <c r="O292" s="3" t="s">
        <v>402</v>
      </c>
      <c r="P292" s="3" t="s">
        <v>403</v>
      </c>
      <c r="Q292" s="3" t="s">
        <v>404</v>
      </c>
      <c r="R292" s="3" t="s">
        <v>405</v>
      </c>
      <c r="S292" s="3" t="s">
        <v>189</v>
      </c>
      <c r="T292" s="3" t="s">
        <v>524</v>
      </c>
      <c r="U292" s="3" t="s">
        <v>54</v>
      </c>
      <c r="V292" s="3" t="s">
        <v>72</v>
      </c>
      <c r="W292" s="3" t="s">
        <v>73</v>
      </c>
      <c r="X292" s="3" t="s">
        <v>74</v>
      </c>
      <c r="Y292" s="3" t="s">
        <v>75</v>
      </c>
      <c r="Z292" s="3" t="s">
        <v>76</v>
      </c>
      <c r="AA292" s="3" t="s">
        <v>536</v>
      </c>
      <c r="AB292" s="4">
        <v>0</v>
      </c>
      <c r="AC292" s="4">
        <v>0</v>
      </c>
      <c r="AD292" s="4">
        <v>182000</v>
      </c>
      <c r="AE292" s="4">
        <v>182000</v>
      </c>
      <c r="AF292" s="4">
        <v>0</v>
      </c>
      <c r="AG292" s="4">
        <v>0</v>
      </c>
      <c r="AH292" s="4">
        <v>0</v>
      </c>
      <c r="AI292" s="4">
        <v>0</v>
      </c>
      <c r="AJ292" s="4">
        <v>0</v>
      </c>
      <c r="AK292" s="4">
        <v>0</v>
      </c>
      <c r="AL292" s="4">
        <v>0</v>
      </c>
      <c r="AM292" s="4">
        <v>0</v>
      </c>
      <c r="AN292" s="4">
        <v>0</v>
      </c>
      <c r="AO292" s="4">
        <v>0</v>
      </c>
      <c r="AP292" s="4">
        <v>0</v>
      </c>
      <c r="AQ292" s="4">
        <v>182000</v>
      </c>
      <c r="AR292" s="4">
        <v>0</v>
      </c>
      <c r="AS292" s="4">
        <v>0</v>
      </c>
      <c r="AT292" s="4">
        <v>0</v>
      </c>
      <c r="AU292" s="4">
        <v>0</v>
      </c>
      <c r="AV292" s="4">
        <v>0</v>
      </c>
      <c r="AW292" s="4">
        <v>0</v>
      </c>
      <c r="AX292" s="4">
        <v>182000</v>
      </c>
      <c r="AY292" s="4">
        <v>182000</v>
      </c>
    </row>
    <row r="293" spans="1:51">
      <c r="A293" s="3" t="s">
        <v>52</v>
      </c>
      <c r="B293" s="3" t="s">
        <v>53</v>
      </c>
      <c r="C293" s="3" t="s">
        <v>54</v>
      </c>
      <c r="D293" s="3" t="s">
        <v>55</v>
      </c>
      <c r="E293" s="3" t="s">
        <v>56</v>
      </c>
      <c r="F293" s="3" t="s">
        <v>57</v>
      </c>
      <c r="G293" s="3" t="s">
        <v>58</v>
      </c>
      <c r="H293" s="3" t="s">
        <v>59</v>
      </c>
      <c r="I293" s="3" t="s">
        <v>60</v>
      </c>
      <c r="J293" s="3" t="s">
        <v>61</v>
      </c>
      <c r="K293" s="3" t="s">
        <v>62</v>
      </c>
      <c r="L293" s="3" t="s">
        <v>63</v>
      </c>
      <c r="M293" s="3" t="s">
        <v>400</v>
      </c>
      <c r="N293" s="3" t="s">
        <v>401</v>
      </c>
      <c r="O293" s="3" t="s">
        <v>402</v>
      </c>
      <c r="P293" s="3" t="s">
        <v>403</v>
      </c>
      <c r="Q293" s="3" t="s">
        <v>404</v>
      </c>
      <c r="R293" s="3" t="s">
        <v>405</v>
      </c>
      <c r="S293" s="3" t="s">
        <v>189</v>
      </c>
      <c r="T293" s="3" t="s">
        <v>524</v>
      </c>
      <c r="U293" s="3" t="s">
        <v>54</v>
      </c>
      <c r="V293" s="3" t="s">
        <v>72</v>
      </c>
      <c r="W293" s="3" t="s">
        <v>73</v>
      </c>
      <c r="X293" s="3" t="s">
        <v>74</v>
      </c>
      <c r="Y293" s="3" t="s">
        <v>75</v>
      </c>
      <c r="Z293" s="3" t="s">
        <v>76</v>
      </c>
      <c r="AA293" s="3" t="s">
        <v>537</v>
      </c>
      <c r="AB293" s="4">
        <v>0</v>
      </c>
      <c r="AC293" s="4">
        <v>0</v>
      </c>
      <c r="AD293" s="4">
        <v>96000</v>
      </c>
      <c r="AE293" s="4">
        <v>96000</v>
      </c>
      <c r="AF293" s="4">
        <v>0</v>
      </c>
      <c r="AG293" s="4">
        <v>0</v>
      </c>
      <c r="AH293" s="4">
        <v>0</v>
      </c>
      <c r="AI293" s="4">
        <v>0</v>
      </c>
      <c r="AJ293" s="4">
        <v>0</v>
      </c>
      <c r="AK293" s="4">
        <v>0</v>
      </c>
      <c r="AL293" s="4">
        <v>0</v>
      </c>
      <c r="AM293" s="4">
        <v>0</v>
      </c>
      <c r="AN293" s="4">
        <v>0</v>
      </c>
      <c r="AO293" s="4">
        <v>0</v>
      </c>
      <c r="AP293" s="4">
        <v>0</v>
      </c>
      <c r="AQ293" s="4">
        <v>96000</v>
      </c>
      <c r="AR293" s="4">
        <v>0</v>
      </c>
      <c r="AS293" s="4">
        <v>0</v>
      </c>
      <c r="AT293" s="4">
        <v>0</v>
      </c>
      <c r="AU293" s="4">
        <v>0</v>
      </c>
      <c r="AV293" s="4">
        <v>0</v>
      </c>
      <c r="AW293" s="4">
        <v>0</v>
      </c>
      <c r="AX293" s="4">
        <v>96000</v>
      </c>
      <c r="AY293" s="4">
        <v>96000</v>
      </c>
    </row>
    <row r="294" spans="1:51">
      <c r="A294" s="3" t="s">
        <v>52</v>
      </c>
      <c r="B294" s="3" t="s">
        <v>53</v>
      </c>
      <c r="C294" s="3" t="s">
        <v>54</v>
      </c>
      <c r="D294" s="3" t="s">
        <v>55</v>
      </c>
      <c r="E294" s="3" t="s">
        <v>56</v>
      </c>
      <c r="F294" s="3" t="s">
        <v>57</v>
      </c>
      <c r="G294" s="3" t="s">
        <v>58</v>
      </c>
      <c r="H294" s="3" t="s">
        <v>59</v>
      </c>
      <c r="I294" s="3" t="s">
        <v>60</v>
      </c>
      <c r="J294" s="3" t="s">
        <v>61</v>
      </c>
      <c r="K294" s="3" t="s">
        <v>62</v>
      </c>
      <c r="L294" s="3" t="s">
        <v>63</v>
      </c>
      <c r="M294" s="3" t="s">
        <v>400</v>
      </c>
      <c r="N294" s="3" t="s">
        <v>401</v>
      </c>
      <c r="O294" s="3" t="s">
        <v>402</v>
      </c>
      <c r="P294" s="3" t="s">
        <v>403</v>
      </c>
      <c r="Q294" s="3" t="s">
        <v>404</v>
      </c>
      <c r="R294" s="3" t="s">
        <v>405</v>
      </c>
      <c r="S294" s="3" t="s">
        <v>189</v>
      </c>
      <c r="T294" s="3" t="s">
        <v>524</v>
      </c>
      <c r="U294" s="3" t="s">
        <v>54</v>
      </c>
      <c r="V294" s="3" t="s">
        <v>72</v>
      </c>
      <c r="W294" s="3" t="s">
        <v>73</v>
      </c>
      <c r="X294" s="3" t="s">
        <v>74</v>
      </c>
      <c r="Y294" s="3" t="s">
        <v>75</v>
      </c>
      <c r="Z294" s="3" t="s">
        <v>76</v>
      </c>
      <c r="AA294" s="3" t="s">
        <v>538</v>
      </c>
      <c r="AB294" s="4">
        <v>0</v>
      </c>
      <c r="AC294" s="4">
        <v>0</v>
      </c>
      <c r="AD294" s="4">
        <v>209000</v>
      </c>
      <c r="AE294" s="4">
        <v>209000</v>
      </c>
      <c r="AF294" s="4">
        <v>0</v>
      </c>
      <c r="AG294" s="4">
        <v>0</v>
      </c>
      <c r="AH294" s="4">
        <v>0</v>
      </c>
      <c r="AI294" s="4">
        <v>0</v>
      </c>
      <c r="AJ294" s="4">
        <v>0</v>
      </c>
      <c r="AK294" s="4">
        <v>0</v>
      </c>
      <c r="AL294" s="4">
        <v>0</v>
      </c>
      <c r="AM294" s="4">
        <v>0</v>
      </c>
      <c r="AN294" s="4">
        <v>0</v>
      </c>
      <c r="AO294" s="4">
        <v>0</v>
      </c>
      <c r="AP294" s="4">
        <v>0</v>
      </c>
      <c r="AQ294" s="4">
        <v>209000</v>
      </c>
      <c r="AR294" s="4">
        <v>0</v>
      </c>
      <c r="AS294" s="4">
        <v>0</v>
      </c>
      <c r="AT294" s="4">
        <v>0</v>
      </c>
      <c r="AU294" s="4">
        <v>0</v>
      </c>
      <c r="AV294" s="4">
        <v>0</v>
      </c>
      <c r="AW294" s="4">
        <v>0</v>
      </c>
      <c r="AX294" s="4">
        <v>209000</v>
      </c>
      <c r="AY294" s="4">
        <v>209000</v>
      </c>
    </row>
    <row r="295" spans="1:51">
      <c r="A295" s="3" t="s">
        <v>52</v>
      </c>
      <c r="B295" s="3" t="s">
        <v>53</v>
      </c>
      <c r="C295" s="3" t="s">
        <v>54</v>
      </c>
      <c r="D295" s="3" t="s">
        <v>55</v>
      </c>
      <c r="E295" s="3" t="s">
        <v>56</v>
      </c>
      <c r="F295" s="3" t="s">
        <v>57</v>
      </c>
      <c r="G295" s="3" t="s">
        <v>58</v>
      </c>
      <c r="H295" s="3" t="s">
        <v>59</v>
      </c>
      <c r="I295" s="3" t="s">
        <v>60</v>
      </c>
      <c r="J295" s="3" t="s">
        <v>61</v>
      </c>
      <c r="K295" s="3" t="s">
        <v>62</v>
      </c>
      <c r="L295" s="3" t="s">
        <v>63</v>
      </c>
      <c r="M295" s="3" t="s">
        <v>400</v>
      </c>
      <c r="N295" s="3" t="s">
        <v>401</v>
      </c>
      <c r="O295" s="3" t="s">
        <v>402</v>
      </c>
      <c r="P295" s="3" t="s">
        <v>403</v>
      </c>
      <c r="Q295" s="3" t="s">
        <v>404</v>
      </c>
      <c r="R295" s="3" t="s">
        <v>405</v>
      </c>
      <c r="S295" s="3" t="s">
        <v>189</v>
      </c>
      <c r="T295" s="3" t="s">
        <v>524</v>
      </c>
      <c r="U295" s="3" t="s">
        <v>54</v>
      </c>
      <c r="V295" s="3" t="s">
        <v>72</v>
      </c>
      <c r="W295" s="3" t="s">
        <v>73</v>
      </c>
      <c r="X295" s="3" t="s">
        <v>74</v>
      </c>
      <c r="Y295" s="3" t="s">
        <v>75</v>
      </c>
      <c r="Z295" s="3" t="s">
        <v>76</v>
      </c>
      <c r="AA295" s="3" t="s">
        <v>539</v>
      </c>
      <c r="AB295" s="4">
        <v>0</v>
      </c>
      <c r="AC295" s="4">
        <v>0</v>
      </c>
      <c r="AD295" s="4">
        <v>77000</v>
      </c>
      <c r="AE295" s="4">
        <v>77000</v>
      </c>
      <c r="AF295" s="4">
        <v>0</v>
      </c>
      <c r="AG295" s="4">
        <v>0</v>
      </c>
      <c r="AH295" s="4">
        <v>0</v>
      </c>
      <c r="AI295" s="4">
        <v>0</v>
      </c>
      <c r="AJ295" s="4">
        <v>0</v>
      </c>
      <c r="AK295" s="4">
        <v>0</v>
      </c>
      <c r="AL295" s="4">
        <v>0</v>
      </c>
      <c r="AM295" s="4">
        <v>0</v>
      </c>
      <c r="AN295" s="4">
        <v>0</v>
      </c>
      <c r="AO295" s="4">
        <v>0</v>
      </c>
      <c r="AP295" s="4">
        <v>0</v>
      </c>
      <c r="AQ295" s="4">
        <v>77000</v>
      </c>
      <c r="AR295" s="4">
        <v>0</v>
      </c>
      <c r="AS295" s="4">
        <v>0</v>
      </c>
      <c r="AT295" s="4">
        <v>0</v>
      </c>
      <c r="AU295" s="4">
        <v>0</v>
      </c>
      <c r="AV295" s="4">
        <v>0</v>
      </c>
      <c r="AW295" s="4">
        <v>0</v>
      </c>
      <c r="AX295" s="4">
        <v>77000</v>
      </c>
      <c r="AY295" s="4">
        <v>77000</v>
      </c>
    </row>
    <row r="296" spans="1:51">
      <c r="A296" s="3" t="s">
        <v>52</v>
      </c>
      <c r="B296" s="3" t="s">
        <v>53</v>
      </c>
      <c r="C296" s="3" t="s">
        <v>54</v>
      </c>
      <c r="D296" s="3" t="s">
        <v>55</v>
      </c>
      <c r="E296" s="3" t="s">
        <v>56</v>
      </c>
      <c r="F296" s="3" t="s">
        <v>57</v>
      </c>
      <c r="G296" s="3" t="s">
        <v>58</v>
      </c>
      <c r="H296" s="3" t="s">
        <v>59</v>
      </c>
      <c r="I296" s="3" t="s">
        <v>60</v>
      </c>
      <c r="J296" s="3" t="s">
        <v>61</v>
      </c>
      <c r="K296" s="3" t="s">
        <v>62</v>
      </c>
      <c r="L296" s="3" t="s">
        <v>63</v>
      </c>
      <c r="M296" s="3" t="s">
        <v>400</v>
      </c>
      <c r="N296" s="3" t="s">
        <v>401</v>
      </c>
      <c r="O296" s="3" t="s">
        <v>402</v>
      </c>
      <c r="P296" s="3" t="s">
        <v>403</v>
      </c>
      <c r="Q296" s="3" t="s">
        <v>404</v>
      </c>
      <c r="R296" s="3" t="s">
        <v>405</v>
      </c>
      <c r="S296" s="3" t="s">
        <v>189</v>
      </c>
      <c r="T296" s="3" t="s">
        <v>524</v>
      </c>
      <c r="U296" s="3" t="s">
        <v>54</v>
      </c>
      <c r="V296" s="3" t="s">
        <v>72</v>
      </c>
      <c r="W296" s="3" t="s">
        <v>73</v>
      </c>
      <c r="X296" s="3" t="s">
        <v>74</v>
      </c>
      <c r="Y296" s="3" t="s">
        <v>75</v>
      </c>
      <c r="Z296" s="3" t="s">
        <v>76</v>
      </c>
      <c r="AA296" s="3" t="s">
        <v>540</v>
      </c>
      <c r="AB296" s="4">
        <v>0</v>
      </c>
      <c r="AC296" s="4">
        <v>0</v>
      </c>
      <c r="AD296" s="4">
        <v>86000</v>
      </c>
      <c r="AE296" s="4">
        <v>86000</v>
      </c>
      <c r="AF296" s="4">
        <v>0</v>
      </c>
      <c r="AG296" s="4">
        <v>0</v>
      </c>
      <c r="AH296" s="4">
        <v>0</v>
      </c>
      <c r="AI296" s="4">
        <v>0</v>
      </c>
      <c r="AJ296" s="4">
        <v>0</v>
      </c>
      <c r="AK296" s="4">
        <v>0</v>
      </c>
      <c r="AL296" s="4">
        <v>0</v>
      </c>
      <c r="AM296" s="4">
        <v>0</v>
      </c>
      <c r="AN296" s="4">
        <v>0</v>
      </c>
      <c r="AO296" s="4">
        <v>0</v>
      </c>
      <c r="AP296" s="4">
        <v>0</v>
      </c>
      <c r="AQ296" s="4">
        <v>86000</v>
      </c>
      <c r="AR296" s="4">
        <v>0</v>
      </c>
      <c r="AS296" s="4">
        <v>0</v>
      </c>
      <c r="AT296" s="4">
        <v>0</v>
      </c>
      <c r="AU296" s="4">
        <v>0</v>
      </c>
      <c r="AV296" s="4">
        <v>0</v>
      </c>
      <c r="AW296" s="4">
        <v>0</v>
      </c>
      <c r="AX296" s="4">
        <v>86000</v>
      </c>
      <c r="AY296" s="4">
        <v>86000</v>
      </c>
    </row>
    <row r="297" spans="1:51">
      <c r="A297" s="3" t="s">
        <v>52</v>
      </c>
      <c r="B297" s="3" t="s">
        <v>53</v>
      </c>
      <c r="C297" s="3" t="s">
        <v>54</v>
      </c>
      <c r="D297" s="3" t="s">
        <v>55</v>
      </c>
      <c r="E297" s="3" t="s">
        <v>56</v>
      </c>
      <c r="F297" s="3" t="s">
        <v>57</v>
      </c>
      <c r="G297" s="3" t="s">
        <v>58</v>
      </c>
      <c r="H297" s="3" t="s">
        <v>59</v>
      </c>
      <c r="I297" s="3" t="s">
        <v>60</v>
      </c>
      <c r="J297" s="3" t="s">
        <v>61</v>
      </c>
      <c r="K297" s="3" t="s">
        <v>62</v>
      </c>
      <c r="L297" s="3" t="s">
        <v>63</v>
      </c>
      <c r="M297" s="3" t="s">
        <v>400</v>
      </c>
      <c r="N297" s="3" t="s">
        <v>401</v>
      </c>
      <c r="O297" s="3" t="s">
        <v>402</v>
      </c>
      <c r="P297" s="3" t="s">
        <v>403</v>
      </c>
      <c r="Q297" s="3" t="s">
        <v>404</v>
      </c>
      <c r="R297" s="3" t="s">
        <v>405</v>
      </c>
      <c r="S297" s="3" t="s">
        <v>189</v>
      </c>
      <c r="T297" s="3" t="s">
        <v>524</v>
      </c>
      <c r="U297" s="3" t="s">
        <v>54</v>
      </c>
      <c r="V297" s="3" t="s">
        <v>72</v>
      </c>
      <c r="W297" s="3" t="s">
        <v>73</v>
      </c>
      <c r="X297" s="3" t="s">
        <v>74</v>
      </c>
      <c r="Y297" s="3" t="s">
        <v>75</v>
      </c>
      <c r="Z297" s="3" t="s">
        <v>76</v>
      </c>
      <c r="AA297" s="3" t="s">
        <v>541</v>
      </c>
      <c r="AB297" s="4">
        <v>0</v>
      </c>
      <c r="AC297" s="4">
        <v>0</v>
      </c>
      <c r="AD297" s="4">
        <v>100000</v>
      </c>
      <c r="AE297" s="4">
        <v>100000</v>
      </c>
      <c r="AF297" s="4">
        <v>0</v>
      </c>
      <c r="AG297" s="4">
        <v>0</v>
      </c>
      <c r="AH297" s="4">
        <v>0</v>
      </c>
      <c r="AI297" s="4">
        <v>0</v>
      </c>
      <c r="AJ297" s="4">
        <v>0</v>
      </c>
      <c r="AK297" s="4">
        <v>0</v>
      </c>
      <c r="AL297" s="4">
        <v>0</v>
      </c>
      <c r="AM297" s="4">
        <v>0</v>
      </c>
      <c r="AN297" s="4">
        <v>0</v>
      </c>
      <c r="AO297" s="4">
        <v>0</v>
      </c>
      <c r="AP297" s="4">
        <v>0</v>
      </c>
      <c r="AQ297" s="4">
        <v>100000</v>
      </c>
      <c r="AR297" s="4">
        <v>0</v>
      </c>
      <c r="AS297" s="4">
        <v>0</v>
      </c>
      <c r="AT297" s="4">
        <v>0</v>
      </c>
      <c r="AU297" s="4">
        <v>0</v>
      </c>
      <c r="AV297" s="4">
        <v>0</v>
      </c>
      <c r="AW297" s="4">
        <v>0</v>
      </c>
      <c r="AX297" s="4">
        <v>100000</v>
      </c>
      <c r="AY297" s="4">
        <v>100000</v>
      </c>
    </row>
    <row r="298" spans="1:51">
      <c r="A298" s="3" t="s">
        <v>52</v>
      </c>
      <c r="B298" s="3" t="s">
        <v>53</v>
      </c>
      <c r="C298" s="3" t="s">
        <v>54</v>
      </c>
      <c r="D298" s="3" t="s">
        <v>55</v>
      </c>
      <c r="E298" s="3" t="s">
        <v>56</v>
      </c>
      <c r="F298" s="3" t="s">
        <v>57</v>
      </c>
      <c r="G298" s="3" t="s">
        <v>58</v>
      </c>
      <c r="H298" s="3" t="s">
        <v>59</v>
      </c>
      <c r="I298" s="3" t="s">
        <v>60</v>
      </c>
      <c r="J298" s="3" t="s">
        <v>61</v>
      </c>
      <c r="K298" s="3" t="s">
        <v>62</v>
      </c>
      <c r="L298" s="3" t="s">
        <v>63</v>
      </c>
      <c r="M298" s="3" t="s">
        <v>400</v>
      </c>
      <c r="N298" s="3" t="s">
        <v>401</v>
      </c>
      <c r="O298" s="3" t="s">
        <v>402</v>
      </c>
      <c r="P298" s="3" t="s">
        <v>403</v>
      </c>
      <c r="Q298" s="3" t="s">
        <v>404</v>
      </c>
      <c r="R298" s="3" t="s">
        <v>405</v>
      </c>
      <c r="S298" s="3" t="s">
        <v>189</v>
      </c>
      <c r="T298" s="3" t="s">
        <v>524</v>
      </c>
      <c r="U298" s="3" t="s">
        <v>54</v>
      </c>
      <c r="V298" s="3" t="s">
        <v>72</v>
      </c>
      <c r="W298" s="3" t="s">
        <v>73</v>
      </c>
      <c r="X298" s="3" t="s">
        <v>74</v>
      </c>
      <c r="Y298" s="3" t="s">
        <v>75</v>
      </c>
      <c r="Z298" s="3" t="s">
        <v>76</v>
      </c>
      <c r="AA298" s="3" t="s">
        <v>542</v>
      </c>
      <c r="AB298" s="4">
        <v>0</v>
      </c>
      <c r="AC298" s="4">
        <v>0</v>
      </c>
      <c r="AD298" s="4">
        <v>113000</v>
      </c>
      <c r="AE298" s="4">
        <v>113000</v>
      </c>
      <c r="AF298" s="4">
        <v>0</v>
      </c>
      <c r="AG298" s="4">
        <v>0</v>
      </c>
      <c r="AH298" s="4">
        <v>0</v>
      </c>
      <c r="AI298" s="4">
        <v>0</v>
      </c>
      <c r="AJ298" s="4">
        <v>0</v>
      </c>
      <c r="AK298" s="4">
        <v>0</v>
      </c>
      <c r="AL298" s="4">
        <v>0</v>
      </c>
      <c r="AM298" s="4">
        <v>0</v>
      </c>
      <c r="AN298" s="4">
        <v>0</v>
      </c>
      <c r="AO298" s="4">
        <v>0</v>
      </c>
      <c r="AP298" s="4">
        <v>0</v>
      </c>
      <c r="AQ298" s="4">
        <v>113000</v>
      </c>
      <c r="AR298" s="4">
        <v>0</v>
      </c>
      <c r="AS298" s="4">
        <v>0</v>
      </c>
      <c r="AT298" s="4">
        <v>0</v>
      </c>
      <c r="AU298" s="4">
        <v>0</v>
      </c>
      <c r="AV298" s="4">
        <v>0</v>
      </c>
      <c r="AW298" s="4">
        <v>0</v>
      </c>
      <c r="AX298" s="4">
        <v>113000</v>
      </c>
      <c r="AY298" s="4">
        <v>113000</v>
      </c>
    </row>
    <row r="299" spans="1:51">
      <c r="A299" s="3" t="s">
        <v>52</v>
      </c>
      <c r="B299" s="3" t="s">
        <v>53</v>
      </c>
      <c r="C299" s="3" t="s">
        <v>54</v>
      </c>
      <c r="D299" s="3" t="s">
        <v>55</v>
      </c>
      <c r="E299" s="3" t="s">
        <v>56</v>
      </c>
      <c r="F299" s="3" t="s">
        <v>57</v>
      </c>
      <c r="G299" s="3" t="s">
        <v>58</v>
      </c>
      <c r="H299" s="3" t="s">
        <v>59</v>
      </c>
      <c r="I299" s="3" t="s">
        <v>60</v>
      </c>
      <c r="J299" s="3" t="s">
        <v>61</v>
      </c>
      <c r="K299" s="3" t="s">
        <v>62</v>
      </c>
      <c r="L299" s="3" t="s">
        <v>63</v>
      </c>
      <c r="M299" s="3" t="s">
        <v>400</v>
      </c>
      <c r="N299" s="3" t="s">
        <v>401</v>
      </c>
      <c r="O299" s="3" t="s">
        <v>402</v>
      </c>
      <c r="P299" s="3" t="s">
        <v>403</v>
      </c>
      <c r="Q299" s="3" t="s">
        <v>404</v>
      </c>
      <c r="R299" s="3" t="s">
        <v>405</v>
      </c>
      <c r="S299" s="3" t="s">
        <v>189</v>
      </c>
      <c r="T299" s="3" t="s">
        <v>524</v>
      </c>
      <c r="U299" s="3" t="s">
        <v>54</v>
      </c>
      <c r="V299" s="3" t="s">
        <v>72</v>
      </c>
      <c r="W299" s="3" t="s">
        <v>73</v>
      </c>
      <c r="X299" s="3" t="s">
        <v>74</v>
      </c>
      <c r="Y299" s="3" t="s">
        <v>75</v>
      </c>
      <c r="Z299" s="3" t="s">
        <v>76</v>
      </c>
      <c r="AA299" s="3" t="s">
        <v>543</v>
      </c>
      <c r="AB299" s="4">
        <v>0</v>
      </c>
      <c r="AC299" s="4">
        <v>0</v>
      </c>
      <c r="AD299" s="4">
        <v>118000</v>
      </c>
      <c r="AE299" s="4">
        <v>118000</v>
      </c>
      <c r="AF299" s="4">
        <v>0</v>
      </c>
      <c r="AG299" s="4">
        <v>0</v>
      </c>
      <c r="AH299" s="4">
        <v>0</v>
      </c>
      <c r="AI299" s="4">
        <v>0</v>
      </c>
      <c r="AJ299" s="4">
        <v>0</v>
      </c>
      <c r="AK299" s="4">
        <v>0</v>
      </c>
      <c r="AL299" s="4">
        <v>0</v>
      </c>
      <c r="AM299" s="4">
        <v>0</v>
      </c>
      <c r="AN299" s="4">
        <v>0</v>
      </c>
      <c r="AO299" s="4">
        <v>0</v>
      </c>
      <c r="AP299" s="4">
        <v>0</v>
      </c>
      <c r="AQ299" s="4">
        <v>118000</v>
      </c>
      <c r="AR299" s="4">
        <v>0</v>
      </c>
      <c r="AS299" s="4">
        <v>0</v>
      </c>
      <c r="AT299" s="4">
        <v>0</v>
      </c>
      <c r="AU299" s="4">
        <v>0</v>
      </c>
      <c r="AV299" s="4">
        <v>0</v>
      </c>
      <c r="AW299" s="4">
        <v>0</v>
      </c>
      <c r="AX299" s="4">
        <v>118000</v>
      </c>
      <c r="AY299" s="4">
        <v>118000</v>
      </c>
    </row>
    <row r="300" spans="1:51">
      <c r="A300" s="3" t="s">
        <v>52</v>
      </c>
      <c r="B300" s="3" t="s">
        <v>53</v>
      </c>
      <c r="C300" s="3" t="s">
        <v>54</v>
      </c>
      <c r="D300" s="3" t="s">
        <v>55</v>
      </c>
      <c r="E300" s="3" t="s">
        <v>56</v>
      </c>
      <c r="F300" s="3" t="s">
        <v>57</v>
      </c>
      <c r="G300" s="3" t="s">
        <v>58</v>
      </c>
      <c r="H300" s="3" t="s">
        <v>59</v>
      </c>
      <c r="I300" s="3" t="s">
        <v>60</v>
      </c>
      <c r="J300" s="3" t="s">
        <v>61</v>
      </c>
      <c r="K300" s="3" t="s">
        <v>62</v>
      </c>
      <c r="L300" s="3" t="s">
        <v>63</v>
      </c>
      <c r="M300" s="3" t="s">
        <v>400</v>
      </c>
      <c r="N300" s="3" t="s">
        <v>401</v>
      </c>
      <c r="O300" s="3" t="s">
        <v>402</v>
      </c>
      <c r="P300" s="3" t="s">
        <v>403</v>
      </c>
      <c r="Q300" s="3" t="s">
        <v>404</v>
      </c>
      <c r="R300" s="3" t="s">
        <v>405</v>
      </c>
      <c r="S300" s="3" t="s">
        <v>189</v>
      </c>
      <c r="T300" s="3" t="s">
        <v>524</v>
      </c>
      <c r="U300" s="3" t="s">
        <v>54</v>
      </c>
      <c r="V300" s="3" t="s">
        <v>72</v>
      </c>
      <c r="W300" s="3" t="s">
        <v>73</v>
      </c>
      <c r="X300" s="3" t="s">
        <v>74</v>
      </c>
      <c r="Y300" s="3" t="s">
        <v>75</v>
      </c>
      <c r="Z300" s="3" t="s">
        <v>76</v>
      </c>
      <c r="AA300" s="3" t="s">
        <v>544</v>
      </c>
      <c r="AB300" s="4">
        <v>0</v>
      </c>
      <c r="AC300" s="4">
        <v>0</v>
      </c>
      <c r="AD300" s="4">
        <v>68000</v>
      </c>
      <c r="AE300" s="4">
        <v>68000</v>
      </c>
      <c r="AF300" s="4">
        <v>0</v>
      </c>
      <c r="AG300" s="4">
        <v>0</v>
      </c>
      <c r="AH300" s="4">
        <v>0</v>
      </c>
      <c r="AI300" s="4">
        <v>0</v>
      </c>
      <c r="AJ300" s="4">
        <v>0</v>
      </c>
      <c r="AK300" s="4">
        <v>0</v>
      </c>
      <c r="AL300" s="4">
        <v>0</v>
      </c>
      <c r="AM300" s="4">
        <v>0</v>
      </c>
      <c r="AN300" s="4">
        <v>0</v>
      </c>
      <c r="AO300" s="4">
        <v>0</v>
      </c>
      <c r="AP300" s="4">
        <v>0</v>
      </c>
      <c r="AQ300" s="4">
        <v>68000</v>
      </c>
      <c r="AR300" s="4">
        <v>0</v>
      </c>
      <c r="AS300" s="4">
        <v>0</v>
      </c>
      <c r="AT300" s="4">
        <v>0</v>
      </c>
      <c r="AU300" s="4">
        <v>0</v>
      </c>
      <c r="AV300" s="4">
        <v>0</v>
      </c>
      <c r="AW300" s="4">
        <v>0</v>
      </c>
      <c r="AX300" s="4">
        <v>68000</v>
      </c>
      <c r="AY300" s="4">
        <v>68000</v>
      </c>
    </row>
    <row r="301" spans="1:51">
      <c r="A301" s="3" t="s">
        <v>52</v>
      </c>
      <c r="B301" s="3" t="s">
        <v>53</v>
      </c>
      <c r="C301" s="3" t="s">
        <v>54</v>
      </c>
      <c r="D301" s="3" t="s">
        <v>55</v>
      </c>
      <c r="E301" s="3" t="s">
        <v>56</v>
      </c>
      <c r="F301" s="3" t="s">
        <v>57</v>
      </c>
      <c r="G301" s="3" t="s">
        <v>58</v>
      </c>
      <c r="H301" s="3" t="s">
        <v>59</v>
      </c>
      <c r="I301" s="3" t="s">
        <v>60</v>
      </c>
      <c r="J301" s="3" t="s">
        <v>61</v>
      </c>
      <c r="K301" s="3" t="s">
        <v>62</v>
      </c>
      <c r="L301" s="3" t="s">
        <v>63</v>
      </c>
      <c r="M301" s="3" t="s">
        <v>400</v>
      </c>
      <c r="N301" s="3" t="s">
        <v>401</v>
      </c>
      <c r="O301" s="3" t="s">
        <v>402</v>
      </c>
      <c r="P301" s="3" t="s">
        <v>403</v>
      </c>
      <c r="Q301" s="3" t="s">
        <v>404</v>
      </c>
      <c r="R301" s="3" t="s">
        <v>405</v>
      </c>
      <c r="S301" s="3" t="s">
        <v>189</v>
      </c>
      <c r="T301" s="3" t="s">
        <v>524</v>
      </c>
      <c r="U301" s="3" t="s">
        <v>54</v>
      </c>
      <c r="V301" s="3" t="s">
        <v>72</v>
      </c>
      <c r="W301" s="3" t="s">
        <v>73</v>
      </c>
      <c r="X301" s="3" t="s">
        <v>74</v>
      </c>
      <c r="Y301" s="3" t="s">
        <v>75</v>
      </c>
      <c r="Z301" s="3" t="s">
        <v>76</v>
      </c>
      <c r="AA301" s="3" t="s">
        <v>545</v>
      </c>
      <c r="AB301" s="4">
        <v>0</v>
      </c>
      <c r="AC301" s="4">
        <v>0</v>
      </c>
      <c r="AD301" s="4">
        <v>162000</v>
      </c>
      <c r="AE301" s="4">
        <v>162000</v>
      </c>
      <c r="AF301" s="4">
        <v>0</v>
      </c>
      <c r="AG301" s="4">
        <v>0</v>
      </c>
      <c r="AH301" s="4">
        <v>0</v>
      </c>
      <c r="AI301" s="4">
        <v>0</v>
      </c>
      <c r="AJ301" s="4">
        <v>0</v>
      </c>
      <c r="AK301" s="4">
        <v>0</v>
      </c>
      <c r="AL301" s="4">
        <v>0</v>
      </c>
      <c r="AM301" s="4">
        <v>0</v>
      </c>
      <c r="AN301" s="4">
        <v>0</v>
      </c>
      <c r="AO301" s="4">
        <v>0</v>
      </c>
      <c r="AP301" s="4">
        <v>0</v>
      </c>
      <c r="AQ301" s="4">
        <v>162000</v>
      </c>
      <c r="AR301" s="4">
        <v>0</v>
      </c>
      <c r="AS301" s="4">
        <v>0</v>
      </c>
      <c r="AT301" s="4">
        <v>0</v>
      </c>
      <c r="AU301" s="4">
        <v>0</v>
      </c>
      <c r="AV301" s="4">
        <v>0</v>
      </c>
      <c r="AW301" s="4">
        <v>0</v>
      </c>
      <c r="AX301" s="4">
        <v>162000</v>
      </c>
      <c r="AY301" s="4">
        <v>162000</v>
      </c>
    </row>
    <row r="302" spans="1:51">
      <c r="A302" s="3" t="s">
        <v>52</v>
      </c>
      <c r="B302" s="3" t="s">
        <v>53</v>
      </c>
      <c r="C302" s="3" t="s">
        <v>54</v>
      </c>
      <c r="D302" s="3" t="s">
        <v>55</v>
      </c>
      <c r="E302" s="3" t="s">
        <v>56</v>
      </c>
      <c r="F302" s="3" t="s">
        <v>57</v>
      </c>
      <c r="G302" s="3" t="s">
        <v>58</v>
      </c>
      <c r="H302" s="3" t="s">
        <v>59</v>
      </c>
      <c r="I302" s="3" t="s">
        <v>60</v>
      </c>
      <c r="J302" s="3" t="s">
        <v>61</v>
      </c>
      <c r="K302" s="3" t="s">
        <v>62</v>
      </c>
      <c r="L302" s="3" t="s">
        <v>63</v>
      </c>
      <c r="M302" s="3" t="s">
        <v>400</v>
      </c>
      <c r="N302" s="3" t="s">
        <v>401</v>
      </c>
      <c r="O302" s="3" t="s">
        <v>402</v>
      </c>
      <c r="P302" s="3" t="s">
        <v>403</v>
      </c>
      <c r="Q302" s="3" t="s">
        <v>404</v>
      </c>
      <c r="R302" s="3" t="s">
        <v>405</v>
      </c>
      <c r="S302" s="3" t="s">
        <v>189</v>
      </c>
      <c r="T302" s="3" t="s">
        <v>524</v>
      </c>
      <c r="U302" s="3" t="s">
        <v>54</v>
      </c>
      <c r="V302" s="3" t="s">
        <v>72</v>
      </c>
      <c r="W302" s="3" t="s">
        <v>73</v>
      </c>
      <c r="X302" s="3" t="s">
        <v>74</v>
      </c>
      <c r="Y302" s="3" t="s">
        <v>75</v>
      </c>
      <c r="Z302" s="3" t="s">
        <v>76</v>
      </c>
      <c r="AA302" s="3" t="s">
        <v>546</v>
      </c>
      <c r="AB302" s="4">
        <v>0</v>
      </c>
      <c r="AC302" s="4">
        <v>0</v>
      </c>
      <c r="AD302" s="4">
        <v>80000</v>
      </c>
      <c r="AE302" s="4">
        <v>80000</v>
      </c>
      <c r="AF302" s="4">
        <v>0</v>
      </c>
      <c r="AG302" s="4">
        <v>0</v>
      </c>
      <c r="AH302" s="4">
        <v>0</v>
      </c>
      <c r="AI302" s="4">
        <v>0</v>
      </c>
      <c r="AJ302" s="4">
        <v>0</v>
      </c>
      <c r="AK302" s="4">
        <v>0</v>
      </c>
      <c r="AL302" s="4">
        <v>0</v>
      </c>
      <c r="AM302" s="4">
        <v>0</v>
      </c>
      <c r="AN302" s="4">
        <v>0</v>
      </c>
      <c r="AO302" s="4">
        <v>0</v>
      </c>
      <c r="AP302" s="4">
        <v>0</v>
      </c>
      <c r="AQ302" s="4">
        <v>80000</v>
      </c>
      <c r="AR302" s="4">
        <v>0</v>
      </c>
      <c r="AS302" s="4">
        <v>0</v>
      </c>
      <c r="AT302" s="4">
        <v>0</v>
      </c>
      <c r="AU302" s="4">
        <v>0</v>
      </c>
      <c r="AV302" s="4">
        <v>0</v>
      </c>
      <c r="AW302" s="4">
        <v>0</v>
      </c>
      <c r="AX302" s="4">
        <v>80000</v>
      </c>
      <c r="AY302" s="4">
        <v>80000</v>
      </c>
    </row>
    <row r="303" spans="1:51">
      <c r="A303" s="3" t="s">
        <v>52</v>
      </c>
      <c r="B303" s="3" t="s">
        <v>53</v>
      </c>
      <c r="C303" s="3" t="s">
        <v>54</v>
      </c>
      <c r="D303" s="3" t="s">
        <v>55</v>
      </c>
      <c r="E303" s="3" t="s">
        <v>56</v>
      </c>
      <c r="F303" s="3" t="s">
        <v>57</v>
      </c>
      <c r="G303" s="3" t="s">
        <v>58</v>
      </c>
      <c r="H303" s="3" t="s">
        <v>59</v>
      </c>
      <c r="I303" s="3" t="s">
        <v>60</v>
      </c>
      <c r="J303" s="3" t="s">
        <v>61</v>
      </c>
      <c r="K303" s="3" t="s">
        <v>62</v>
      </c>
      <c r="L303" s="3" t="s">
        <v>63</v>
      </c>
      <c r="M303" s="3" t="s">
        <v>400</v>
      </c>
      <c r="N303" s="3" t="s">
        <v>401</v>
      </c>
      <c r="O303" s="3" t="s">
        <v>402</v>
      </c>
      <c r="P303" s="3" t="s">
        <v>403</v>
      </c>
      <c r="Q303" s="3" t="s">
        <v>404</v>
      </c>
      <c r="R303" s="3" t="s">
        <v>405</v>
      </c>
      <c r="S303" s="3" t="s">
        <v>189</v>
      </c>
      <c r="T303" s="3" t="s">
        <v>524</v>
      </c>
      <c r="U303" s="3" t="s">
        <v>54</v>
      </c>
      <c r="V303" s="3" t="s">
        <v>72</v>
      </c>
      <c r="W303" s="3" t="s">
        <v>73</v>
      </c>
      <c r="X303" s="3" t="s">
        <v>74</v>
      </c>
      <c r="Y303" s="3" t="s">
        <v>75</v>
      </c>
      <c r="Z303" s="3" t="s">
        <v>76</v>
      </c>
      <c r="AA303" s="3" t="s">
        <v>547</v>
      </c>
      <c r="AB303" s="4">
        <v>0</v>
      </c>
      <c r="AC303" s="4">
        <v>0</v>
      </c>
      <c r="AD303" s="4">
        <v>191000</v>
      </c>
      <c r="AE303" s="4">
        <v>191000</v>
      </c>
      <c r="AF303" s="4">
        <v>0</v>
      </c>
      <c r="AG303" s="4">
        <v>0</v>
      </c>
      <c r="AH303" s="4">
        <v>0</v>
      </c>
      <c r="AI303" s="4">
        <v>0</v>
      </c>
      <c r="AJ303" s="4">
        <v>0</v>
      </c>
      <c r="AK303" s="4">
        <v>0</v>
      </c>
      <c r="AL303" s="4">
        <v>0</v>
      </c>
      <c r="AM303" s="4">
        <v>0</v>
      </c>
      <c r="AN303" s="4">
        <v>0</v>
      </c>
      <c r="AO303" s="4">
        <v>0</v>
      </c>
      <c r="AP303" s="4">
        <v>0</v>
      </c>
      <c r="AQ303" s="4">
        <v>191000</v>
      </c>
      <c r="AR303" s="4">
        <v>0</v>
      </c>
      <c r="AS303" s="4">
        <v>0</v>
      </c>
      <c r="AT303" s="4">
        <v>0</v>
      </c>
      <c r="AU303" s="4">
        <v>0</v>
      </c>
      <c r="AV303" s="4">
        <v>0</v>
      </c>
      <c r="AW303" s="4">
        <v>0</v>
      </c>
      <c r="AX303" s="4">
        <v>191000</v>
      </c>
      <c r="AY303" s="4">
        <v>191000</v>
      </c>
    </row>
    <row r="304" spans="1:51">
      <c r="A304" s="3" t="s">
        <v>52</v>
      </c>
      <c r="B304" s="3" t="s">
        <v>53</v>
      </c>
      <c r="C304" s="3" t="s">
        <v>54</v>
      </c>
      <c r="D304" s="3" t="s">
        <v>55</v>
      </c>
      <c r="E304" s="3" t="s">
        <v>56</v>
      </c>
      <c r="F304" s="3" t="s">
        <v>57</v>
      </c>
      <c r="G304" s="3" t="s">
        <v>58</v>
      </c>
      <c r="H304" s="3" t="s">
        <v>59</v>
      </c>
      <c r="I304" s="3" t="s">
        <v>60</v>
      </c>
      <c r="J304" s="3" t="s">
        <v>61</v>
      </c>
      <c r="K304" s="3" t="s">
        <v>62</v>
      </c>
      <c r="L304" s="3" t="s">
        <v>63</v>
      </c>
      <c r="M304" s="3" t="s">
        <v>400</v>
      </c>
      <c r="N304" s="3" t="s">
        <v>401</v>
      </c>
      <c r="O304" s="3" t="s">
        <v>402</v>
      </c>
      <c r="P304" s="3" t="s">
        <v>403</v>
      </c>
      <c r="Q304" s="3" t="s">
        <v>404</v>
      </c>
      <c r="R304" s="3" t="s">
        <v>405</v>
      </c>
      <c r="S304" s="3" t="s">
        <v>189</v>
      </c>
      <c r="T304" s="3" t="s">
        <v>524</v>
      </c>
      <c r="U304" s="3" t="s">
        <v>54</v>
      </c>
      <c r="V304" s="3" t="s">
        <v>72</v>
      </c>
      <c r="W304" s="3" t="s">
        <v>73</v>
      </c>
      <c r="X304" s="3" t="s">
        <v>74</v>
      </c>
      <c r="Y304" s="3" t="s">
        <v>75</v>
      </c>
      <c r="Z304" s="3" t="s">
        <v>76</v>
      </c>
      <c r="AA304" s="3" t="s">
        <v>548</v>
      </c>
      <c r="AB304" s="4">
        <v>0</v>
      </c>
      <c r="AC304" s="4">
        <v>0</v>
      </c>
      <c r="AD304" s="4">
        <v>86000</v>
      </c>
      <c r="AE304" s="4">
        <v>86000</v>
      </c>
      <c r="AF304" s="4">
        <v>0</v>
      </c>
      <c r="AG304" s="4">
        <v>0</v>
      </c>
      <c r="AH304" s="4">
        <v>0</v>
      </c>
      <c r="AI304" s="4">
        <v>0</v>
      </c>
      <c r="AJ304" s="4">
        <v>0</v>
      </c>
      <c r="AK304" s="4">
        <v>0</v>
      </c>
      <c r="AL304" s="4">
        <v>0</v>
      </c>
      <c r="AM304" s="4">
        <v>0</v>
      </c>
      <c r="AN304" s="4">
        <v>0</v>
      </c>
      <c r="AO304" s="4">
        <v>0</v>
      </c>
      <c r="AP304" s="4">
        <v>0</v>
      </c>
      <c r="AQ304" s="4">
        <v>86000</v>
      </c>
      <c r="AR304" s="4">
        <v>0</v>
      </c>
      <c r="AS304" s="4">
        <v>0</v>
      </c>
      <c r="AT304" s="4">
        <v>0</v>
      </c>
      <c r="AU304" s="4">
        <v>0</v>
      </c>
      <c r="AV304" s="4">
        <v>0</v>
      </c>
      <c r="AW304" s="4">
        <v>0</v>
      </c>
      <c r="AX304" s="4">
        <v>86000</v>
      </c>
      <c r="AY304" s="4">
        <v>86000</v>
      </c>
    </row>
    <row r="305" spans="1:51">
      <c r="A305" s="3" t="s">
        <v>52</v>
      </c>
      <c r="B305" s="3" t="s">
        <v>53</v>
      </c>
      <c r="C305" s="3" t="s">
        <v>54</v>
      </c>
      <c r="D305" s="3" t="s">
        <v>55</v>
      </c>
      <c r="E305" s="3" t="s">
        <v>56</v>
      </c>
      <c r="F305" s="3" t="s">
        <v>57</v>
      </c>
      <c r="G305" s="3" t="s">
        <v>58</v>
      </c>
      <c r="H305" s="3" t="s">
        <v>59</v>
      </c>
      <c r="I305" s="3" t="s">
        <v>60</v>
      </c>
      <c r="J305" s="3" t="s">
        <v>61</v>
      </c>
      <c r="K305" s="3" t="s">
        <v>62</v>
      </c>
      <c r="L305" s="3" t="s">
        <v>63</v>
      </c>
      <c r="M305" s="3" t="s">
        <v>400</v>
      </c>
      <c r="N305" s="3" t="s">
        <v>401</v>
      </c>
      <c r="O305" s="3" t="s">
        <v>402</v>
      </c>
      <c r="P305" s="3" t="s">
        <v>403</v>
      </c>
      <c r="Q305" s="3" t="s">
        <v>404</v>
      </c>
      <c r="R305" s="3" t="s">
        <v>405</v>
      </c>
      <c r="S305" s="3" t="s">
        <v>189</v>
      </c>
      <c r="T305" s="3" t="s">
        <v>524</v>
      </c>
      <c r="U305" s="3" t="s">
        <v>54</v>
      </c>
      <c r="V305" s="3" t="s">
        <v>72</v>
      </c>
      <c r="W305" s="3" t="s">
        <v>73</v>
      </c>
      <c r="X305" s="3" t="s">
        <v>74</v>
      </c>
      <c r="Y305" s="3" t="s">
        <v>75</v>
      </c>
      <c r="Z305" s="3" t="s">
        <v>76</v>
      </c>
      <c r="AA305" s="3" t="s">
        <v>549</v>
      </c>
      <c r="AB305" s="4">
        <v>0</v>
      </c>
      <c r="AC305" s="4">
        <v>0</v>
      </c>
      <c r="AD305" s="4">
        <v>75000</v>
      </c>
      <c r="AE305" s="4">
        <v>75000</v>
      </c>
      <c r="AF305" s="4">
        <v>0</v>
      </c>
      <c r="AG305" s="4">
        <v>0</v>
      </c>
      <c r="AH305" s="4">
        <v>0</v>
      </c>
      <c r="AI305" s="4">
        <v>0</v>
      </c>
      <c r="AJ305" s="4">
        <v>0</v>
      </c>
      <c r="AK305" s="4">
        <v>0</v>
      </c>
      <c r="AL305" s="4">
        <v>0</v>
      </c>
      <c r="AM305" s="4">
        <v>0</v>
      </c>
      <c r="AN305" s="4">
        <v>0</v>
      </c>
      <c r="AO305" s="4">
        <v>0</v>
      </c>
      <c r="AP305" s="4">
        <v>0</v>
      </c>
      <c r="AQ305" s="4">
        <v>75000</v>
      </c>
      <c r="AR305" s="4">
        <v>0</v>
      </c>
      <c r="AS305" s="4">
        <v>0</v>
      </c>
      <c r="AT305" s="4">
        <v>0</v>
      </c>
      <c r="AU305" s="4">
        <v>0</v>
      </c>
      <c r="AV305" s="4">
        <v>0</v>
      </c>
      <c r="AW305" s="4">
        <v>0</v>
      </c>
      <c r="AX305" s="4">
        <v>75000</v>
      </c>
      <c r="AY305" s="4">
        <v>75000</v>
      </c>
    </row>
    <row r="306" spans="1:51">
      <c r="A306" s="3" t="s">
        <v>52</v>
      </c>
      <c r="B306" s="3" t="s">
        <v>53</v>
      </c>
      <c r="C306" s="3" t="s">
        <v>54</v>
      </c>
      <c r="D306" s="3" t="s">
        <v>55</v>
      </c>
      <c r="E306" s="3" t="s">
        <v>56</v>
      </c>
      <c r="F306" s="3" t="s">
        <v>57</v>
      </c>
      <c r="G306" s="3" t="s">
        <v>58</v>
      </c>
      <c r="H306" s="3" t="s">
        <v>59</v>
      </c>
      <c r="I306" s="3" t="s">
        <v>60</v>
      </c>
      <c r="J306" s="3" t="s">
        <v>61</v>
      </c>
      <c r="K306" s="3" t="s">
        <v>62</v>
      </c>
      <c r="L306" s="3" t="s">
        <v>63</v>
      </c>
      <c r="M306" s="3" t="s">
        <v>400</v>
      </c>
      <c r="N306" s="3" t="s">
        <v>401</v>
      </c>
      <c r="O306" s="3" t="s">
        <v>402</v>
      </c>
      <c r="P306" s="3" t="s">
        <v>403</v>
      </c>
      <c r="Q306" s="3" t="s">
        <v>404</v>
      </c>
      <c r="R306" s="3" t="s">
        <v>405</v>
      </c>
      <c r="S306" s="3" t="s">
        <v>189</v>
      </c>
      <c r="T306" s="3" t="s">
        <v>524</v>
      </c>
      <c r="U306" s="3" t="s">
        <v>54</v>
      </c>
      <c r="V306" s="3" t="s">
        <v>72</v>
      </c>
      <c r="W306" s="3" t="s">
        <v>73</v>
      </c>
      <c r="X306" s="3" t="s">
        <v>74</v>
      </c>
      <c r="Y306" s="3" t="s">
        <v>75</v>
      </c>
      <c r="Z306" s="3" t="s">
        <v>76</v>
      </c>
      <c r="AA306" s="3" t="s">
        <v>550</v>
      </c>
      <c r="AB306" s="4">
        <v>0</v>
      </c>
      <c r="AC306" s="4">
        <v>0</v>
      </c>
      <c r="AD306" s="4">
        <v>139000</v>
      </c>
      <c r="AE306" s="4">
        <v>139000</v>
      </c>
      <c r="AF306" s="4">
        <v>0</v>
      </c>
      <c r="AG306" s="4">
        <v>0</v>
      </c>
      <c r="AH306" s="4">
        <v>0</v>
      </c>
      <c r="AI306" s="4">
        <v>0</v>
      </c>
      <c r="AJ306" s="4">
        <v>0</v>
      </c>
      <c r="AK306" s="4">
        <v>0</v>
      </c>
      <c r="AL306" s="4">
        <v>0</v>
      </c>
      <c r="AM306" s="4">
        <v>0</v>
      </c>
      <c r="AN306" s="4">
        <v>0</v>
      </c>
      <c r="AO306" s="4">
        <v>0</v>
      </c>
      <c r="AP306" s="4">
        <v>0</v>
      </c>
      <c r="AQ306" s="4">
        <v>139000</v>
      </c>
      <c r="AR306" s="4">
        <v>0</v>
      </c>
      <c r="AS306" s="4">
        <v>0</v>
      </c>
      <c r="AT306" s="4">
        <v>0</v>
      </c>
      <c r="AU306" s="4">
        <v>0</v>
      </c>
      <c r="AV306" s="4">
        <v>0</v>
      </c>
      <c r="AW306" s="4">
        <v>0</v>
      </c>
      <c r="AX306" s="4">
        <v>139000</v>
      </c>
      <c r="AY306" s="4">
        <v>139000</v>
      </c>
    </row>
    <row r="307" spans="1:51">
      <c r="A307" s="3" t="s">
        <v>52</v>
      </c>
      <c r="B307" s="3" t="s">
        <v>53</v>
      </c>
      <c r="C307" s="3" t="s">
        <v>54</v>
      </c>
      <c r="D307" s="3" t="s">
        <v>55</v>
      </c>
      <c r="E307" s="3" t="s">
        <v>56</v>
      </c>
      <c r="F307" s="3" t="s">
        <v>57</v>
      </c>
      <c r="G307" s="3" t="s">
        <v>58</v>
      </c>
      <c r="H307" s="3" t="s">
        <v>59</v>
      </c>
      <c r="I307" s="3" t="s">
        <v>60</v>
      </c>
      <c r="J307" s="3" t="s">
        <v>61</v>
      </c>
      <c r="K307" s="3" t="s">
        <v>62</v>
      </c>
      <c r="L307" s="3" t="s">
        <v>63</v>
      </c>
      <c r="M307" s="3" t="s">
        <v>400</v>
      </c>
      <c r="N307" s="3" t="s">
        <v>401</v>
      </c>
      <c r="O307" s="3" t="s">
        <v>402</v>
      </c>
      <c r="P307" s="3" t="s">
        <v>403</v>
      </c>
      <c r="Q307" s="3" t="s">
        <v>404</v>
      </c>
      <c r="R307" s="3" t="s">
        <v>405</v>
      </c>
      <c r="S307" s="3" t="s">
        <v>189</v>
      </c>
      <c r="T307" s="3" t="s">
        <v>524</v>
      </c>
      <c r="U307" s="3" t="s">
        <v>54</v>
      </c>
      <c r="V307" s="3" t="s">
        <v>72</v>
      </c>
      <c r="W307" s="3" t="s">
        <v>73</v>
      </c>
      <c r="X307" s="3" t="s">
        <v>74</v>
      </c>
      <c r="Y307" s="3" t="s">
        <v>75</v>
      </c>
      <c r="Z307" s="3" t="s">
        <v>76</v>
      </c>
      <c r="AA307" s="3" t="s">
        <v>551</v>
      </c>
      <c r="AB307" s="4">
        <v>0</v>
      </c>
      <c r="AC307" s="4">
        <v>0</v>
      </c>
      <c r="AD307" s="4">
        <v>364000</v>
      </c>
      <c r="AE307" s="4">
        <v>364000</v>
      </c>
      <c r="AF307" s="4">
        <v>0</v>
      </c>
      <c r="AG307" s="4">
        <v>0</v>
      </c>
      <c r="AH307" s="4">
        <v>0</v>
      </c>
      <c r="AI307" s="4">
        <v>0</v>
      </c>
      <c r="AJ307" s="4">
        <v>0</v>
      </c>
      <c r="AK307" s="4">
        <v>0</v>
      </c>
      <c r="AL307" s="4">
        <v>0</v>
      </c>
      <c r="AM307" s="4">
        <v>0</v>
      </c>
      <c r="AN307" s="4">
        <v>0</v>
      </c>
      <c r="AO307" s="4">
        <v>0</v>
      </c>
      <c r="AP307" s="4">
        <v>0</v>
      </c>
      <c r="AQ307" s="4">
        <v>364000</v>
      </c>
      <c r="AR307" s="4">
        <v>0</v>
      </c>
      <c r="AS307" s="4">
        <v>0</v>
      </c>
      <c r="AT307" s="4">
        <v>0</v>
      </c>
      <c r="AU307" s="4">
        <v>0</v>
      </c>
      <c r="AV307" s="4">
        <v>0</v>
      </c>
      <c r="AW307" s="4">
        <v>0</v>
      </c>
      <c r="AX307" s="4">
        <v>364000</v>
      </c>
      <c r="AY307" s="4">
        <v>364000</v>
      </c>
    </row>
    <row r="308" spans="1:51">
      <c r="A308" s="3" t="s">
        <v>52</v>
      </c>
      <c r="B308" s="3" t="s">
        <v>53</v>
      </c>
      <c r="C308" s="3" t="s">
        <v>54</v>
      </c>
      <c r="D308" s="3" t="s">
        <v>55</v>
      </c>
      <c r="E308" s="3" t="s">
        <v>56</v>
      </c>
      <c r="F308" s="3" t="s">
        <v>57</v>
      </c>
      <c r="G308" s="3" t="s">
        <v>58</v>
      </c>
      <c r="H308" s="3" t="s">
        <v>59</v>
      </c>
      <c r="I308" s="3" t="s">
        <v>60</v>
      </c>
      <c r="J308" s="3" t="s">
        <v>61</v>
      </c>
      <c r="K308" s="3" t="s">
        <v>62</v>
      </c>
      <c r="L308" s="3" t="s">
        <v>63</v>
      </c>
      <c r="M308" s="3" t="s">
        <v>400</v>
      </c>
      <c r="N308" s="3" t="s">
        <v>401</v>
      </c>
      <c r="O308" s="3" t="s">
        <v>402</v>
      </c>
      <c r="P308" s="3" t="s">
        <v>403</v>
      </c>
      <c r="Q308" s="3" t="s">
        <v>404</v>
      </c>
      <c r="R308" s="3" t="s">
        <v>405</v>
      </c>
      <c r="S308" s="3" t="s">
        <v>189</v>
      </c>
      <c r="T308" s="3" t="s">
        <v>524</v>
      </c>
      <c r="U308" s="3" t="s">
        <v>54</v>
      </c>
      <c r="V308" s="3" t="s">
        <v>72</v>
      </c>
      <c r="W308" s="3" t="s">
        <v>73</v>
      </c>
      <c r="X308" s="3" t="s">
        <v>74</v>
      </c>
      <c r="Y308" s="3" t="s">
        <v>75</v>
      </c>
      <c r="Z308" s="3" t="s">
        <v>76</v>
      </c>
      <c r="AA308" s="3" t="s">
        <v>552</v>
      </c>
      <c r="AB308" s="4">
        <v>0</v>
      </c>
      <c r="AC308" s="4">
        <v>0</v>
      </c>
      <c r="AD308" s="4">
        <v>186000</v>
      </c>
      <c r="AE308" s="4">
        <v>186000</v>
      </c>
      <c r="AF308" s="4">
        <v>0</v>
      </c>
      <c r="AG308" s="4">
        <v>0</v>
      </c>
      <c r="AH308" s="4">
        <v>0</v>
      </c>
      <c r="AI308" s="4">
        <v>0</v>
      </c>
      <c r="AJ308" s="4">
        <v>0</v>
      </c>
      <c r="AK308" s="4">
        <v>0</v>
      </c>
      <c r="AL308" s="4">
        <v>0</v>
      </c>
      <c r="AM308" s="4">
        <v>0</v>
      </c>
      <c r="AN308" s="4">
        <v>0</v>
      </c>
      <c r="AO308" s="4">
        <v>0</v>
      </c>
      <c r="AP308" s="4">
        <v>0</v>
      </c>
      <c r="AQ308" s="4">
        <v>186000</v>
      </c>
      <c r="AR308" s="4">
        <v>0</v>
      </c>
      <c r="AS308" s="4">
        <v>0</v>
      </c>
      <c r="AT308" s="4">
        <v>0</v>
      </c>
      <c r="AU308" s="4">
        <v>0</v>
      </c>
      <c r="AV308" s="4">
        <v>0</v>
      </c>
      <c r="AW308" s="4">
        <v>0</v>
      </c>
      <c r="AX308" s="4">
        <v>186000</v>
      </c>
      <c r="AY308" s="4">
        <v>186000</v>
      </c>
    </row>
    <row r="309" spans="1:51">
      <c r="A309" s="3" t="s">
        <v>52</v>
      </c>
      <c r="B309" s="3" t="s">
        <v>53</v>
      </c>
      <c r="C309" s="3" t="s">
        <v>54</v>
      </c>
      <c r="D309" s="3" t="s">
        <v>55</v>
      </c>
      <c r="E309" s="3" t="s">
        <v>56</v>
      </c>
      <c r="F309" s="3" t="s">
        <v>57</v>
      </c>
      <c r="G309" s="3" t="s">
        <v>58</v>
      </c>
      <c r="H309" s="3" t="s">
        <v>59</v>
      </c>
      <c r="I309" s="3" t="s">
        <v>60</v>
      </c>
      <c r="J309" s="3" t="s">
        <v>61</v>
      </c>
      <c r="K309" s="3" t="s">
        <v>62</v>
      </c>
      <c r="L309" s="3" t="s">
        <v>63</v>
      </c>
      <c r="M309" s="3" t="s">
        <v>400</v>
      </c>
      <c r="N309" s="3" t="s">
        <v>401</v>
      </c>
      <c r="O309" s="3" t="s">
        <v>402</v>
      </c>
      <c r="P309" s="3" t="s">
        <v>403</v>
      </c>
      <c r="Q309" s="3" t="s">
        <v>404</v>
      </c>
      <c r="R309" s="3" t="s">
        <v>405</v>
      </c>
      <c r="S309" s="3" t="s">
        <v>189</v>
      </c>
      <c r="T309" s="3" t="s">
        <v>524</v>
      </c>
      <c r="U309" s="3" t="s">
        <v>54</v>
      </c>
      <c r="V309" s="3" t="s">
        <v>72</v>
      </c>
      <c r="W309" s="3" t="s">
        <v>73</v>
      </c>
      <c r="X309" s="3" t="s">
        <v>74</v>
      </c>
      <c r="Y309" s="3" t="s">
        <v>75</v>
      </c>
      <c r="Z309" s="3" t="s">
        <v>76</v>
      </c>
      <c r="AA309" s="3" t="s">
        <v>553</v>
      </c>
      <c r="AB309" s="4">
        <v>0</v>
      </c>
      <c r="AC309" s="4">
        <v>0</v>
      </c>
      <c r="AD309" s="4">
        <v>77000</v>
      </c>
      <c r="AE309" s="4">
        <v>77000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4">
        <v>0</v>
      </c>
      <c r="AM309" s="4">
        <v>0</v>
      </c>
      <c r="AN309" s="4">
        <v>0</v>
      </c>
      <c r="AO309" s="4">
        <v>0</v>
      </c>
      <c r="AP309" s="4">
        <v>0</v>
      </c>
      <c r="AQ309" s="4">
        <v>77000</v>
      </c>
      <c r="AR309" s="4">
        <v>0</v>
      </c>
      <c r="AS309" s="4">
        <v>0</v>
      </c>
      <c r="AT309" s="4">
        <v>0</v>
      </c>
      <c r="AU309" s="4">
        <v>0</v>
      </c>
      <c r="AV309" s="4">
        <v>0</v>
      </c>
      <c r="AW309" s="4">
        <v>0</v>
      </c>
      <c r="AX309" s="4">
        <v>77000</v>
      </c>
      <c r="AY309" s="4">
        <v>77000</v>
      </c>
    </row>
    <row r="310" spans="1:51">
      <c r="A310" s="3" t="s">
        <v>52</v>
      </c>
      <c r="B310" s="3" t="s">
        <v>53</v>
      </c>
      <c r="C310" s="3" t="s">
        <v>54</v>
      </c>
      <c r="D310" s="3" t="s">
        <v>55</v>
      </c>
      <c r="E310" s="3" t="s">
        <v>56</v>
      </c>
      <c r="F310" s="3" t="s">
        <v>57</v>
      </c>
      <c r="G310" s="3" t="s">
        <v>58</v>
      </c>
      <c r="H310" s="3" t="s">
        <v>59</v>
      </c>
      <c r="I310" s="3" t="s">
        <v>60</v>
      </c>
      <c r="J310" s="3" t="s">
        <v>61</v>
      </c>
      <c r="K310" s="3" t="s">
        <v>62</v>
      </c>
      <c r="L310" s="3" t="s">
        <v>63</v>
      </c>
      <c r="M310" s="3" t="s">
        <v>400</v>
      </c>
      <c r="N310" s="3" t="s">
        <v>401</v>
      </c>
      <c r="O310" s="3" t="s">
        <v>402</v>
      </c>
      <c r="P310" s="3" t="s">
        <v>403</v>
      </c>
      <c r="Q310" s="3" t="s">
        <v>404</v>
      </c>
      <c r="R310" s="3" t="s">
        <v>405</v>
      </c>
      <c r="S310" s="3" t="s">
        <v>189</v>
      </c>
      <c r="T310" s="3" t="s">
        <v>524</v>
      </c>
      <c r="U310" s="3" t="s">
        <v>54</v>
      </c>
      <c r="V310" s="3" t="s">
        <v>72</v>
      </c>
      <c r="W310" s="3" t="s">
        <v>73</v>
      </c>
      <c r="X310" s="3" t="s">
        <v>74</v>
      </c>
      <c r="Y310" s="3" t="s">
        <v>78</v>
      </c>
      <c r="Z310" s="3" t="s">
        <v>79</v>
      </c>
      <c r="AA310" s="3" t="s">
        <v>554</v>
      </c>
      <c r="AB310" s="4">
        <v>103000</v>
      </c>
      <c r="AC310" s="4">
        <v>0</v>
      </c>
      <c r="AD310" s="4">
        <v>0</v>
      </c>
      <c r="AE310" s="4">
        <v>103000</v>
      </c>
      <c r="AF310" s="4">
        <v>0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4">
        <v>0</v>
      </c>
      <c r="AM310" s="4">
        <v>0</v>
      </c>
      <c r="AN310" s="4">
        <v>0</v>
      </c>
      <c r="AO310" s="4">
        <v>0</v>
      </c>
      <c r="AP310" s="4">
        <v>0</v>
      </c>
      <c r="AQ310" s="4">
        <v>103000</v>
      </c>
      <c r="AR310" s="4">
        <v>79130</v>
      </c>
      <c r="AS310" s="4">
        <v>79130</v>
      </c>
      <c r="AT310" s="4">
        <v>0</v>
      </c>
      <c r="AU310" s="4">
        <v>0</v>
      </c>
      <c r="AV310" s="4">
        <v>0</v>
      </c>
      <c r="AW310" s="4">
        <v>0</v>
      </c>
      <c r="AX310" s="4">
        <v>23870</v>
      </c>
      <c r="AY310" s="4">
        <v>23870</v>
      </c>
    </row>
    <row r="311" spans="1:51">
      <c r="A311" s="3" t="s">
        <v>52</v>
      </c>
      <c r="B311" s="3" t="s">
        <v>53</v>
      </c>
      <c r="C311" s="3" t="s">
        <v>54</v>
      </c>
      <c r="D311" s="3" t="s">
        <v>55</v>
      </c>
      <c r="E311" s="3" t="s">
        <v>56</v>
      </c>
      <c r="F311" s="3" t="s">
        <v>57</v>
      </c>
      <c r="G311" s="3" t="s">
        <v>58</v>
      </c>
      <c r="H311" s="3" t="s">
        <v>59</v>
      </c>
      <c r="I311" s="3" t="s">
        <v>60</v>
      </c>
      <c r="J311" s="3" t="s">
        <v>61</v>
      </c>
      <c r="K311" s="3" t="s">
        <v>62</v>
      </c>
      <c r="L311" s="3" t="s">
        <v>63</v>
      </c>
      <c r="M311" s="3" t="s">
        <v>400</v>
      </c>
      <c r="N311" s="3" t="s">
        <v>401</v>
      </c>
      <c r="O311" s="3" t="s">
        <v>402</v>
      </c>
      <c r="P311" s="3" t="s">
        <v>403</v>
      </c>
      <c r="Q311" s="3" t="s">
        <v>404</v>
      </c>
      <c r="R311" s="3" t="s">
        <v>405</v>
      </c>
      <c r="S311" s="3" t="s">
        <v>189</v>
      </c>
      <c r="T311" s="3" t="s">
        <v>524</v>
      </c>
      <c r="U311" s="3" t="s">
        <v>54</v>
      </c>
      <c r="V311" s="3" t="s">
        <v>72</v>
      </c>
      <c r="W311" s="3" t="s">
        <v>73</v>
      </c>
      <c r="X311" s="3" t="s">
        <v>74</v>
      </c>
      <c r="Y311" s="3" t="s">
        <v>78</v>
      </c>
      <c r="Z311" s="3" t="s">
        <v>79</v>
      </c>
      <c r="AA311" s="3" t="s">
        <v>555</v>
      </c>
      <c r="AB311" s="4">
        <v>185000</v>
      </c>
      <c r="AC311" s="4">
        <v>0</v>
      </c>
      <c r="AD311" s="4">
        <v>0</v>
      </c>
      <c r="AE311" s="4">
        <v>185000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4">
        <v>0</v>
      </c>
      <c r="AM311" s="4">
        <v>0</v>
      </c>
      <c r="AN311" s="4">
        <v>0</v>
      </c>
      <c r="AO311" s="4">
        <v>0</v>
      </c>
      <c r="AP311" s="4">
        <v>0</v>
      </c>
      <c r="AQ311" s="4">
        <v>185000</v>
      </c>
      <c r="AR311" s="4">
        <v>177120</v>
      </c>
      <c r="AS311" s="4">
        <v>177120</v>
      </c>
      <c r="AT311" s="4">
        <v>0</v>
      </c>
      <c r="AU311" s="4">
        <v>0</v>
      </c>
      <c r="AV311" s="4">
        <v>0</v>
      </c>
      <c r="AW311" s="4">
        <v>0</v>
      </c>
      <c r="AX311" s="4">
        <v>7880</v>
      </c>
      <c r="AY311" s="4">
        <v>7880</v>
      </c>
    </row>
    <row r="312" spans="1:51">
      <c r="A312" s="3" t="s">
        <v>52</v>
      </c>
      <c r="B312" s="3" t="s">
        <v>53</v>
      </c>
      <c r="C312" s="3" t="s">
        <v>54</v>
      </c>
      <c r="D312" s="3" t="s">
        <v>55</v>
      </c>
      <c r="E312" s="3" t="s">
        <v>56</v>
      </c>
      <c r="F312" s="3" t="s">
        <v>57</v>
      </c>
      <c r="G312" s="3" t="s">
        <v>58</v>
      </c>
      <c r="H312" s="3" t="s">
        <v>59</v>
      </c>
      <c r="I312" s="3" t="s">
        <v>60</v>
      </c>
      <c r="J312" s="3" t="s">
        <v>61</v>
      </c>
      <c r="K312" s="3" t="s">
        <v>62</v>
      </c>
      <c r="L312" s="3" t="s">
        <v>63</v>
      </c>
      <c r="M312" s="3" t="s">
        <v>400</v>
      </c>
      <c r="N312" s="3" t="s">
        <v>401</v>
      </c>
      <c r="O312" s="3" t="s">
        <v>402</v>
      </c>
      <c r="P312" s="3" t="s">
        <v>403</v>
      </c>
      <c r="Q312" s="3" t="s">
        <v>404</v>
      </c>
      <c r="R312" s="3" t="s">
        <v>405</v>
      </c>
      <c r="S312" s="3" t="s">
        <v>189</v>
      </c>
      <c r="T312" s="3" t="s">
        <v>524</v>
      </c>
      <c r="U312" s="3" t="s">
        <v>54</v>
      </c>
      <c r="V312" s="3" t="s">
        <v>72</v>
      </c>
      <c r="W312" s="3" t="s">
        <v>73</v>
      </c>
      <c r="X312" s="3" t="s">
        <v>74</v>
      </c>
      <c r="Y312" s="3" t="s">
        <v>78</v>
      </c>
      <c r="Z312" s="3" t="s">
        <v>79</v>
      </c>
      <c r="AA312" s="3" t="s">
        <v>556</v>
      </c>
      <c r="AB312" s="4">
        <v>74000</v>
      </c>
      <c r="AC312" s="4">
        <v>0</v>
      </c>
      <c r="AD312" s="4">
        <v>0</v>
      </c>
      <c r="AE312" s="4">
        <v>74000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4">
        <v>0</v>
      </c>
      <c r="AM312" s="4">
        <v>0</v>
      </c>
      <c r="AN312" s="4">
        <v>0</v>
      </c>
      <c r="AO312" s="4">
        <v>0</v>
      </c>
      <c r="AP312" s="4">
        <v>0</v>
      </c>
      <c r="AQ312" s="4">
        <v>74000</v>
      </c>
      <c r="AR312" s="4">
        <v>44690</v>
      </c>
      <c r="AS312" s="4">
        <v>44690</v>
      </c>
      <c r="AT312" s="4">
        <v>0</v>
      </c>
      <c r="AU312" s="4">
        <v>0</v>
      </c>
      <c r="AV312" s="4">
        <v>0</v>
      </c>
      <c r="AW312" s="4">
        <v>0</v>
      </c>
      <c r="AX312" s="4">
        <v>29310</v>
      </c>
      <c r="AY312" s="4">
        <v>29310</v>
      </c>
    </row>
    <row r="313" spans="1:51">
      <c r="A313" s="3" t="s">
        <v>52</v>
      </c>
      <c r="B313" s="3" t="s">
        <v>53</v>
      </c>
      <c r="C313" s="3" t="s">
        <v>54</v>
      </c>
      <c r="D313" s="3" t="s">
        <v>55</v>
      </c>
      <c r="E313" s="3" t="s">
        <v>56</v>
      </c>
      <c r="F313" s="3" t="s">
        <v>57</v>
      </c>
      <c r="G313" s="3" t="s">
        <v>58</v>
      </c>
      <c r="H313" s="3" t="s">
        <v>59</v>
      </c>
      <c r="I313" s="3" t="s">
        <v>60</v>
      </c>
      <c r="J313" s="3" t="s">
        <v>61</v>
      </c>
      <c r="K313" s="3" t="s">
        <v>62</v>
      </c>
      <c r="L313" s="3" t="s">
        <v>63</v>
      </c>
      <c r="M313" s="3" t="s">
        <v>400</v>
      </c>
      <c r="N313" s="3" t="s">
        <v>401</v>
      </c>
      <c r="O313" s="3" t="s">
        <v>402</v>
      </c>
      <c r="P313" s="3" t="s">
        <v>403</v>
      </c>
      <c r="Q313" s="3" t="s">
        <v>404</v>
      </c>
      <c r="R313" s="3" t="s">
        <v>405</v>
      </c>
      <c r="S313" s="3" t="s">
        <v>189</v>
      </c>
      <c r="T313" s="3" t="s">
        <v>524</v>
      </c>
      <c r="U313" s="3" t="s">
        <v>54</v>
      </c>
      <c r="V313" s="3" t="s">
        <v>72</v>
      </c>
      <c r="W313" s="3" t="s">
        <v>73</v>
      </c>
      <c r="X313" s="3" t="s">
        <v>74</v>
      </c>
      <c r="Y313" s="3" t="s">
        <v>78</v>
      </c>
      <c r="Z313" s="3" t="s">
        <v>79</v>
      </c>
      <c r="AA313" s="3" t="s">
        <v>557</v>
      </c>
      <c r="AB313" s="4">
        <v>80000</v>
      </c>
      <c r="AC313" s="4">
        <v>0</v>
      </c>
      <c r="AD313" s="4">
        <v>25000</v>
      </c>
      <c r="AE313" s="4">
        <v>105000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0</v>
      </c>
      <c r="AL313" s="4">
        <v>0</v>
      </c>
      <c r="AM313" s="4">
        <v>0</v>
      </c>
      <c r="AN313" s="4">
        <v>0</v>
      </c>
      <c r="AO313" s="4">
        <v>0</v>
      </c>
      <c r="AP313" s="4">
        <v>0</v>
      </c>
      <c r="AQ313" s="4">
        <v>105000</v>
      </c>
      <c r="AR313" s="4">
        <v>104960</v>
      </c>
      <c r="AS313" s="4">
        <v>104960</v>
      </c>
      <c r="AT313" s="4">
        <v>0</v>
      </c>
      <c r="AU313" s="4">
        <v>0</v>
      </c>
      <c r="AV313" s="4">
        <v>0</v>
      </c>
      <c r="AW313" s="4">
        <v>0</v>
      </c>
      <c r="AX313" s="4">
        <v>40</v>
      </c>
      <c r="AY313" s="4">
        <v>40</v>
      </c>
    </row>
    <row r="314" spans="1:51">
      <c r="A314" s="3" t="s">
        <v>52</v>
      </c>
      <c r="B314" s="3" t="s">
        <v>53</v>
      </c>
      <c r="C314" s="3" t="s">
        <v>54</v>
      </c>
      <c r="D314" s="3" t="s">
        <v>55</v>
      </c>
      <c r="E314" s="3" t="s">
        <v>56</v>
      </c>
      <c r="F314" s="3" t="s">
        <v>57</v>
      </c>
      <c r="G314" s="3" t="s">
        <v>58</v>
      </c>
      <c r="H314" s="3" t="s">
        <v>59</v>
      </c>
      <c r="I314" s="3" t="s">
        <v>60</v>
      </c>
      <c r="J314" s="3" t="s">
        <v>61</v>
      </c>
      <c r="K314" s="3" t="s">
        <v>62</v>
      </c>
      <c r="L314" s="3" t="s">
        <v>63</v>
      </c>
      <c r="M314" s="3" t="s">
        <v>400</v>
      </c>
      <c r="N314" s="3" t="s">
        <v>401</v>
      </c>
      <c r="O314" s="3" t="s">
        <v>402</v>
      </c>
      <c r="P314" s="3" t="s">
        <v>403</v>
      </c>
      <c r="Q314" s="3" t="s">
        <v>404</v>
      </c>
      <c r="R314" s="3" t="s">
        <v>405</v>
      </c>
      <c r="S314" s="3" t="s">
        <v>189</v>
      </c>
      <c r="T314" s="3" t="s">
        <v>524</v>
      </c>
      <c r="U314" s="3" t="s">
        <v>54</v>
      </c>
      <c r="V314" s="3" t="s">
        <v>72</v>
      </c>
      <c r="W314" s="3" t="s">
        <v>73</v>
      </c>
      <c r="X314" s="3" t="s">
        <v>74</v>
      </c>
      <c r="Y314" s="3" t="s">
        <v>78</v>
      </c>
      <c r="Z314" s="3" t="s">
        <v>79</v>
      </c>
      <c r="AA314" s="3" t="s">
        <v>558</v>
      </c>
      <c r="AB314" s="4">
        <v>46000</v>
      </c>
      <c r="AC314" s="4">
        <v>-46000</v>
      </c>
      <c r="AD314" s="4">
        <v>0</v>
      </c>
      <c r="AE314" s="4">
        <v>0</v>
      </c>
      <c r="AF314" s="4">
        <v>0</v>
      </c>
      <c r="AG314" s="4">
        <v>0</v>
      </c>
      <c r="AH314" s="4">
        <v>0</v>
      </c>
      <c r="AI314" s="4">
        <v>0</v>
      </c>
      <c r="AJ314" s="4">
        <v>0</v>
      </c>
      <c r="AK314" s="4">
        <v>0</v>
      </c>
      <c r="AL314" s="4">
        <v>0</v>
      </c>
      <c r="AM314" s="4">
        <v>0</v>
      </c>
      <c r="AN314" s="4">
        <v>0</v>
      </c>
      <c r="AO314" s="4">
        <v>0</v>
      </c>
      <c r="AP314" s="4">
        <v>0</v>
      </c>
      <c r="AQ314" s="4">
        <v>0</v>
      </c>
      <c r="AR314" s="4">
        <v>0</v>
      </c>
      <c r="AS314" s="4">
        <v>0</v>
      </c>
      <c r="AT314" s="4">
        <v>0</v>
      </c>
      <c r="AU314" s="4">
        <v>0</v>
      </c>
      <c r="AV314" s="4">
        <v>0</v>
      </c>
      <c r="AW314" s="4">
        <v>0</v>
      </c>
      <c r="AX314" s="4">
        <v>0</v>
      </c>
      <c r="AY314" s="4">
        <v>0</v>
      </c>
    </row>
    <row r="315" spans="1:51">
      <c r="A315" s="3" t="s">
        <v>52</v>
      </c>
      <c r="B315" s="3" t="s">
        <v>53</v>
      </c>
      <c r="C315" s="3" t="s">
        <v>54</v>
      </c>
      <c r="D315" s="3" t="s">
        <v>55</v>
      </c>
      <c r="E315" s="3" t="s">
        <v>56</v>
      </c>
      <c r="F315" s="3" t="s">
        <v>57</v>
      </c>
      <c r="G315" s="3" t="s">
        <v>58</v>
      </c>
      <c r="H315" s="3" t="s">
        <v>59</v>
      </c>
      <c r="I315" s="3" t="s">
        <v>60</v>
      </c>
      <c r="J315" s="3" t="s">
        <v>61</v>
      </c>
      <c r="K315" s="3" t="s">
        <v>62</v>
      </c>
      <c r="L315" s="3" t="s">
        <v>63</v>
      </c>
      <c r="M315" s="3" t="s">
        <v>400</v>
      </c>
      <c r="N315" s="3" t="s">
        <v>401</v>
      </c>
      <c r="O315" s="3" t="s">
        <v>402</v>
      </c>
      <c r="P315" s="3" t="s">
        <v>403</v>
      </c>
      <c r="Q315" s="3" t="s">
        <v>404</v>
      </c>
      <c r="R315" s="3" t="s">
        <v>405</v>
      </c>
      <c r="S315" s="3" t="s">
        <v>189</v>
      </c>
      <c r="T315" s="3" t="s">
        <v>524</v>
      </c>
      <c r="U315" s="3" t="s">
        <v>54</v>
      </c>
      <c r="V315" s="3" t="s">
        <v>72</v>
      </c>
      <c r="W315" s="3" t="s">
        <v>73</v>
      </c>
      <c r="X315" s="3" t="s">
        <v>74</v>
      </c>
      <c r="Y315" s="3" t="s">
        <v>78</v>
      </c>
      <c r="Z315" s="3" t="s">
        <v>79</v>
      </c>
      <c r="AA315" s="3" t="s">
        <v>559</v>
      </c>
      <c r="AB315" s="4">
        <v>197000</v>
      </c>
      <c r="AC315" s="4">
        <v>0</v>
      </c>
      <c r="AD315" s="4">
        <v>0</v>
      </c>
      <c r="AE315" s="4">
        <v>197000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4">
        <v>0</v>
      </c>
      <c r="AM315" s="4">
        <v>0</v>
      </c>
      <c r="AN315" s="4">
        <v>0</v>
      </c>
      <c r="AO315" s="4">
        <v>0</v>
      </c>
      <c r="AP315" s="4">
        <v>0</v>
      </c>
      <c r="AQ315" s="4">
        <v>197000</v>
      </c>
      <c r="AR315" s="4">
        <v>51660</v>
      </c>
      <c r="AS315" s="4">
        <v>51660</v>
      </c>
      <c r="AT315" s="4">
        <v>0</v>
      </c>
      <c r="AU315" s="4">
        <v>0</v>
      </c>
      <c r="AV315" s="4">
        <v>0</v>
      </c>
      <c r="AW315" s="4">
        <v>0</v>
      </c>
      <c r="AX315" s="4">
        <v>145340</v>
      </c>
      <c r="AY315" s="4">
        <v>145340</v>
      </c>
    </row>
    <row r="316" spans="1:51">
      <c r="A316" s="3" t="s">
        <v>52</v>
      </c>
      <c r="B316" s="3" t="s">
        <v>53</v>
      </c>
      <c r="C316" s="3" t="s">
        <v>54</v>
      </c>
      <c r="D316" s="3" t="s">
        <v>55</v>
      </c>
      <c r="E316" s="3" t="s">
        <v>56</v>
      </c>
      <c r="F316" s="3" t="s">
        <v>57</v>
      </c>
      <c r="G316" s="3" t="s">
        <v>58</v>
      </c>
      <c r="H316" s="3" t="s">
        <v>59</v>
      </c>
      <c r="I316" s="3" t="s">
        <v>60</v>
      </c>
      <c r="J316" s="3" t="s">
        <v>61</v>
      </c>
      <c r="K316" s="3" t="s">
        <v>62</v>
      </c>
      <c r="L316" s="3" t="s">
        <v>63</v>
      </c>
      <c r="M316" s="3" t="s">
        <v>400</v>
      </c>
      <c r="N316" s="3" t="s">
        <v>401</v>
      </c>
      <c r="O316" s="3" t="s">
        <v>402</v>
      </c>
      <c r="P316" s="3" t="s">
        <v>403</v>
      </c>
      <c r="Q316" s="3" t="s">
        <v>404</v>
      </c>
      <c r="R316" s="3" t="s">
        <v>405</v>
      </c>
      <c r="S316" s="3" t="s">
        <v>189</v>
      </c>
      <c r="T316" s="3" t="s">
        <v>524</v>
      </c>
      <c r="U316" s="3" t="s">
        <v>54</v>
      </c>
      <c r="V316" s="3" t="s">
        <v>72</v>
      </c>
      <c r="W316" s="3" t="s">
        <v>73</v>
      </c>
      <c r="X316" s="3" t="s">
        <v>74</v>
      </c>
      <c r="Y316" s="3" t="s">
        <v>78</v>
      </c>
      <c r="Z316" s="3" t="s">
        <v>79</v>
      </c>
      <c r="AA316" s="3" t="s">
        <v>560</v>
      </c>
      <c r="AB316" s="4">
        <v>126000</v>
      </c>
      <c r="AC316" s="4">
        <v>0</v>
      </c>
      <c r="AD316" s="4">
        <v>3000</v>
      </c>
      <c r="AE316" s="4">
        <v>129000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4">
        <v>0</v>
      </c>
      <c r="AM316" s="4">
        <v>0</v>
      </c>
      <c r="AN316" s="4">
        <v>0</v>
      </c>
      <c r="AO316" s="4">
        <v>0</v>
      </c>
      <c r="AP316" s="4">
        <v>0</v>
      </c>
      <c r="AQ316" s="4">
        <v>129000</v>
      </c>
      <c r="AR316" s="4">
        <v>128740</v>
      </c>
      <c r="AS316" s="4">
        <v>128740</v>
      </c>
      <c r="AT316" s="4">
        <v>0</v>
      </c>
      <c r="AU316" s="4">
        <v>0</v>
      </c>
      <c r="AV316" s="4">
        <v>0</v>
      </c>
      <c r="AW316" s="4">
        <v>0</v>
      </c>
      <c r="AX316" s="4">
        <v>260</v>
      </c>
      <c r="AY316" s="4">
        <v>260</v>
      </c>
    </row>
    <row r="317" spans="1:51">
      <c r="A317" s="3" t="s">
        <v>52</v>
      </c>
      <c r="B317" s="3" t="s">
        <v>53</v>
      </c>
      <c r="C317" s="3" t="s">
        <v>54</v>
      </c>
      <c r="D317" s="3" t="s">
        <v>55</v>
      </c>
      <c r="E317" s="3" t="s">
        <v>56</v>
      </c>
      <c r="F317" s="3" t="s">
        <v>57</v>
      </c>
      <c r="G317" s="3" t="s">
        <v>58</v>
      </c>
      <c r="H317" s="3" t="s">
        <v>59</v>
      </c>
      <c r="I317" s="3" t="s">
        <v>60</v>
      </c>
      <c r="J317" s="3" t="s">
        <v>61</v>
      </c>
      <c r="K317" s="3" t="s">
        <v>62</v>
      </c>
      <c r="L317" s="3" t="s">
        <v>63</v>
      </c>
      <c r="M317" s="3" t="s">
        <v>400</v>
      </c>
      <c r="N317" s="3" t="s">
        <v>401</v>
      </c>
      <c r="O317" s="3" t="s">
        <v>402</v>
      </c>
      <c r="P317" s="3" t="s">
        <v>403</v>
      </c>
      <c r="Q317" s="3" t="s">
        <v>404</v>
      </c>
      <c r="R317" s="3" t="s">
        <v>405</v>
      </c>
      <c r="S317" s="3" t="s">
        <v>189</v>
      </c>
      <c r="T317" s="3" t="s">
        <v>524</v>
      </c>
      <c r="U317" s="3" t="s">
        <v>54</v>
      </c>
      <c r="V317" s="3" t="s">
        <v>72</v>
      </c>
      <c r="W317" s="3" t="s">
        <v>73</v>
      </c>
      <c r="X317" s="3" t="s">
        <v>74</v>
      </c>
      <c r="Y317" s="3" t="s">
        <v>78</v>
      </c>
      <c r="Z317" s="3" t="s">
        <v>79</v>
      </c>
      <c r="AA317" s="3" t="s">
        <v>561</v>
      </c>
      <c r="AB317" s="4">
        <v>91000</v>
      </c>
      <c r="AC317" s="4">
        <v>0</v>
      </c>
      <c r="AD317" s="4">
        <v>0</v>
      </c>
      <c r="AE317" s="4">
        <v>91000</v>
      </c>
      <c r="AF317" s="4">
        <v>0</v>
      </c>
      <c r="AG317" s="4">
        <v>0</v>
      </c>
      <c r="AH317" s="4">
        <v>0</v>
      </c>
      <c r="AI317" s="4">
        <v>0</v>
      </c>
      <c r="AJ317" s="4">
        <v>0</v>
      </c>
      <c r="AK317" s="4">
        <v>0</v>
      </c>
      <c r="AL317" s="4">
        <v>0</v>
      </c>
      <c r="AM317" s="4">
        <v>0</v>
      </c>
      <c r="AN317" s="4">
        <v>0</v>
      </c>
      <c r="AO317" s="4">
        <v>0</v>
      </c>
      <c r="AP317" s="4">
        <v>0</v>
      </c>
      <c r="AQ317" s="4">
        <v>91000</v>
      </c>
      <c r="AR317" s="4">
        <v>51660</v>
      </c>
      <c r="AS317" s="4">
        <v>51660</v>
      </c>
      <c r="AT317" s="4">
        <v>0</v>
      </c>
      <c r="AU317" s="4">
        <v>0</v>
      </c>
      <c r="AV317" s="4">
        <v>0</v>
      </c>
      <c r="AW317" s="4">
        <v>0</v>
      </c>
      <c r="AX317" s="4">
        <v>39340</v>
      </c>
      <c r="AY317" s="4">
        <v>39340</v>
      </c>
    </row>
    <row r="318" spans="1:51">
      <c r="A318" s="3" t="s">
        <v>52</v>
      </c>
      <c r="B318" s="3" t="s">
        <v>53</v>
      </c>
      <c r="C318" s="3" t="s">
        <v>54</v>
      </c>
      <c r="D318" s="3" t="s">
        <v>55</v>
      </c>
      <c r="E318" s="3" t="s">
        <v>56</v>
      </c>
      <c r="F318" s="3" t="s">
        <v>57</v>
      </c>
      <c r="G318" s="3" t="s">
        <v>58</v>
      </c>
      <c r="H318" s="3" t="s">
        <v>59</v>
      </c>
      <c r="I318" s="3" t="s">
        <v>60</v>
      </c>
      <c r="J318" s="3" t="s">
        <v>61</v>
      </c>
      <c r="K318" s="3" t="s">
        <v>62</v>
      </c>
      <c r="L318" s="3" t="s">
        <v>63</v>
      </c>
      <c r="M318" s="3" t="s">
        <v>400</v>
      </c>
      <c r="N318" s="3" t="s">
        <v>401</v>
      </c>
      <c r="O318" s="3" t="s">
        <v>402</v>
      </c>
      <c r="P318" s="3" t="s">
        <v>403</v>
      </c>
      <c r="Q318" s="3" t="s">
        <v>404</v>
      </c>
      <c r="R318" s="3" t="s">
        <v>405</v>
      </c>
      <c r="S318" s="3" t="s">
        <v>189</v>
      </c>
      <c r="T318" s="3" t="s">
        <v>524</v>
      </c>
      <c r="U318" s="3" t="s">
        <v>54</v>
      </c>
      <c r="V318" s="3" t="s">
        <v>72</v>
      </c>
      <c r="W318" s="3" t="s">
        <v>73</v>
      </c>
      <c r="X318" s="3" t="s">
        <v>74</v>
      </c>
      <c r="Y318" s="3" t="s">
        <v>78</v>
      </c>
      <c r="Z318" s="3" t="s">
        <v>79</v>
      </c>
      <c r="AA318" s="3" t="s">
        <v>562</v>
      </c>
      <c r="AB318" s="4">
        <v>86000</v>
      </c>
      <c r="AC318" s="4">
        <v>0</v>
      </c>
      <c r="AD318" s="4">
        <v>0</v>
      </c>
      <c r="AE318" s="4">
        <v>86000</v>
      </c>
      <c r="AF318" s="4">
        <v>0</v>
      </c>
      <c r="AG318" s="4">
        <v>0</v>
      </c>
      <c r="AH318" s="4">
        <v>0</v>
      </c>
      <c r="AI318" s="4">
        <v>0</v>
      </c>
      <c r="AJ318" s="4">
        <v>0</v>
      </c>
      <c r="AK318" s="4">
        <v>0</v>
      </c>
      <c r="AL318" s="4">
        <v>0</v>
      </c>
      <c r="AM318" s="4">
        <v>0</v>
      </c>
      <c r="AN318" s="4">
        <v>0</v>
      </c>
      <c r="AO318" s="4">
        <v>0</v>
      </c>
      <c r="AP318" s="4">
        <v>0</v>
      </c>
      <c r="AQ318" s="4">
        <v>86000</v>
      </c>
      <c r="AR318" s="4">
        <v>79200</v>
      </c>
      <c r="AS318" s="4">
        <v>79200</v>
      </c>
      <c r="AT318" s="4">
        <v>0</v>
      </c>
      <c r="AU318" s="4">
        <v>0</v>
      </c>
      <c r="AV318" s="4">
        <v>0</v>
      </c>
      <c r="AW318" s="4">
        <v>0</v>
      </c>
      <c r="AX318" s="4">
        <v>6800</v>
      </c>
      <c r="AY318" s="4">
        <v>6800</v>
      </c>
    </row>
    <row r="319" spans="1:51">
      <c r="A319" s="3" t="s">
        <v>52</v>
      </c>
      <c r="B319" s="3" t="s">
        <v>53</v>
      </c>
      <c r="C319" s="3" t="s">
        <v>54</v>
      </c>
      <c r="D319" s="3" t="s">
        <v>55</v>
      </c>
      <c r="E319" s="3" t="s">
        <v>56</v>
      </c>
      <c r="F319" s="3" t="s">
        <v>57</v>
      </c>
      <c r="G319" s="3" t="s">
        <v>58</v>
      </c>
      <c r="H319" s="3" t="s">
        <v>59</v>
      </c>
      <c r="I319" s="3" t="s">
        <v>60</v>
      </c>
      <c r="J319" s="3" t="s">
        <v>61</v>
      </c>
      <c r="K319" s="3" t="s">
        <v>62</v>
      </c>
      <c r="L319" s="3" t="s">
        <v>63</v>
      </c>
      <c r="M319" s="3" t="s">
        <v>400</v>
      </c>
      <c r="N319" s="3" t="s">
        <v>401</v>
      </c>
      <c r="O319" s="3" t="s">
        <v>402</v>
      </c>
      <c r="P319" s="3" t="s">
        <v>403</v>
      </c>
      <c r="Q319" s="3" t="s">
        <v>404</v>
      </c>
      <c r="R319" s="3" t="s">
        <v>405</v>
      </c>
      <c r="S319" s="3" t="s">
        <v>189</v>
      </c>
      <c r="T319" s="3" t="s">
        <v>524</v>
      </c>
      <c r="U319" s="3" t="s">
        <v>54</v>
      </c>
      <c r="V319" s="3" t="s">
        <v>72</v>
      </c>
      <c r="W319" s="3" t="s">
        <v>73</v>
      </c>
      <c r="X319" s="3" t="s">
        <v>74</v>
      </c>
      <c r="Y319" s="3" t="s">
        <v>78</v>
      </c>
      <c r="Z319" s="3" t="s">
        <v>79</v>
      </c>
      <c r="AA319" s="3" t="s">
        <v>563</v>
      </c>
      <c r="AB319" s="4">
        <v>95000</v>
      </c>
      <c r="AC319" s="4">
        <v>0</v>
      </c>
      <c r="AD319" s="4">
        <v>0</v>
      </c>
      <c r="AE319" s="4">
        <v>95000</v>
      </c>
      <c r="AF319" s="4">
        <v>0</v>
      </c>
      <c r="AG319" s="4">
        <v>0</v>
      </c>
      <c r="AH319" s="4">
        <v>0</v>
      </c>
      <c r="AI319" s="4">
        <v>0</v>
      </c>
      <c r="AJ319" s="4">
        <v>0</v>
      </c>
      <c r="AK319" s="4">
        <v>0</v>
      </c>
      <c r="AL319" s="4">
        <v>0</v>
      </c>
      <c r="AM319" s="4">
        <v>0</v>
      </c>
      <c r="AN319" s="4">
        <v>0</v>
      </c>
      <c r="AO319" s="4">
        <v>0</v>
      </c>
      <c r="AP319" s="4">
        <v>0</v>
      </c>
      <c r="AQ319" s="4">
        <v>95000</v>
      </c>
      <c r="AR319" s="4">
        <v>77080</v>
      </c>
      <c r="AS319" s="4">
        <v>77080</v>
      </c>
      <c r="AT319" s="4">
        <v>0</v>
      </c>
      <c r="AU319" s="4">
        <v>0</v>
      </c>
      <c r="AV319" s="4">
        <v>0</v>
      </c>
      <c r="AW319" s="4">
        <v>0</v>
      </c>
      <c r="AX319" s="4">
        <v>17920</v>
      </c>
      <c r="AY319" s="4">
        <v>17920</v>
      </c>
    </row>
    <row r="320" spans="1:51">
      <c r="A320" s="3" t="s">
        <v>52</v>
      </c>
      <c r="B320" s="3" t="s">
        <v>53</v>
      </c>
      <c r="C320" s="3" t="s">
        <v>54</v>
      </c>
      <c r="D320" s="3" t="s">
        <v>55</v>
      </c>
      <c r="E320" s="3" t="s">
        <v>56</v>
      </c>
      <c r="F320" s="3" t="s">
        <v>57</v>
      </c>
      <c r="G320" s="3" t="s">
        <v>58</v>
      </c>
      <c r="H320" s="3" t="s">
        <v>59</v>
      </c>
      <c r="I320" s="3" t="s">
        <v>60</v>
      </c>
      <c r="J320" s="3" t="s">
        <v>61</v>
      </c>
      <c r="K320" s="3" t="s">
        <v>62</v>
      </c>
      <c r="L320" s="3" t="s">
        <v>63</v>
      </c>
      <c r="M320" s="3" t="s">
        <v>400</v>
      </c>
      <c r="N320" s="3" t="s">
        <v>401</v>
      </c>
      <c r="O320" s="3" t="s">
        <v>402</v>
      </c>
      <c r="P320" s="3" t="s">
        <v>403</v>
      </c>
      <c r="Q320" s="3" t="s">
        <v>404</v>
      </c>
      <c r="R320" s="3" t="s">
        <v>405</v>
      </c>
      <c r="S320" s="3" t="s">
        <v>189</v>
      </c>
      <c r="T320" s="3" t="s">
        <v>524</v>
      </c>
      <c r="U320" s="3" t="s">
        <v>54</v>
      </c>
      <c r="V320" s="3" t="s">
        <v>72</v>
      </c>
      <c r="W320" s="3" t="s">
        <v>73</v>
      </c>
      <c r="X320" s="3" t="s">
        <v>74</v>
      </c>
      <c r="Y320" s="3" t="s">
        <v>78</v>
      </c>
      <c r="Z320" s="3" t="s">
        <v>79</v>
      </c>
      <c r="AA320" s="3" t="s">
        <v>564</v>
      </c>
      <c r="AB320" s="4">
        <v>102000</v>
      </c>
      <c r="AC320" s="4">
        <v>0</v>
      </c>
      <c r="AD320" s="4">
        <v>24000</v>
      </c>
      <c r="AE320" s="4">
        <v>126000</v>
      </c>
      <c r="AF320" s="4">
        <v>0</v>
      </c>
      <c r="AG320" s="4">
        <v>0</v>
      </c>
      <c r="AH320" s="4">
        <v>0</v>
      </c>
      <c r="AI320" s="4">
        <v>0</v>
      </c>
      <c r="AJ320" s="4">
        <v>0</v>
      </c>
      <c r="AK320" s="4">
        <v>0</v>
      </c>
      <c r="AL320" s="4">
        <v>0</v>
      </c>
      <c r="AM320" s="4">
        <v>0</v>
      </c>
      <c r="AN320" s="4">
        <v>0</v>
      </c>
      <c r="AO320" s="4">
        <v>0</v>
      </c>
      <c r="AP320" s="4">
        <v>0</v>
      </c>
      <c r="AQ320" s="4">
        <v>126000</v>
      </c>
      <c r="AR320" s="4">
        <v>125870</v>
      </c>
      <c r="AS320" s="4">
        <v>125870</v>
      </c>
      <c r="AT320" s="4">
        <v>0</v>
      </c>
      <c r="AU320" s="4">
        <v>0</v>
      </c>
      <c r="AV320" s="4">
        <v>0</v>
      </c>
      <c r="AW320" s="4">
        <v>0</v>
      </c>
      <c r="AX320" s="4">
        <v>130</v>
      </c>
      <c r="AY320" s="4">
        <v>130</v>
      </c>
    </row>
    <row r="321" spans="1:51">
      <c r="A321" s="3" t="s">
        <v>52</v>
      </c>
      <c r="B321" s="3" t="s">
        <v>53</v>
      </c>
      <c r="C321" s="3" t="s">
        <v>54</v>
      </c>
      <c r="D321" s="3" t="s">
        <v>55</v>
      </c>
      <c r="E321" s="3" t="s">
        <v>56</v>
      </c>
      <c r="F321" s="3" t="s">
        <v>57</v>
      </c>
      <c r="G321" s="3" t="s">
        <v>58</v>
      </c>
      <c r="H321" s="3" t="s">
        <v>59</v>
      </c>
      <c r="I321" s="3" t="s">
        <v>60</v>
      </c>
      <c r="J321" s="3" t="s">
        <v>61</v>
      </c>
      <c r="K321" s="3" t="s">
        <v>62</v>
      </c>
      <c r="L321" s="3" t="s">
        <v>63</v>
      </c>
      <c r="M321" s="3" t="s">
        <v>400</v>
      </c>
      <c r="N321" s="3" t="s">
        <v>401</v>
      </c>
      <c r="O321" s="3" t="s">
        <v>402</v>
      </c>
      <c r="P321" s="3" t="s">
        <v>403</v>
      </c>
      <c r="Q321" s="3" t="s">
        <v>404</v>
      </c>
      <c r="R321" s="3" t="s">
        <v>405</v>
      </c>
      <c r="S321" s="3" t="s">
        <v>189</v>
      </c>
      <c r="T321" s="3" t="s">
        <v>524</v>
      </c>
      <c r="U321" s="3" t="s">
        <v>54</v>
      </c>
      <c r="V321" s="3" t="s">
        <v>72</v>
      </c>
      <c r="W321" s="3" t="s">
        <v>73</v>
      </c>
      <c r="X321" s="3" t="s">
        <v>74</v>
      </c>
      <c r="Y321" s="3" t="s">
        <v>78</v>
      </c>
      <c r="Z321" s="3" t="s">
        <v>79</v>
      </c>
      <c r="AA321" s="3" t="s">
        <v>565</v>
      </c>
      <c r="AB321" s="4">
        <v>153000</v>
      </c>
      <c r="AC321" s="4">
        <v>0</v>
      </c>
      <c r="AD321" s="4">
        <v>0</v>
      </c>
      <c r="AE321" s="4">
        <v>153000</v>
      </c>
      <c r="AF321" s="4">
        <v>0</v>
      </c>
      <c r="AG321" s="4">
        <v>0</v>
      </c>
      <c r="AH321" s="4">
        <v>0</v>
      </c>
      <c r="AI321" s="4">
        <v>0</v>
      </c>
      <c r="AJ321" s="4">
        <v>0</v>
      </c>
      <c r="AK321" s="4">
        <v>0</v>
      </c>
      <c r="AL321" s="4">
        <v>0</v>
      </c>
      <c r="AM321" s="4">
        <v>0</v>
      </c>
      <c r="AN321" s="4">
        <v>0</v>
      </c>
      <c r="AO321" s="4">
        <v>0</v>
      </c>
      <c r="AP321" s="4">
        <v>0</v>
      </c>
      <c r="AQ321" s="4">
        <v>153000</v>
      </c>
      <c r="AR321" s="4">
        <v>90200</v>
      </c>
      <c r="AS321" s="4">
        <v>90200</v>
      </c>
      <c r="AT321" s="4">
        <v>0</v>
      </c>
      <c r="AU321" s="4">
        <v>0</v>
      </c>
      <c r="AV321" s="4">
        <v>0</v>
      </c>
      <c r="AW321" s="4">
        <v>0</v>
      </c>
      <c r="AX321" s="4">
        <v>62800</v>
      </c>
      <c r="AY321" s="4">
        <v>62800</v>
      </c>
    </row>
    <row r="322" spans="1:51">
      <c r="A322" s="3" t="s">
        <v>52</v>
      </c>
      <c r="B322" s="3" t="s">
        <v>53</v>
      </c>
      <c r="C322" s="3" t="s">
        <v>54</v>
      </c>
      <c r="D322" s="3" t="s">
        <v>55</v>
      </c>
      <c r="E322" s="3" t="s">
        <v>56</v>
      </c>
      <c r="F322" s="3" t="s">
        <v>57</v>
      </c>
      <c r="G322" s="3" t="s">
        <v>58</v>
      </c>
      <c r="H322" s="3" t="s">
        <v>59</v>
      </c>
      <c r="I322" s="3" t="s">
        <v>60</v>
      </c>
      <c r="J322" s="3" t="s">
        <v>61</v>
      </c>
      <c r="K322" s="3" t="s">
        <v>62</v>
      </c>
      <c r="L322" s="3" t="s">
        <v>63</v>
      </c>
      <c r="M322" s="3" t="s">
        <v>400</v>
      </c>
      <c r="N322" s="3" t="s">
        <v>401</v>
      </c>
      <c r="O322" s="3" t="s">
        <v>402</v>
      </c>
      <c r="P322" s="3" t="s">
        <v>403</v>
      </c>
      <c r="Q322" s="3" t="s">
        <v>404</v>
      </c>
      <c r="R322" s="3" t="s">
        <v>405</v>
      </c>
      <c r="S322" s="3" t="s">
        <v>189</v>
      </c>
      <c r="T322" s="3" t="s">
        <v>524</v>
      </c>
      <c r="U322" s="3" t="s">
        <v>54</v>
      </c>
      <c r="V322" s="3" t="s">
        <v>72</v>
      </c>
      <c r="W322" s="3" t="s">
        <v>73</v>
      </c>
      <c r="X322" s="3" t="s">
        <v>74</v>
      </c>
      <c r="Y322" s="3" t="s">
        <v>78</v>
      </c>
      <c r="Z322" s="3" t="s">
        <v>79</v>
      </c>
      <c r="AA322" s="3" t="s">
        <v>566</v>
      </c>
      <c r="AB322" s="4">
        <v>179000</v>
      </c>
      <c r="AC322" s="4">
        <v>0</v>
      </c>
      <c r="AD322" s="4">
        <v>0</v>
      </c>
      <c r="AE322" s="4">
        <v>179000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4">
        <v>0</v>
      </c>
      <c r="AM322" s="4">
        <v>0</v>
      </c>
      <c r="AN322" s="4">
        <v>0</v>
      </c>
      <c r="AO322" s="4">
        <v>0</v>
      </c>
      <c r="AP322" s="4">
        <v>0</v>
      </c>
      <c r="AQ322" s="4">
        <v>179000</v>
      </c>
      <c r="AR322" s="4">
        <v>148830</v>
      </c>
      <c r="AS322" s="4">
        <v>148830</v>
      </c>
      <c r="AT322" s="4">
        <v>0</v>
      </c>
      <c r="AU322" s="4">
        <v>0</v>
      </c>
      <c r="AV322" s="4">
        <v>0</v>
      </c>
      <c r="AW322" s="4">
        <v>0</v>
      </c>
      <c r="AX322" s="4">
        <v>30170</v>
      </c>
      <c r="AY322" s="4">
        <v>30170</v>
      </c>
    </row>
    <row r="323" spans="1:51">
      <c r="A323" s="3" t="s">
        <v>52</v>
      </c>
      <c r="B323" s="3" t="s">
        <v>53</v>
      </c>
      <c r="C323" s="3" t="s">
        <v>54</v>
      </c>
      <c r="D323" s="3" t="s">
        <v>55</v>
      </c>
      <c r="E323" s="3" t="s">
        <v>56</v>
      </c>
      <c r="F323" s="3" t="s">
        <v>57</v>
      </c>
      <c r="G323" s="3" t="s">
        <v>58</v>
      </c>
      <c r="H323" s="3" t="s">
        <v>59</v>
      </c>
      <c r="I323" s="3" t="s">
        <v>60</v>
      </c>
      <c r="J323" s="3" t="s">
        <v>61</v>
      </c>
      <c r="K323" s="3" t="s">
        <v>62</v>
      </c>
      <c r="L323" s="3" t="s">
        <v>63</v>
      </c>
      <c r="M323" s="3" t="s">
        <v>400</v>
      </c>
      <c r="N323" s="3" t="s">
        <v>401</v>
      </c>
      <c r="O323" s="3" t="s">
        <v>402</v>
      </c>
      <c r="P323" s="3" t="s">
        <v>403</v>
      </c>
      <c r="Q323" s="3" t="s">
        <v>404</v>
      </c>
      <c r="R323" s="3" t="s">
        <v>405</v>
      </c>
      <c r="S323" s="3" t="s">
        <v>189</v>
      </c>
      <c r="T323" s="3" t="s">
        <v>524</v>
      </c>
      <c r="U323" s="3" t="s">
        <v>54</v>
      </c>
      <c r="V323" s="3" t="s">
        <v>72</v>
      </c>
      <c r="W323" s="3" t="s">
        <v>73</v>
      </c>
      <c r="X323" s="3" t="s">
        <v>74</v>
      </c>
      <c r="Y323" s="3" t="s">
        <v>78</v>
      </c>
      <c r="Z323" s="3" t="s">
        <v>79</v>
      </c>
      <c r="AA323" s="3" t="s">
        <v>567</v>
      </c>
      <c r="AB323" s="4">
        <v>59000</v>
      </c>
      <c r="AC323" s="4">
        <v>-59000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0</v>
      </c>
      <c r="AJ323" s="4">
        <v>0</v>
      </c>
      <c r="AK323" s="4">
        <v>0</v>
      </c>
      <c r="AL323" s="4">
        <v>0</v>
      </c>
      <c r="AM323" s="4">
        <v>0</v>
      </c>
      <c r="AN323" s="4">
        <v>0</v>
      </c>
      <c r="AO323" s="4">
        <v>0</v>
      </c>
      <c r="AP323" s="4">
        <v>0</v>
      </c>
      <c r="AQ323" s="4">
        <v>0</v>
      </c>
      <c r="AR323" s="4">
        <v>0</v>
      </c>
      <c r="AS323" s="4">
        <v>0</v>
      </c>
      <c r="AT323" s="4">
        <v>0</v>
      </c>
      <c r="AU323" s="4">
        <v>0</v>
      </c>
      <c r="AV323" s="4">
        <v>0</v>
      </c>
      <c r="AW323" s="4">
        <v>0</v>
      </c>
      <c r="AX323" s="4">
        <v>0</v>
      </c>
      <c r="AY323" s="4">
        <v>0</v>
      </c>
    </row>
    <row r="324" spans="1:51">
      <c r="A324" s="3" t="s">
        <v>52</v>
      </c>
      <c r="B324" s="3" t="s">
        <v>53</v>
      </c>
      <c r="C324" s="3" t="s">
        <v>54</v>
      </c>
      <c r="D324" s="3" t="s">
        <v>55</v>
      </c>
      <c r="E324" s="3" t="s">
        <v>56</v>
      </c>
      <c r="F324" s="3" t="s">
        <v>57</v>
      </c>
      <c r="G324" s="3" t="s">
        <v>58</v>
      </c>
      <c r="H324" s="3" t="s">
        <v>59</v>
      </c>
      <c r="I324" s="3" t="s">
        <v>60</v>
      </c>
      <c r="J324" s="3" t="s">
        <v>61</v>
      </c>
      <c r="K324" s="3" t="s">
        <v>62</v>
      </c>
      <c r="L324" s="3" t="s">
        <v>63</v>
      </c>
      <c r="M324" s="3" t="s">
        <v>400</v>
      </c>
      <c r="N324" s="3" t="s">
        <v>401</v>
      </c>
      <c r="O324" s="3" t="s">
        <v>402</v>
      </c>
      <c r="P324" s="3" t="s">
        <v>403</v>
      </c>
      <c r="Q324" s="3" t="s">
        <v>404</v>
      </c>
      <c r="R324" s="3" t="s">
        <v>405</v>
      </c>
      <c r="S324" s="3" t="s">
        <v>189</v>
      </c>
      <c r="T324" s="3" t="s">
        <v>524</v>
      </c>
      <c r="U324" s="3" t="s">
        <v>54</v>
      </c>
      <c r="V324" s="3" t="s">
        <v>72</v>
      </c>
      <c r="W324" s="3" t="s">
        <v>73</v>
      </c>
      <c r="X324" s="3" t="s">
        <v>74</v>
      </c>
      <c r="Y324" s="3" t="s">
        <v>78</v>
      </c>
      <c r="Z324" s="3" t="s">
        <v>79</v>
      </c>
      <c r="AA324" s="3" t="s">
        <v>568</v>
      </c>
      <c r="AB324" s="4">
        <v>121000</v>
      </c>
      <c r="AC324" s="4">
        <v>0</v>
      </c>
      <c r="AD324" s="4">
        <v>0</v>
      </c>
      <c r="AE324" s="4">
        <v>121000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4">
        <v>0</v>
      </c>
      <c r="AM324" s="4">
        <v>0</v>
      </c>
      <c r="AN324" s="4">
        <v>0</v>
      </c>
      <c r="AO324" s="4">
        <v>0</v>
      </c>
      <c r="AP324" s="4">
        <v>0</v>
      </c>
      <c r="AQ324" s="4">
        <v>121000</v>
      </c>
      <c r="AR324" s="4">
        <v>57400</v>
      </c>
      <c r="AS324" s="4">
        <v>57400</v>
      </c>
      <c r="AT324" s="4">
        <v>0</v>
      </c>
      <c r="AU324" s="4">
        <v>0</v>
      </c>
      <c r="AV324" s="4">
        <v>0</v>
      </c>
      <c r="AW324" s="4">
        <v>0</v>
      </c>
      <c r="AX324" s="4">
        <v>63600</v>
      </c>
      <c r="AY324" s="4">
        <v>63600</v>
      </c>
    </row>
    <row r="325" spans="1:51">
      <c r="A325" s="3" t="s">
        <v>52</v>
      </c>
      <c r="B325" s="3" t="s">
        <v>53</v>
      </c>
      <c r="C325" s="3" t="s">
        <v>54</v>
      </c>
      <c r="D325" s="3" t="s">
        <v>55</v>
      </c>
      <c r="E325" s="3" t="s">
        <v>56</v>
      </c>
      <c r="F325" s="3" t="s">
        <v>57</v>
      </c>
      <c r="G325" s="3" t="s">
        <v>58</v>
      </c>
      <c r="H325" s="3" t="s">
        <v>59</v>
      </c>
      <c r="I325" s="3" t="s">
        <v>60</v>
      </c>
      <c r="J325" s="3" t="s">
        <v>61</v>
      </c>
      <c r="K325" s="3" t="s">
        <v>62</v>
      </c>
      <c r="L325" s="3" t="s">
        <v>63</v>
      </c>
      <c r="M325" s="3" t="s">
        <v>400</v>
      </c>
      <c r="N325" s="3" t="s">
        <v>401</v>
      </c>
      <c r="O325" s="3" t="s">
        <v>402</v>
      </c>
      <c r="P325" s="3" t="s">
        <v>403</v>
      </c>
      <c r="Q325" s="3" t="s">
        <v>404</v>
      </c>
      <c r="R325" s="3" t="s">
        <v>405</v>
      </c>
      <c r="S325" s="3" t="s">
        <v>189</v>
      </c>
      <c r="T325" s="3" t="s">
        <v>524</v>
      </c>
      <c r="U325" s="3" t="s">
        <v>54</v>
      </c>
      <c r="V325" s="3" t="s">
        <v>72</v>
      </c>
      <c r="W325" s="3" t="s">
        <v>73</v>
      </c>
      <c r="X325" s="3" t="s">
        <v>74</v>
      </c>
      <c r="Y325" s="3" t="s">
        <v>78</v>
      </c>
      <c r="Z325" s="3" t="s">
        <v>79</v>
      </c>
      <c r="AA325" s="3" t="s">
        <v>569</v>
      </c>
      <c r="AB325" s="4">
        <v>91000</v>
      </c>
      <c r="AC325" s="4">
        <v>0</v>
      </c>
      <c r="AD325" s="4">
        <v>0</v>
      </c>
      <c r="AE325" s="4">
        <v>91000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0</v>
      </c>
      <c r="AL325" s="4">
        <v>0</v>
      </c>
      <c r="AM325" s="4">
        <v>0</v>
      </c>
      <c r="AN325" s="4">
        <v>0</v>
      </c>
      <c r="AO325" s="4">
        <v>0</v>
      </c>
      <c r="AP325" s="4">
        <v>0</v>
      </c>
      <c r="AQ325" s="4">
        <v>91000</v>
      </c>
      <c r="AR325" s="4">
        <v>66540</v>
      </c>
      <c r="AS325" s="4">
        <v>66540</v>
      </c>
      <c r="AT325" s="4">
        <v>0</v>
      </c>
      <c r="AU325" s="4">
        <v>0</v>
      </c>
      <c r="AV325" s="4">
        <v>0</v>
      </c>
      <c r="AW325" s="4">
        <v>0</v>
      </c>
      <c r="AX325" s="4">
        <v>24460</v>
      </c>
      <c r="AY325" s="4">
        <v>24460</v>
      </c>
    </row>
    <row r="326" spans="1:51">
      <c r="A326" s="3" t="s">
        <v>52</v>
      </c>
      <c r="B326" s="3" t="s">
        <v>53</v>
      </c>
      <c r="C326" s="3" t="s">
        <v>54</v>
      </c>
      <c r="D326" s="3" t="s">
        <v>55</v>
      </c>
      <c r="E326" s="3" t="s">
        <v>56</v>
      </c>
      <c r="F326" s="3" t="s">
        <v>57</v>
      </c>
      <c r="G326" s="3" t="s">
        <v>58</v>
      </c>
      <c r="H326" s="3" t="s">
        <v>59</v>
      </c>
      <c r="I326" s="3" t="s">
        <v>60</v>
      </c>
      <c r="J326" s="3" t="s">
        <v>61</v>
      </c>
      <c r="K326" s="3" t="s">
        <v>62</v>
      </c>
      <c r="L326" s="3" t="s">
        <v>63</v>
      </c>
      <c r="M326" s="3" t="s">
        <v>400</v>
      </c>
      <c r="N326" s="3" t="s">
        <v>401</v>
      </c>
      <c r="O326" s="3" t="s">
        <v>402</v>
      </c>
      <c r="P326" s="3" t="s">
        <v>403</v>
      </c>
      <c r="Q326" s="3" t="s">
        <v>404</v>
      </c>
      <c r="R326" s="3" t="s">
        <v>405</v>
      </c>
      <c r="S326" s="3" t="s">
        <v>189</v>
      </c>
      <c r="T326" s="3" t="s">
        <v>524</v>
      </c>
      <c r="U326" s="3" t="s">
        <v>54</v>
      </c>
      <c r="V326" s="3" t="s">
        <v>72</v>
      </c>
      <c r="W326" s="3" t="s">
        <v>73</v>
      </c>
      <c r="X326" s="3" t="s">
        <v>74</v>
      </c>
      <c r="Y326" s="3" t="s">
        <v>78</v>
      </c>
      <c r="Z326" s="3" t="s">
        <v>79</v>
      </c>
      <c r="AA326" s="3" t="s">
        <v>570</v>
      </c>
      <c r="AB326" s="4">
        <v>107000</v>
      </c>
      <c r="AC326" s="4">
        <v>-107000</v>
      </c>
      <c r="AD326" s="4">
        <v>0</v>
      </c>
      <c r="AE326" s="4">
        <v>0</v>
      </c>
      <c r="AF326" s="4">
        <v>0</v>
      </c>
      <c r="AG326" s="4">
        <v>0</v>
      </c>
      <c r="AH326" s="4">
        <v>0</v>
      </c>
      <c r="AI326" s="4">
        <v>0</v>
      </c>
      <c r="AJ326" s="4">
        <v>0</v>
      </c>
      <c r="AK326" s="4">
        <v>0</v>
      </c>
      <c r="AL326" s="4">
        <v>0</v>
      </c>
      <c r="AM326" s="4">
        <v>0</v>
      </c>
      <c r="AN326" s="4">
        <v>0</v>
      </c>
      <c r="AO326" s="4">
        <v>0</v>
      </c>
      <c r="AP326" s="4">
        <v>0</v>
      </c>
      <c r="AQ326" s="4">
        <v>0</v>
      </c>
      <c r="AR326" s="4">
        <v>0</v>
      </c>
      <c r="AS326" s="4">
        <v>0</v>
      </c>
      <c r="AT326" s="4">
        <v>0</v>
      </c>
      <c r="AU326" s="4">
        <v>0</v>
      </c>
      <c r="AV326" s="4">
        <v>0</v>
      </c>
      <c r="AW326" s="4">
        <v>0</v>
      </c>
      <c r="AX326" s="4">
        <v>0</v>
      </c>
      <c r="AY326" s="4">
        <v>0</v>
      </c>
    </row>
    <row r="327" spans="1:51">
      <c r="A327" s="3" t="s">
        <v>52</v>
      </c>
      <c r="B327" s="3" t="s">
        <v>53</v>
      </c>
      <c r="C327" s="3" t="s">
        <v>54</v>
      </c>
      <c r="D327" s="3" t="s">
        <v>55</v>
      </c>
      <c r="E327" s="3" t="s">
        <v>56</v>
      </c>
      <c r="F327" s="3" t="s">
        <v>57</v>
      </c>
      <c r="G327" s="3" t="s">
        <v>58</v>
      </c>
      <c r="H327" s="3" t="s">
        <v>59</v>
      </c>
      <c r="I327" s="3" t="s">
        <v>60</v>
      </c>
      <c r="J327" s="3" t="s">
        <v>61</v>
      </c>
      <c r="K327" s="3" t="s">
        <v>62</v>
      </c>
      <c r="L327" s="3" t="s">
        <v>63</v>
      </c>
      <c r="M327" s="3" t="s">
        <v>400</v>
      </c>
      <c r="N327" s="3" t="s">
        <v>401</v>
      </c>
      <c r="O327" s="3" t="s">
        <v>402</v>
      </c>
      <c r="P327" s="3" t="s">
        <v>403</v>
      </c>
      <c r="Q327" s="3" t="s">
        <v>404</v>
      </c>
      <c r="R327" s="3" t="s">
        <v>405</v>
      </c>
      <c r="S327" s="3" t="s">
        <v>189</v>
      </c>
      <c r="T327" s="3" t="s">
        <v>524</v>
      </c>
      <c r="U327" s="3" t="s">
        <v>54</v>
      </c>
      <c r="V327" s="3" t="s">
        <v>72</v>
      </c>
      <c r="W327" s="3" t="s">
        <v>73</v>
      </c>
      <c r="X327" s="3" t="s">
        <v>74</v>
      </c>
      <c r="Y327" s="3" t="s">
        <v>78</v>
      </c>
      <c r="Z327" s="3" t="s">
        <v>79</v>
      </c>
      <c r="AA327" s="3" t="s">
        <v>571</v>
      </c>
      <c r="AB327" s="4">
        <v>101000</v>
      </c>
      <c r="AC327" s="4">
        <v>-101000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0</v>
      </c>
      <c r="AL327" s="4">
        <v>0</v>
      </c>
      <c r="AM327" s="4">
        <v>0</v>
      </c>
      <c r="AN327" s="4">
        <v>0</v>
      </c>
      <c r="AO327" s="4">
        <v>0</v>
      </c>
      <c r="AP327" s="4">
        <v>0</v>
      </c>
      <c r="AQ327" s="4">
        <v>0</v>
      </c>
      <c r="AR327" s="4">
        <v>0</v>
      </c>
      <c r="AS327" s="4">
        <v>0</v>
      </c>
      <c r="AT327" s="4">
        <v>0</v>
      </c>
      <c r="AU327" s="4">
        <v>0</v>
      </c>
      <c r="AV327" s="4">
        <v>0</v>
      </c>
      <c r="AW327" s="4">
        <v>0</v>
      </c>
      <c r="AX327" s="4">
        <v>0</v>
      </c>
      <c r="AY327" s="4">
        <v>0</v>
      </c>
    </row>
    <row r="328" spans="1:51">
      <c r="A328" s="3" t="s">
        <v>52</v>
      </c>
      <c r="B328" s="3" t="s">
        <v>53</v>
      </c>
      <c r="C328" s="3" t="s">
        <v>54</v>
      </c>
      <c r="D328" s="3" t="s">
        <v>55</v>
      </c>
      <c r="E328" s="3" t="s">
        <v>56</v>
      </c>
      <c r="F328" s="3" t="s">
        <v>57</v>
      </c>
      <c r="G328" s="3" t="s">
        <v>58</v>
      </c>
      <c r="H328" s="3" t="s">
        <v>59</v>
      </c>
      <c r="I328" s="3" t="s">
        <v>60</v>
      </c>
      <c r="J328" s="3" t="s">
        <v>61</v>
      </c>
      <c r="K328" s="3" t="s">
        <v>62</v>
      </c>
      <c r="L328" s="3" t="s">
        <v>63</v>
      </c>
      <c r="M328" s="3" t="s">
        <v>400</v>
      </c>
      <c r="N328" s="3" t="s">
        <v>401</v>
      </c>
      <c r="O328" s="3" t="s">
        <v>402</v>
      </c>
      <c r="P328" s="3" t="s">
        <v>403</v>
      </c>
      <c r="Q328" s="3" t="s">
        <v>404</v>
      </c>
      <c r="R328" s="3" t="s">
        <v>405</v>
      </c>
      <c r="S328" s="3" t="s">
        <v>189</v>
      </c>
      <c r="T328" s="3" t="s">
        <v>524</v>
      </c>
      <c r="U328" s="3" t="s">
        <v>54</v>
      </c>
      <c r="V328" s="3" t="s">
        <v>72</v>
      </c>
      <c r="W328" s="3" t="s">
        <v>73</v>
      </c>
      <c r="X328" s="3" t="s">
        <v>74</v>
      </c>
      <c r="Y328" s="3" t="s">
        <v>78</v>
      </c>
      <c r="Z328" s="3" t="s">
        <v>79</v>
      </c>
      <c r="AA328" s="3" t="s">
        <v>572</v>
      </c>
      <c r="AB328" s="4">
        <v>131000</v>
      </c>
      <c r="AC328" s="4">
        <v>0</v>
      </c>
      <c r="AD328" s="4">
        <v>0</v>
      </c>
      <c r="AE328" s="4">
        <v>131000</v>
      </c>
      <c r="AF328" s="4">
        <v>0</v>
      </c>
      <c r="AG328" s="4">
        <v>0</v>
      </c>
      <c r="AH328" s="4">
        <v>0</v>
      </c>
      <c r="AI328" s="4">
        <v>0</v>
      </c>
      <c r="AJ328" s="4">
        <v>0</v>
      </c>
      <c r="AK328" s="4">
        <v>0</v>
      </c>
      <c r="AL328" s="4">
        <v>0</v>
      </c>
      <c r="AM328" s="4">
        <v>0</v>
      </c>
      <c r="AN328" s="4">
        <v>0</v>
      </c>
      <c r="AO328" s="4">
        <v>0</v>
      </c>
      <c r="AP328" s="4">
        <v>0</v>
      </c>
      <c r="AQ328" s="4">
        <v>131000</v>
      </c>
      <c r="AR328" s="4">
        <v>86920</v>
      </c>
      <c r="AS328" s="4">
        <v>86920</v>
      </c>
      <c r="AT328" s="4">
        <v>0</v>
      </c>
      <c r="AU328" s="4">
        <v>0</v>
      </c>
      <c r="AV328" s="4">
        <v>0</v>
      </c>
      <c r="AW328" s="4">
        <v>0</v>
      </c>
      <c r="AX328" s="4">
        <v>44080</v>
      </c>
      <c r="AY328" s="4">
        <v>44080</v>
      </c>
    </row>
    <row r="329" spans="1:51">
      <c r="A329" s="3" t="s">
        <v>52</v>
      </c>
      <c r="B329" s="3" t="s">
        <v>53</v>
      </c>
      <c r="C329" s="3" t="s">
        <v>54</v>
      </c>
      <c r="D329" s="3" t="s">
        <v>55</v>
      </c>
      <c r="E329" s="3" t="s">
        <v>56</v>
      </c>
      <c r="F329" s="3" t="s">
        <v>57</v>
      </c>
      <c r="G329" s="3" t="s">
        <v>58</v>
      </c>
      <c r="H329" s="3" t="s">
        <v>59</v>
      </c>
      <c r="I329" s="3" t="s">
        <v>60</v>
      </c>
      <c r="J329" s="3" t="s">
        <v>61</v>
      </c>
      <c r="K329" s="3" t="s">
        <v>62</v>
      </c>
      <c r="L329" s="3" t="s">
        <v>63</v>
      </c>
      <c r="M329" s="3" t="s">
        <v>400</v>
      </c>
      <c r="N329" s="3" t="s">
        <v>401</v>
      </c>
      <c r="O329" s="3" t="s">
        <v>402</v>
      </c>
      <c r="P329" s="3" t="s">
        <v>403</v>
      </c>
      <c r="Q329" s="3" t="s">
        <v>404</v>
      </c>
      <c r="R329" s="3" t="s">
        <v>405</v>
      </c>
      <c r="S329" s="3" t="s">
        <v>189</v>
      </c>
      <c r="T329" s="3" t="s">
        <v>524</v>
      </c>
      <c r="U329" s="3" t="s">
        <v>54</v>
      </c>
      <c r="V329" s="3" t="s">
        <v>72</v>
      </c>
      <c r="W329" s="3" t="s">
        <v>73</v>
      </c>
      <c r="X329" s="3" t="s">
        <v>74</v>
      </c>
      <c r="Y329" s="3" t="s">
        <v>78</v>
      </c>
      <c r="Z329" s="3" t="s">
        <v>79</v>
      </c>
      <c r="AA329" s="3" t="s">
        <v>573</v>
      </c>
      <c r="AB329" s="4">
        <v>97000</v>
      </c>
      <c r="AC329" s="4">
        <v>0</v>
      </c>
      <c r="AD329" s="4">
        <v>0</v>
      </c>
      <c r="AE329" s="4">
        <v>97000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0</v>
      </c>
      <c r="AL329" s="4">
        <v>0</v>
      </c>
      <c r="AM329" s="4">
        <v>0</v>
      </c>
      <c r="AN329" s="4">
        <v>0</v>
      </c>
      <c r="AO329" s="4">
        <v>0</v>
      </c>
      <c r="AP329" s="4">
        <v>0</v>
      </c>
      <c r="AQ329" s="4">
        <v>97000</v>
      </c>
      <c r="AR329" s="4">
        <v>87330</v>
      </c>
      <c r="AS329" s="4">
        <v>87330</v>
      </c>
      <c r="AT329" s="4">
        <v>0</v>
      </c>
      <c r="AU329" s="4">
        <v>0</v>
      </c>
      <c r="AV329" s="4">
        <v>0</v>
      </c>
      <c r="AW329" s="4">
        <v>0</v>
      </c>
      <c r="AX329" s="4">
        <v>9670</v>
      </c>
      <c r="AY329" s="4">
        <v>9670</v>
      </c>
    </row>
    <row r="330" spans="1:51">
      <c r="A330" s="3" t="s">
        <v>52</v>
      </c>
      <c r="B330" s="3" t="s">
        <v>53</v>
      </c>
      <c r="C330" s="3" t="s">
        <v>54</v>
      </c>
      <c r="D330" s="3" t="s">
        <v>55</v>
      </c>
      <c r="E330" s="3" t="s">
        <v>56</v>
      </c>
      <c r="F330" s="3" t="s">
        <v>57</v>
      </c>
      <c r="G330" s="3" t="s">
        <v>58</v>
      </c>
      <c r="H330" s="3" t="s">
        <v>59</v>
      </c>
      <c r="I330" s="3" t="s">
        <v>60</v>
      </c>
      <c r="J330" s="3" t="s">
        <v>61</v>
      </c>
      <c r="K330" s="3" t="s">
        <v>62</v>
      </c>
      <c r="L330" s="3" t="s">
        <v>63</v>
      </c>
      <c r="M330" s="3" t="s">
        <v>400</v>
      </c>
      <c r="N330" s="3" t="s">
        <v>401</v>
      </c>
      <c r="O330" s="3" t="s">
        <v>402</v>
      </c>
      <c r="P330" s="3" t="s">
        <v>403</v>
      </c>
      <c r="Q330" s="3" t="s">
        <v>404</v>
      </c>
      <c r="R330" s="3" t="s">
        <v>405</v>
      </c>
      <c r="S330" s="3" t="s">
        <v>189</v>
      </c>
      <c r="T330" s="3" t="s">
        <v>524</v>
      </c>
      <c r="U330" s="3" t="s">
        <v>54</v>
      </c>
      <c r="V330" s="3" t="s">
        <v>72</v>
      </c>
      <c r="W330" s="3" t="s">
        <v>73</v>
      </c>
      <c r="X330" s="3" t="s">
        <v>74</v>
      </c>
      <c r="Y330" s="3" t="s">
        <v>78</v>
      </c>
      <c r="Z330" s="3" t="s">
        <v>79</v>
      </c>
      <c r="AA330" s="3" t="s">
        <v>574</v>
      </c>
      <c r="AB330" s="4">
        <v>97000</v>
      </c>
      <c r="AC330" s="4">
        <v>0</v>
      </c>
      <c r="AD330" s="4">
        <v>0</v>
      </c>
      <c r="AE330" s="4">
        <v>97000</v>
      </c>
      <c r="AF330" s="4">
        <v>0</v>
      </c>
      <c r="AG330" s="4">
        <v>0</v>
      </c>
      <c r="AH330" s="4">
        <v>0</v>
      </c>
      <c r="AI330" s="4">
        <v>0</v>
      </c>
      <c r="AJ330" s="4">
        <v>0</v>
      </c>
      <c r="AK330" s="4">
        <v>0</v>
      </c>
      <c r="AL330" s="4">
        <v>0</v>
      </c>
      <c r="AM330" s="4">
        <v>0</v>
      </c>
      <c r="AN330" s="4">
        <v>0</v>
      </c>
      <c r="AO330" s="4">
        <v>0</v>
      </c>
      <c r="AP330" s="4">
        <v>0</v>
      </c>
      <c r="AQ330" s="4">
        <v>97000</v>
      </c>
      <c r="AR330" s="4">
        <v>58630</v>
      </c>
      <c r="AS330" s="4">
        <v>58630</v>
      </c>
      <c r="AT330" s="4">
        <v>0</v>
      </c>
      <c r="AU330" s="4">
        <v>0</v>
      </c>
      <c r="AV330" s="4">
        <v>0</v>
      </c>
      <c r="AW330" s="4">
        <v>0</v>
      </c>
      <c r="AX330" s="4">
        <v>38370</v>
      </c>
      <c r="AY330" s="4">
        <v>38370</v>
      </c>
    </row>
    <row r="331" spans="1:51">
      <c r="A331" s="3" t="s">
        <v>52</v>
      </c>
      <c r="B331" s="3" t="s">
        <v>53</v>
      </c>
      <c r="C331" s="3" t="s">
        <v>54</v>
      </c>
      <c r="D331" s="3" t="s">
        <v>55</v>
      </c>
      <c r="E331" s="3" t="s">
        <v>56</v>
      </c>
      <c r="F331" s="3" t="s">
        <v>57</v>
      </c>
      <c r="G331" s="3" t="s">
        <v>58</v>
      </c>
      <c r="H331" s="3" t="s">
        <v>59</v>
      </c>
      <c r="I331" s="3" t="s">
        <v>60</v>
      </c>
      <c r="J331" s="3" t="s">
        <v>61</v>
      </c>
      <c r="K331" s="3" t="s">
        <v>62</v>
      </c>
      <c r="L331" s="3" t="s">
        <v>63</v>
      </c>
      <c r="M331" s="3" t="s">
        <v>400</v>
      </c>
      <c r="N331" s="3" t="s">
        <v>401</v>
      </c>
      <c r="O331" s="3" t="s">
        <v>402</v>
      </c>
      <c r="P331" s="3" t="s">
        <v>403</v>
      </c>
      <c r="Q331" s="3" t="s">
        <v>404</v>
      </c>
      <c r="R331" s="3" t="s">
        <v>405</v>
      </c>
      <c r="S331" s="3" t="s">
        <v>189</v>
      </c>
      <c r="T331" s="3" t="s">
        <v>524</v>
      </c>
      <c r="U331" s="3" t="s">
        <v>54</v>
      </c>
      <c r="V331" s="3" t="s">
        <v>72</v>
      </c>
      <c r="W331" s="3" t="s">
        <v>73</v>
      </c>
      <c r="X331" s="3" t="s">
        <v>74</v>
      </c>
      <c r="Y331" s="3" t="s">
        <v>78</v>
      </c>
      <c r="Z331" s="3" t="s">
        <v>79</v>
      </c>
      <c r="AA331" s="3" t="s">
        <v>575</v>
      </c>
      <c r="AB331" s="4">
        <v>177000</v>
      </c>
      <c r="AC331" s="4">
        <v>0</v>
      </c>
      <c r="AD331" s="4">
        <v>0</v>
      </c>
      <c r="AE331" s="4">
        <v>177000</v>
      </c>
      <c r="AF331" s="4">
        <v>0</v>
      </c>
      <c r="AG331" s="4">
        <v>0</v>
      </c>
      <c r="AH331" s="4">
        <v>0</v>
      </c>
      <c r="AI331" s="4">
        <v>0</v>
      </c>
      <c r="AJ331" s="4">
        <v>0</v>
      </c>
      <c r="AK331" s="4">
        <v>0</v>
      </c>
      <c r="AL331" s="4">
        <v>0</v>
      </c>
      <c r="AM331" s="4">
        <v>0</v>
      </c>
      <c r="AN331" s="4">
        <v>0</v>
      </c>
      <c r="AO331" s="4">
        <v>0</v>
      </c>
      <c r="AP331" s="4">
        <v>0</v>
      </c>
      <c r="AQ331" s="4">
        <v>177000</v>
      </c>
      <c r="AR331" s="4">
        <v>135300</v>
      </c>
      <c r="AS331" s="4">
        <v>135300</v>
      </c>
      <c r="AT331" s="4">
        <v>0</v>
      </c>
      <c r="AU331" s="4">
        <v>0</v>
      </c>
      <c r="AV331" s="4">
        <v>0</v>
      </c>
      <c r="AW331" s="4">
        <v>0</v>
      </c>
      <c r="AX331" s="4">
        <v>41700</v>
      </c>
      <c r="AY331" s="4">
        <v>41700</v>
      </c>
    </row>
    <row r="332" spans="1:51">
      <c r="A332" s="3" t="s">
        <v>52</v>
      </c>
      <c r="B332" s="3" t="s">
        <v>53</v>
      </c>
      <c r="C332" s="3" t="s">
        <v>54</v>
      </c>
      <c r="D332" s="3" t="s">
        <v>55</v>
      </c>
      <c r="E332" s="3" t="s">
        <v>56</v>
      </c>
      <c r="F332" s="3" t="s">
        <v>57</v>
      </c>
      <c r="G332" s="3" t="s">
        <v>58</v>
      </c>
      <c r="H332" s="3" t="s">
        <v>59</v>
      </c>
      <c r="I332" s="3" t="s">
        <v>60</v>
      </c>
      <c r="J332" s="3" t="s">
        <v>61</v>
      </c>
      <c r="K332" s="3" t="s">
        <v>62</v>
      </c>
      <c r="L332" s="3" t="s">
        <v>63</v>
      </c>
      <c r="M332" s="3" t="s">
        <v>400</v>
      </c>
      <c r="N332" s="3" t="s">
        <v>401</v>
      </c>
      <c r="O332" s="3" t="s">
        <v>402</v>
      </c>
      <c r="P332" s="3" t="s">
        <v>403</v>
      </c>
      <c r="Q332" s="3" t="s">
        <v>404</v>
      </c>
      <c r="R332" s="3" t="s">
        <v>405</v>
      </c>
      <c r="S332" s="3" t="s">
        <v>189</v>
      </c>
      <c r="T332" s="3" t="s">
        <v>524</v>
      </c>
      <c r="U332" s="3" t="s">
        <v>54</v>
      </c>
      <c r="V332" s="3" t="s">
        <v>72</v>
      </c>
      <c r="W332" s="3" t="s">
        <v>73</v>
      </c>
      <c r="X332" s="3" t="s">
        <v>74</v>
      </c>
      <c r="Y332" s="3" t="s">
        <v>78</v>
      </c>
      <c r="Z332" s="3" t="s">
        <v>79</v>
      </c>
      <c r="AA332" s="3" t="s">
        <v>576</v>
      </c>
      <c r="AB332" s="4">
        <v>99000</v>
      </c>
      <c r="AC332" s="4">
        <v>0</v>
      </c>
      <c r="AD332" s="4">
        <v>0</v>
      </c>
      <c r="AE332" s="4">
        <v>99000</v>
      </c>
      <c r="AF332" s="4">
        <v>0</v>
      </c>
      <c r="AG332" s="4">
        <v>0</v>
      </c>
      <c r="AH332" s="4">
        <v>0</v>
      </c>
      <c r="AI332" s="4">
        <v>0</v>
      </c>
      <c r="AJ332" s="4">
        <v>0</v>
      </c>
      <c r="AK332" s="4">
        <v>0</v>
      </c>
      <c r="AL332" s="4">
        <v>0</v>
      </c>
      <c r="AM332" s="4">
        <v>0</v>
      </c>
      <c r="AN332" s="4">
        <v>0</v>
      </c>
      <c r="AO332" s="4">
        <v>0</v>
      </c>
      <c r="AP332" s="4">
        <v>0</v>
      </c>
      <c r="AQ332" s="4">
        <v>99000</v>
      </c>
      <c r="AR332" s="4">
        <v>69700</v>
      </c>
      <c r="AS332" s="4">
        <v>69700</v>
      </c>
      <c r="AT332" s="4">
        <v>0</v>
      </c>
      <c r="AU332" s="4">
        <v>0</v>
      </c>
      <c r="AV332" s="4">
        <v>0</v>
      </c>
      <c r="AW332" s="4">
        <v>0</v>
      </c>
      <c r="AX332" s="4">
        <v>29300</v>
      </c>
      <c r="AY332" s="4">
        <v>29300</v>
      </c>
    </row>
    <row r="333" spans="1:51">
      <c r="A333" s="3" t="s">
        <v>52</v>
      </c>
      <c r="B333" s="3" t="s">
        <v>53</v>
      </c>
      <c r="C333" s="3" t="s">
        <v>54</v>
      </c>
      <c r="D333" s="3" t="s">
        <v>55</v>
      </c>
      <c r="E333" s="3" t="s">
        <v>56</v>
      </c>
      <c r="F333" s="3" t="s">
        <v>57</v>
      </c>
      <c r="G333" s="3" t="s">
        <v>58</v>
      </c>
      <c r="H333" s="3" t="s">
        <v>59</v>
      </c>
      <c r="I333" s="3" t="s">
        <v>60</v>
      </c>
      <c r="J333" s="3" t="s">
        <v>61</v>
      </c>
      <c r="K333" s="3" t="s">
        <v>62</v>
      </c>
      <c r="L333" s="3" t="s">
        <v>63</v>
      </c>
      <c r="M333" s="3" t="s">
        <v>400</v>
      </c>
      <c r="N333" s="3" t="s">
        <v>401</v>
      </c>
      <c r="O333" s="3" t="s">
        <v>402</v>
      </c>
      <c r="P333" s="3" t="s">
        <v>403</v>
      </c>
      <c r="Q333" s="3" t="s">
        <v>404</v>
      </c>
      <c r="R333" s="3" t="s">
        <v>405</v>
      </c>
      <c r="S333" s="3" t="s">
        <v>189</v>
      </c>
      <c r="T333" s="3" t="s">
        <v>524</v>
      </c>
      <c r="U333" s="3" t="s">
        <v>54</v>
      </c>
      <c r="V333" s="3" t="s">
        <v>72</v>
      </c>
      <c r="W333" s="3" t="s">
        <v>73</v>
      </c>
      <c r="X333" s="3" t="s">
        <v>74</v>
      </c>
      <c r="Y333" s="3" t="s">
        <v>78</v>
      </c>
      <c r="Z333" s="3" t="s">
        <v>79</v>
      </c>
      <c r="AA333" s="3" t="s">
        <v>577</v>
      </c>
      <c r="AB333" s="4">
        <v>127000</v>
      </c>
      <c r="AC333" s="4">
        <v>0</v>
      </c>
      <c r="AD333" s="4">
        <v>0</v>
      </c>
      <c r="AE333" s="4">
        <v>127000</v>
      </c>
      <c r="AF333" s="4">
        <v>0</v>
      </c>
      <c r="AG333" s="4">
        <v>0</v>
      </c>
      <c r="AH333" s="4">
        <v>0</v>
      </c>
      <c r="AI333" s="4">
        <v>0</v>
      </c>
      <c r="AJ333" s="4">
        <v>0</v>
      </c>
      <c r="AK333" s="4">
        <v>0</v>
      </c>
      <c r="AL333" s="4">
        <v>0</v>
      </c>
      <c r="AM333" s="4">
        <v>0</v>
      </c>
      <c r="AN333" s="4">
        <v>0</v>
      </c>
      <c r="AO333" s="4">
        <v>0</v>
      </c>
      <c r="AP333" s="4">
        <v>0</v>
      </c>
      <c r="AQ333" s="4">
        <v>127000</v>
      </c>
      <c r="AR333" s="4">
        <v>71340</v>
      </c>
      <c r="AS333" s="4">
        <v>71340</v>
      </c>
      <c r="AT333" s="4">
        <v>0</v>
      </c>
      <c r="AU333" s="4">
        <v>0</v>
      </c>
      <c r="AV333" s="4">
        <v>0</v>
      </c>
      <c r="AW333" s="4">
        <v>0</v>
      </c>
      <c r="AX333" s="4">
        <v>55660</v>
      </c>
      <c r="AY333" s="4">
        <v>55660</v>
      </c>
    </row>
    <row r="334" spans="1:51">
      <c r="A334" s="3" t="s">
        <v>52</v>
      </c>
      <c r="B334" s="3" t="s">
        <v>53</v>
      </c>
      <c r="C334" s="3" t="s">
        <v>54</v>
      </c>
      <c r="D334" s="3" t="s">
        <v>55</v>
      </c>
      <c r="E334" s="3" t="s">
        <v>56</v>
      </c>
      <c r="F334" s="3" t="s">
        <v>57</v>
      </c>
      <c r="G334" s="3" t="s">
        <v>58</v>
      </c>
      <c r="H334" s="3" t="s">
        <v>59</v>
      </c>
      <c r="I334" s="3" t="s">
        <v>60</v>
      </c>
      <c r="J334" s="3" t="s">
        <v>61</v>
      </c>
      <c r="K334" s="3" t="s">
        <v>62</v>
      </c>
      <c r="L334" s="3" t="s">
        <v>63</v>
      </c>
      <c r="M334" s="3" t="s">
        <v>400</v>
      </c>
      <c r="N334" s="3" t="s">
        <v>401</v>
      </c>
      <c r="O334" s="3" t="s">
        <v>402</v>
      </c>
      <c r="P334" s="3" t="s">
        <v>403</v>
      </c>
      <c r="Q334" s="3" t="s">
        <v>404</v>
      </c>
      <c r="R334" s="3" t="s">
        <v>405</v>
      </c>
      <c r="S334" s="3" t="s">
        <v>189</v>
      </c>
      <c r="T334" s="3" t="s">
        <v>524</v>
      </c>
      <c r="U334" s="3" t="s">
        <v>54</v>
      </c>
      <c r="V334" s="3" t="s">
        <v>72</v>
      </c>
      <c r="W334" s="3" t="s">
        <v>73</v>
      </c>
      <c r="X334" s="3" t="s">
        <v>74</v>
      </c>
      <c r="Y334" s="3" t="s">
        <v>78</v>
      </c>
      <c r="Z334" s="3" t="s">
        <v>79</v>
      </c>
      <c r="AA334" s="3" t="s">
        <v>578</v>
      </c>
      <c r="AB334" s="4">
        <v>159000</v>
      </c>
      <c r="AC334" s="4">
        <v>0</v>
      </c>
      <c r="AD334" s="4">
        <v>0</v>
      </c>
      <c r="AE334" s="4">
        <v>159000</v>
      </c>
      <c r="AF334" s="4">
        <v>0</v>
      </c>
      <c r="AG334" s="4">
        <v>0</v>
      </c>
      <c r="AH334" s="4">
        <v>0</v>
      </c>
      <c r="AI334" s="4">
        <v>0</v>
      </c>
      <c r="AJ334" s="4">
        <v>0</v>
      </c>
      <c r="AK334" s="4">
        <v>0</v>
      </c>
      <c r="AL334" s="4">
        <v>0</v>
      </c>
      <c r="AM334" s="4">
        <v>0</v>
      </c>
      <c r="AN334" s="4">
        <v>0</v>
      </c>
      <c r="AO334" s="4">
        <v>0</v>
      </c>
      <c r="AP334" s="4">
        <v>0</v>
      </c>
      <c r="AQ334" s="4">
        <v>159000</v>
      </c>
      <c r="AR334" s="4">
        <v>98480</v>
      </c>
      <c r="AS334" s="4">
        <v>98480</v>
      </c>
      <c r="AT334" s="4">
        <v>0</v>
      </c>
      <c r="AU334" s="4">
        <v>0</v>
      </c>
      <c r="AV334" s="4">
        <v>0</v>
      </c>
      <c r="AW334" s="4">
        <v>0</v>
      </c>
      <c r="AX334" s="4">
        <v>60520</v>
      </c>
      <c r="AY334" s="4">
        <v>60520</v>
      </c>
    </row>
    <row r="335" spans="1:51">
      <c r="A335" s="3" t="s">
        <v>52</v>
      </c>
      <c r="B335" s="3" t="s">
        <v>53</v>
      </c>
      <c r="C335" s="3" t="s">
        <v>54</v>
      </c>
      <c r="D335" s="3" t="s">
        <v>55</v>
      </c>
      <c r="E335" s="3" t="s">
        <v>56</v>
      </c>
      <c r="F335" s="3" t="s">
        <v>57</v>
      </c>
      <c r="G335" s="3" t="s">
        <v>58</v>
      </c>
      <c r="H335" s="3" t="s">
        <v>59</v>
      </c>
      <c r="I335" s="3" t="s">
        <v>60</v>
      </c>
      <c r="J335" s="3" t="s">
        <v>61</v>
      </c>
      <c r="K335" s="3" t="s">
        <v>62</v>
      </c>
      <c r="L335" s="3" t="s">
        <v>63</v>
      </c>
      <c r="M335" s="3" t="s">
        <v>400</v>
      </c>
      <c r="N335" s="3" t="s">
        <v>401</v>
      </c>
      <c r="O335" s="3" t="s">
        <v>402</v>
      </c>
      <c r="P335" s="3" t="s">
        <v>403</v>
      </c>
      <c r="Q335" s="3" t="s">
        <v>404</v>
      </c>
      <c r="R335" s="3" t="s">
        <v>405</v>
      </c>
      <c r="S335" s="3" t="s">
        <v>189</v>
      </c>
      <c r="T335" s="3" t="s">
        <v>524</v>
      </c>
      <c r="U335" s="3" t="s">
        <v>54</v>
      </c>
      <c r="V335" s="3" t="s">
        <v>72</v>
      </c>
      <c r="W335" s="3" t="s">
        <v>73</v>
      </c>
      <c r="X335" s="3" t="s">
        <v>74</v>
      </c>
      <c r="Y335" s="3" t="s">
        <v>78</v>
      </c>
      <c r="Z335" s="3" t="s">
        <v>79</v>
      </c>
      <c r="AA335" s="3" t="s">
        <v>579</v>
      </c>
      <c r="AB335" s="4">
        <v>93000</v>
      </c>
      <c r="AC335" s="4">
        <v>-93000</v>
      </c>
      <c r="AD335" s="4">
        <v>0</v>
      </c>
      <c r="AE335" s="4">
        <v>0</v>
      </c>
      <c r="AF335" s="4">
        <v>0</v>
      </c>
      <c r="AG335" s="4">
        <v>0</v>
      </c>
      <c r="AH335" s="4">
        <v>0</v>
      </c>
      <c r="AI335" s="4">
        <v>0</v>
      </c>
      <c r="AJ335" s="4">
        <v>0</v>
      </c>
      <c r="AK335" s="4">
        <v>0</v>
      </c>
      <c r="AL335" s="4">
        <v>0</v>
      </c>
      <c r="AM335" s="4">
        <v>0</v>
      </c>
      <c r="AN335" s="4">
        <v>0</v>
      </c>
      <c r="AO335" s="4">
        <v>0</v>
      </c>
      <c r="AP335" s="4">
        <v>0</v>
      </c>
      <c r="AQ335" s="4">
        <v>0</v>
      </c>
      <c r="AR335" s="4">
        <v>0</v>
      </c>
      <c r="AS335" s="4">
        <v>0</v>
      </c>
      <c r="AT335" s="4">
        <v>0</v>
      </c>
      <c r="AU335" s="4">
        <v>0</v>
      </c>
      <c r="AV335" s="4">
        <v>0</v>
      </c>
      <c r="AW335" s="4">
        <v>0</v>
      </c>
      <c r="AX335" s="4">
        <v>0</v>
      </c>
      <c r="AY335" s="4">
        <v>0</v>
      </c>
    </row>
    <row r="336" spans="1:51">
      <c r="A336" s="3" t="s">
        <v>52</v>
      </c>
      <c r="B336" s="3" t="s">
        <v>53</v>
      </c>
      <c r="C336" s="3" t="s">
        <v>54</v>
      </c>
      <c r="D336" s="3" t="s">
        <v>55</v>
      </c>
      <c r="E336" s="3" t="s">
        <v>56</v>
      </c>
      <c r="F336" s="3" t="s">
        <v>57</v>
      </c>
      <c r="G336" s="3" t="s">
        <v>58</v>
      </c>
      <c r="H336" s="3" t="s">
        <v>59</v>
      </c>
      <c r="I336" s="3" t="s">
        <v>60</v>
      </c>
      <c r="J336" s="3" t="s">
        <v>61</v>
      </c>
      <c r="K336" s="3" t="s">
        <v>62</v>
      </c>
      <c r="L336" s="3" t="s">
        <v>63</v>
      </c>
      <c r="M336" s="3" t="s">
        <v>400</v>
      </c>
      <c r="N336" s="3" t="s">
        <v>401</v>
      </c>
      <c r="O336" s="3" t="s">
        <v>402</v>
      </c>
      <c r="P336" s="3" t="s">
        <v>403</v>
      </c>
      <c r="Q336" s="3" t="s">
        <v>404</v>
      </c>
      <c r="R336" s="3" t="s">
        <v>405</v>
      </c>
      <c r="S336" s="3" t="s">
        <v>189</v>
      </c>
      <c r="T336" s="3" t="s">
        <v>524</v>
      </c>
      <c r="U336" s="3" t="s">
        <v>54</v>
      </c>
      <c r="V336" s="3" t="s">
        <v>72</v>
      </c>
      <c r="W336" s="3" t="s">
        <v>73</v>
      </c>
      <c r="X336" s="3" t="s">
        <v>74</v>
      </c>
      <c r="Y336" s="3" t="s">
        <v>78</v>
      </c>
      <c r="Z336" s="3" t="s">
        <v>79</v>
      </c>
      <c r="AA336" s="3" t="s">
        <v>580</v>
      </c>
      <c r="AB336" s="4">
        <v>185000</v>
      </c>
      <c r="AC336" s="4">
        <v>0</v>
      </c>
      <c r="AD336" s="4">
        <v>0</v>
      </c>
      <c r="AE336" s="4">
        <v>185000</v>
      </c>
      <c r="AF336" s="4">
        <v>0</v>
      </c>
      <c r="AG336" s="4">
        <v>0</v>
      </c>
      <c r="AH336" s="4">
        <v>0</v>
      </c>
      <c r="AI336" s="4">
        <v>0</v>
      </c>
      <c r="AJ336" s="4">
        <v>0</v>
      </c>
      <c r="AK336" s="4">
        <v>0</v>
      </c>
      <c r="AL336" s="4">
        <v>0</v>
      </c>
      <c r="AM336" s="4">
        <v>0</v>
      </c>
      <c r="AN336" s="4">
        <v>0</v>
      </c>
      <c r="AO336" s="4">
        <v>0</v>
      </c>
      <c r="AP336" s="4">
        <v>0</v>
      </c>
      <c r="AQ336" s="4">
        <v>185000</v>
      </c>
      <c r="AR336" s="4">
        <v>146800</v>
      </c>
      <c r="AS336" s="4">
        <v>146800</v>
      </c>
      <c r="AT336" s="4">
        <v>0</v>
      </c>
      <c r="AU336" s="4">
        <v>0</v>
      </c>
      <c r="AV336" s="4">
        <v>0</v>
      </c>
      <c r="AW336" s="4">
        <v>0</v>
      </c>
      <c r="AX336" s="4">
        <v>38200</v>
      </c>
      <c r="AY336" s="4">
        <v>38200</v>
      </c>
    </row>
    <row r="337" spans="1:51">
      <c r="A337" s="3" t="s">
        <v>52</v>
      </c>
      <c r="B337" s="3" t="s">
        <v>53</v>
      </c>
      <c r="C337" s="3" t="s">
        <v>54</v>
      </c>
      <c r="D337" s="3" t="s">
        <v>55</v>
      </c>
      <c r="E337" s="3" t="s">
        <v>56</v>
      </c>
      <c r="F337" s="3" t="s">
        <v>57</v>
      </c>
      <c r="G337" s="3" t="s">
        <v>58</v>
      </c>
      <c r="H337" s="3" t="s">
        <v>59</v>
      </c>
      <c r="I337" s="3" t="s">
        <v>60</v>
      </c>
      <c r="J337" s="3" t="s">
        <v>61</v>
      </c>
      <c r="K337" s="3" t="s">
        <v>62</v>
      </c>
      <c r="L337" s="3" t="s">
        <v>63</v>
      </c>
      <c r="M337" s="3" t="s">
        <v>400</v>
      </c>
      <c r="N337" s="3" t="s">
        <v>401</v>
      </c>
      <c r="O337" s="3" t="s">
        <v>402</v>
      </c>
      <c r="P337" s="3" t="s">
        <v>403</v>
      </c>
      <c r="Q337" s="3" t="s">
        <v>404</v>
      </c>
      <c r="R337" s="3" t="s">
        <v>405</v>
      </c>
      <c r="S337" s="3" t="s">
        <v>189</v>
      </c>
      <c r="T337" s="3" t="s">
        <v>524</v>
      </c>
      <c r="U337" s="3" t="s">
        <v>54</v>
      </c>
      <c r="V337" s="3" t="s">
        <v>72</v>
      </c>
      <c r="W337" s="3" t="s">
        <v>73</v>
      </c>
      <c r="X337" s="3" t="s">
        <v>74</v>
      </c>
      <c r="Y337" s="3" t="s">
        <v>78</v>
      </c>
      <c r="Z337" s="3" t="s">
        <v>79</v>
      </c>
      <c r="AA337" s="3" t="s">
        <v>581</v>
      </c>
      <c r="AB337" s="4">
        <v>439000</v>
      </c>
      <c r="AC337" s="4">
        <v>0</v>
      </c>
      <c r="AD337" s="4">
        <v>0</v>
      </c>
      <c r="AE337" s="4">
        <v>439000</v>
      </c>
      <c r="AF337" s="4">
        <v>0</v>
      </c>
      <c r="AG337" s="4">
        <v>0</v>
      </c>
      <c r="AH337" s="4">
        <v>0</v>
      </c>
      <c r="AI337" s="4">
        <v>0</v>
      </c>
      <c r="AJ337" s="4">
        <v>0</v>
      </c>
      <c r="AK337" s="4">
        <v>0</v>
      </c>
      <c r="AL337" s="4">
        <v>0</v>
      </c>
      <c r="AM337" s="4">
        <v>0</v>
      </c>
      <c r="AN337" s="4">
        <v>0</v>
      </c>
      <c r="AO337" s="4">
        <v>0</v>
      </c>
      <c r="AP337" s="4">
        <v>0</v>
      </c>
      <c r="AQ337" s="4">
        <v>439000</v>
      </c>
      <c r="AR337" s="4">
        <v>278820</v>
      </c>
      <c r="AS337" s="4">
        <v>278820</v>
      </c>
      <c r="AT337" s="4">
        <v>0</v>
      </c>
      <c r="AU337" s="4">
        <v>0</v>
      </c>
      <c r="AV337" s="4">
        <v>0</v>
      </c>
      <c r="AW337" s="4">
        <v>0</v>
      </c>
      <c r="AX337" s="4">
        <v>160180</v>
      </c>
      <c r="AY337" s="4">
        <v>160180</v>
      </c>
    </row>
    <row r="338" spans="1:51">
      <c r="A338" s="3" t="s">
        <v>52</v>
      </c>
      <c r="B338" s="3" t="s">
        <v>53</v>
      </c>
      <c r="C338" s="3" t="s">
        <v>54</v>
      </c>
      <c r="D338" s="3" t="s">
        <v>55</v>
      </c>
      <c r="E338" s="3" t="s">
        <v>56</v>
      </c>
      <c r="F338" s="3" t="s">
        <v>57</v>
      </c>
      <c r="G338" s="3" t="s">
        <v>58</v>
      </c>
      <c r="H338" s="3" t="s">
        <v>59</v>
      </c>
      <c r="I338" s="3" t="s">
        <v>60</v>
      </c>
      <c r="J338" s="3" t="s">
        <v>61</v>
      </c>
      <c r="K338" s="3" t="s">
        <v>62</v>
      </c>
      <c r="L338" s="3" t="s">
        <v>63</v>
      </c>
      <c r="M338" s="3" t="s">
        <v>400</v>
      </c>
      <c r="N338" s="3" t="s">
        <v>401</v>
      </c>
      <c r="O338" s="3" t="s">
        <v>402</v>
      </c>
      <c r="P338" s="3" t="s">
        <v>403</v>
      </c>
      <c r="Q338" s="3" t="s">
        <v>404</v>
      </c>
      <c r="R338" s="3" t="s">
        <v>405</v>
      </c>
      <c r="S338" s="3" t="s">
        <v>189</v>
      </c>
      <c r="T338" s="3" t="s">
        <v>524</v>
      </c>
      <c r="U338" s="3" t="s">
        <v>54</v>
      </c>
      <c r="V338" s="3" t="s">
        <v>72</v>
      </c>
      <c r="W338" s="3" t="s">
        <v>73</v>
      </c>
      <c r="X338" s="3" t="s">
        <v>74</v>
      </c>
      <c r="Y338" s="3" t="s">
        <v>78</v>
      </c>
      <c r="Z338" s="3" t="s">
        <v>79</v>
      </c>
      <c r="AA338" s="3" t="s">
        <v>582</v>
      </c>
      <c r="AB338" s="4">
        <v>66000</v>
      </c>
      <c r="AC338" s="4">
        <v>0</v>
      </c>
      <c r="AD338" s="4">
        <v>25000</v>
      </c>
      <c r="AE338" s="4">
        <v>91000</v>
      </c>
      <c r="AF338" s="4">
        <v>0</v>
      </c>
      <c r="AG338" s="4">
        <v>0</v>
      </c>
      <c r="AH338" s="4">
        <v>0</v>
      </c>
      <c r="AI338" s="4">
        <v>0</v>
      </c>
      <c r="AJ338" s="4">
        <v>0</v>
      </c>
      <c r="AK338" s="4">
        <v>0</v>
      </c>
      <c r="AL338" s="4">
        <v>0</v>
      </c>
      <c r="AM338" s="4">
        <v>0</v>
      </c>
      <c r="AN338" s="4">
        <v>0</v>
      </c>
      <c r="AO338" s="4">
        <v>0</v>
      </c>
      <c r="AP338" s="4">
        <v>0</v>
      </c>
      <c r="AQ338" s="4">
        <v>91000</v>
      </c>
      <c r="AR338" s="4">
        <v>90200</v>
      </c>
      <c r="AS338" s="4">
        <v>90200</v>
      </c>
      <c r="AT338" s="4">
        <v>0</v>
      </c>
      <c r="AU338" s="4">
        <v>0</v>
      </c>
      <c r="AV338" s="4">
        <v>0</v>
      </c>
      <c r="AW338" s="4">
        <v>0</v>
      </c>
      <c r="AX338" s="4">
        <v>800</v>
      </c>
      <c r="AY338" s="4">
        <v>800</v>
      </c>
    </row>
    <row r="339" spans="1:51">
      <c r="A339" s="3" t="s">
        <v>52</v>
      </c>
      <c r="B339" s="3" t="s">
        <v>53</v>
      </c>
      <c r="C339" s="3" t="s">
        <v>54</v>
      </c>
      <c r="D339" s="3" t="s">
        <v>55</v>
      </c>
      <c r="E339" s="3" t="s">
        <v>56</v>
      </c>
      <c r="F339" s="3" t="s">
        <v>57</v>
      </c>
      <c r="G339" s="3" t="s">
        <v>58</v>
      </c>
      <c r="H339" s="3" t="s">
        <v>59</v>
      </c>
      <c r="I339" s="3" t="s">
        <v>60</v>
      </c>
      <c r="J339" s="3" t="s">
        <v>61</v>
      </c>
      <c r="K339" s="3" t="s">
        <v>62</v>
      </c>
      <c r="L339" s="3" t="s">
        <v>63</v>
      </c>
      <c r="M339" s="3" t="s">
        <v>400</v>
      </c>
      <c r="N339" s="3" t="s">
        <v>401</v>
      </c>
      <c r="O339" s="3" t="s">
        <v>402</v>
      </c>
      <c r="P339" s="3" t="s">
        <v>403</v>
      </c>
      <c r="Q339" s="3" t="s">
        <v>404</v>
      </c>
      <c r="R339" s="3" t="s">
        <v>405</v>
      </c>
      <c r="S339" s="3" t="s">
        <v>189</v>
      </c>
      <c r="T339" s="3" t="s">
        <v>524</v>
      </c>
      <c r="U339" s="3" t="s">
        <v>54</v>
      </c>
      <c r="V339" s="3" t="s">
        <v>72</v>
      </c>
      <c r="W339" s="3" t="s">
        <v>73</v>
      </c>
      <c r="X339" s="3" t="s">
        <v>74</v>
      </c>
      <c r="Y339" s="3" t="s">
        <v>78</v>
      </c>
      <c r="Z339" s="3" t="s">
        <v>79</v>
      </c>
      <c r="AA339" s="3" t="s">
        <v>583</v>
      </c>
      <c r="AB339" s="4">
        <v>0</v>
      </c>
      <c r="AC339" s="4">
        <v>200000</v>
      </c>
      <c r="AD339" s="4">
        <v>0</v>
      </c>
      <c r="AE339" s="4">
        <v>200000</v>
      </c>
      <c r="AF339" s="4">
        <v>0</v>
      </c>
      <c r="AG339" s="4">
        <v>0</v>
      </c>
      <c r="AH339" s="4">
        <v>0</v>
      </c>
      <c r="AI339" s="4">
        <v>0</v>
      </c>
      <c r="AJ339" s="4">
        <v>0</v>
      </c>
      <c r="AK339" s="4">
        <v>0</v>
      </c>
      <c r="AL339" s="4">
        <v>0</v>
      </c>
      <c r="AM339" s="4">
        <v>0</v>
      </c>
      <c r="AN339" s="4">
        <v>0</v>
      </c>
      <c r="AO339" s="4">
        <v>0</v>
      </c>
      <c r="AP339" s="4">
        <v>0</v>
      </c>
      <c r="AQ339" s="4">
        <v>200000</v>
      </c>
      <c r="AR339" s="4">
        <v>123000</v>
      </c>
      <c r="AS339" s="4">
        <v>123000</v>
      </c>
      <c r="AT339" s="4">
        <v>0</v>
      </c>
      <c r="AU339" s="4">
        <v>0</v>
      </c>
      <c r="AV339" s="4">
        <v>0</v>
      </c>
      <c r="AW339" s="4">
        <v>0</v>
      </c>
      <c r="AX339" s="4">
        <v>77000</v>
      </c>
      <c r="AY339" s="4">
        <v>77000</v>
      </c>
    </row>
    <row r="340" spans="1:51">
      <c r="A340" s="3" t="s">
        <v>52</v>
      </c>
      <c r="B340" s="3" t="s">
        <v>53</v>
      </c>
      <c r="C340" s="3" t="s">
        <v>54</v>
      </c>
      <c r="D340" s="3" t="s">
        <v>55</v>
      </c>
      <c r="E340" s="3" t="s">
        <v>56</v>
      </c>
      <c r="F340" s="3" t="s">
        <v>57</v>
      </c>
      <c r="G340" s="3" t="s">
        <v>58</v>
      </c>
      <c r="H340" s="3" t="s">
        <v>59</v>
      </c>
      <c r="I340" s="3" t="s">
        <v>60</v>
      </c>
      <c r="J340" s="3" t="s">
        <v>61</v>
      </c>
      <c r="K340" s="3" t="s">
        <v>62</v>
      </c>
      <c r="L340" s="3" t="s">
        <v>63</v>
      </c>
      <c r="M340" s="3" t="s">
        <v>400</v>
      </c>
      <c r="N340" s="3" t="s">
        <v>401</v>
      </c>
      <c r="O340" s="3" t="s">
        <v>402</v>
      </c>
      <c r="P340" s="3" t="s">
        <v>403</v>
      </c>
      <c r="Q340" s="3" t="s">
        <v>404</v>
      </c>
      <c r="R340" s="3" t="s">
        <v>405</v>
      </c>
      <c r="S340" s="3" t="s">
        <v>189</v>
      </c>
      <c r="T340" s="3" t="s">
        <v>524</v>
      </c>
      <c r="U340" s="3" t="s">
        <v>54</v>
      </c>
      <c r="V340" s="3" t="s">
        <v>72</v>
      </c>
      <c r="W340" s="3" t="s">
        <v>73</v>
      </c>
      <c r="X340" s="3" t="s">
        <v>74</v>
      </c>
      <c r="Y340" s="3" t="s">
        <v>78</v>
      </c>
      <c r="Z340" s="3" t="s">
        <v>79</v>
      </c>
      <c r="AA340" s="3" t="s">
        <v>584</v>
      </c>
      <c r="AB340" s="4">
        <v>0</v>
      </c>
      <c r="AC340" s="4">
        <v>200000</v>
      </c>
      <c r="AD340" s="4">
        <v>0</v>
      </c>
      <c r="AE340" s="4">
        <v>200000</v>
      </c>
      <c r="AF340" s="4">
        <v>0</v>
      </c>
      <c r="AG340" s="4">
        <v>0</v>
      </c>
      <c r="AH340" s="4">
        <v>0</v>
      </c>
      <c r="AI340" s="4">
        <v>0</v>
      </c>
      <c r="AJ340" s="4">
        <v>0</v>
      </c>
      <c r="AK340" s="4">
        <v>0</v>
      </c>
      <c r="AL340" s="4">
        <v>0</v>
      </c>
      <c r="AM340" s="4">
        <v>0</v>
      </c>
      <c r="AN340" s="4">
        <v>0</v>
      </c>
      <c r="AO340" s="4">
        <v>0</v>
      </c>
      <c r="AP340" s="4">
        <v>0</v>
      </c>
      <c r="AQ340" s="4">
        <v>200000</v>
      </c>
      <c r="AR340" s="4">
        <v>61500</v>
      </c>
      <c r="AS340" s="4">
        <v>61500</v>
      </c>
      <c r="AT340" s="4">
        <v>0</v>
      </c>
      <c r="AU340" s="4">
        <v>0</v>
      </c>
      <c r="AV340" s="4">
        <v>0</v>
      </c>
      <c r="AW340" s="4">
        <v>0</v>
      </c>
      <c r="AX340" s="4">
        <v>138500</v>
      </c>
      <c r="AY340" s="4">
        <v>138500</v>
      </c>
    </row>
    <row r="341" spans="1:51">
      <c r="A341" s="3" t="s">
        <v>52</v>
      </c>
      <c r="B341" s="3" t="s">
        <v>53</v>
      </c>
      <c r="C341" s="3" t="s">
        <v>54</v>
      </c>
      <c r="D341" s="3" t="s">
        <v>55</v>
      </c>
      <c r="E341" s="3" t="s">
        <v>56</v>
      </c>
      <c r="F341" s="3" t="s">
        <v>57</v>
      </c>
      <c r="G341" s="3" t="s">
        <v>58</v>
      </c>
      <c r="H341" s="3" t="s">
        <v>59</v>
      </c>
      <c r="I341" s="3" t="s">
        <v>60</v>
      </c>
      <c r="J341" s="3" t="s">
        <v>61</v>
      </c>
      <c r="K341" s="3" t="s">
        <v>62</v>
      </c>
      <c r="L341" s="3" t="s">
        <v>63</v>
      </c>
      <c r="M341" s="3" t="s">
        <v>400</v>
      </c>
      <c r="N341" s="3" t="s">
        <v>401</v>
      </c>
      <c r="O341" s="3" t="s">
        <v>402</v>
      </c>
      <c r="P341" s="3" t="s">
        <v>403</v>
      </c>
      <c r="Q341" s="3" t="s">
        <v>404</v>
      </c>
      <c r="R341" s="3" t="s">
        <v>405</v>
      </c>
      <c r="S341" s="3" t="s">
        <v>189</v>
      </c>
      <c r="T341" s="3" t="s">
        <v>524</v>
      </c>
      <c r="U341" s="3" t="s">
        <v>54</v>
      </c>
      <c r="V341" s="3" t="s">
        <v>72</v>
      </c>
      <c r="W341" s="3" t="s">
        <v>73</v>
      </c>
      <c r="X341" s="3" t="s">
        <v>74</v>
      </c>
      <c r="Y341" s="3" t="s">
        <v>78</v>
      </c>
      <c r="Z341" s="3" t="s">
        <v>79</v>
      </c>
      <c r="AA341" s="3" t="s">
        <v>585</v>
      </c>
      <c r="AB341" s="4">
        <v>0</v>
      </c>
      <c r="AC341" s="4">
        <v>200000</v>
      </c>
      <c r="AD341" s="4">
        <v>0</v>
      </c>
      <c r="AE341" s="4">
        <v>200000</v>
      </c>
      <c r="AF341" s="4">
        <v>0</v>
      </c>
      <c r="AG341" s="4">
        <v>0</v>
      </c>
      <c r="AH341" s="4">
        <v>0</v>
      </c>
      <c r="AI341" s="4">
        <v>0</v>
      </c>
      <c r="AJ341" s="4">
        <v>0</v>
      </c>
      <c r="AK341" s="4">
        <v>0</v>
      </c>
      <c r="AL341" s="4">
        <v>0</v>
      </c>
      <c r="AM341" s="4">
        <v>0</v>
      </c>
      <c r="AN341" s="4">
        <v>0</v>
      </c>
      <c r="AO341" s="4">
        <v>0</v>
      </c>
      <c r="AP341" s="4">
        <v>0</v>
      </c>
      <c r="AQ341" s="4">
        <v>200000</v>
      </c>
      <c r="AR341" s="4">
        <v>59040</v>
      </c>
      <c r="AS341" s="4">
        <v>59040</v>
      </c>
      <c r="AT341" s="4">
        <v>0</v>
      </c>
      <c r="AU341" s="4">
        <v>0</v>
      </c>
      <c r="AV341" s="4">
        <v>0</v>
      </c>
      <c r="AW341" s="4">
        <v>0</v>
      </c>
      <c r="AX341" s="4">
        <v>140960</v>
      </c>
      <c r="AY341" s="4">
        <v>140960</v>
      </c>
    </row>
    <row r="342" spans="1:51">
      <c r="A342" s="3" t="s">
        <v>52</v>
      </c>
      <c r="B342" s="3" t="s">
        <v>53</v>
      </c>
      <c r="C342" s="3" t="s">
        <v>54</v>
      </c>
      <c r="D342" s="3" t="s">
        <v>55</v>
      </c>
      <c r="E342" s="3" t="s">
        <v>56</v>
      </c>
      <c r="F342" s="3" t="s">
        <v>57</v>
      </c>
      <c r="G342" s="3" t="s">
        <v>58</v>
      </c>
      <c r="H342" s="3" t="s">
        <v>59</v>
      </c>
      <c r="I342" s="3" t="s">
        <v>60</v>
      </c>
      <c r="J342" s="3" t="s">
        <v>61</v>
      </c>
      <c r="K342" s="3" t="s">
        <v>62</v>
      </c>
      <c r="L342" s="3" t="s">
        <v>63</v>
      </c>
      <c r="M342" s="3" t="s">
        <v>400</v>
      </c>
      <c r="N342" s="3" t="s">
        <v>401</v>
      </c>
      <c r="O342" s="3" t="s">
        <v>402</v>
      </c>
      <c r="P342" s="3" t="s">
        <v>403</v>
      </c>
      <c r="Q342" s="3" t="s">
        <v>404</v>
      </c>
      <c r="R342" s="3" t="s">
        <v>405</v>
      </c>
      <c r="S342" s="3" t="s">
        <v>189</v>
      </c>
      <c r="T342" s="3" t="s">
        <v>524</v>
      </c>
      <c r="U342" s="3" t="s">
        <v>54</v>
      </c>
      <c r="V342" s="3" t="s">
        <v>72</v>
      </c>
      <c r="W342" s="3" t="s">
        <v>73</v>
      </c>
      <c r="X342" s="3" t="s">
        <v>74</v>
      </c>
      <c r="Y342" s="3" t="s">
        <v>78</v>
      </c>
      <c r="Z342" s="3" t="s">
        <v>79</v>
      </c>
      <c r="AA342" s="3" t="s">
        <v>586</v>
      </c>
      <c r="AB342" s="4">
        <v>0</v>
      </c>
      <c r="AC342" s="4">
        <v>200000</v>
      </c>
      <c r="AD342" s="4">
        <v>0</v>
      </c>
      <c r="AE342" s="4">
        <v>200000</v>
      </c>
      <c r="AF342" s="4">
        <v>0</v>
      </c>
      <c r="AG342" s="4">
        <v>0</v>
      </c>
      <c r="AH342" s="4">
        <v>0</v>
      </c>
      <c r="AI342" s="4">
        <v>0</v>
      </c>
      <c r="AJ342" s="4">
        <v>0</v>
      </c>
      <c r="AK342" s="4">
        <v>0</v>
      </c>
      <c r="AL342" s="4">
        <v>0</v>
      </c>
      <c r="AM342" s="4">
        <v>0</v>
      </c>
      <c r="AN342" s="4">
        <v>0</v>
      </c>
      <c r="AO342" s="4">
        <v>0</v>
      </c>
      <c r="AP342" s="4">
        <v>0</v>
      </c>
      <c r="AQ342" s="4">
        <v>200000</v>
      </c>
      <c r="AR342" s="4">
        <v>111930</v>
      </c>
      <c r="AS342" s="4">
        <v>111930</v>
      </c>
      <c r="AT342" s="4">
        <v>0</v>
      </c>
      <c r="AU342" s="4">
        <v>0</v>
      </c>
      <c r="AV342" s="4">
        <v>0</v>
      </c>
      <c r="AW342" s="4">
        <v>0</v>
      </c>
      <c r="AX342" s="4">
        <v>88070</v>
      </c>
      <c r="AY342" s="4">
        <v>88070</v>
      </c>
    </row>
    <row r="343" spans="1:51">
      <c r="A343" s="3" t="s">
        <v>52</v>
      </c>
      <c r="B343" s="3" t="s">
        <v>53</v>
      </c>
      <c r="C343" s="3" t="s">
        <v>54</v>
      </c>
      <c r="D343" s="3" t="s">
        <v>55</v>
      </c>
      <c r="E343" s="3" t="s">
        <v>56</v>
      </c>
      <c r="F343" s="3" t="s">
        <v>57</v>
      </c>
      <c r="G343" s="3" t="s">
        <v>58</v>
      </c>
      <c r="H343" s="3" t="s">
        <v>59</v>
      </c>
      <c r="I343" s="3" t="s">
        <v>60</v>
      </c>
      <c r="J343" s="3" t="s">
        <v>61</v>
      </c>
      <c r="K343" s="3" t="s">
        <v>62</v>
      </c>
      <c r="L343" s="3" t="s">
        <v>63</v>
      </c>
      <c r="M343" s="3" t="s">
        <v>400</v>
      </c>
      <c r="N343" s="3" t="s">
        <v>401</v>
      </c>
      <c r="O343" s="3" t="s">
        <v>402</v>
      </c>
      <c r="P343" s="3" t="s">
        <v>403</v>
      </c>
      <c r="Q343" s="3" t="s">
        <v>404</v>
      </c>
      <c r="R343" s="3" t="s">
        <v>405</v>
      </c>
      <c r="S343" s="3" t="s">
        <v>189</v>
      </c>
      <c r="T343" s="3" t="s">
        <v>524</v>
      </c>
      <c r="U343" s="3" t="s">
        <v>54</v>
      </c>
      <c r="V343" s="3" t="s">
        <v>72</v>
      </c>
      <c r="W343" s="3" t="s">
        <v>73</v>
      </c>
      <c r="X343" s="3" t="s">
        <v>74</v>
      </c>
      <c r="Y343" s="3" t="s">
        <v>78</v>
      </c>
      <c r="Z343" s="3" t="s">
        <v>79</v>
      </c>
      <c r="AA343" s="3" t="s">
        <v>587</v>
      </c>
      <c r="AB343" s="4">
        <v>0</v>
      </c>
      <c r="AC343" s="4">
        <v>200000</v>
      </c>
      <c r="AD343" s="4">
        <v>0</v>
      </c>
      <c r="AE343" s="4">
        <v>200000</v>
      </c>
      <c r="AF343" s="4">
        <v>0</v>
      </c>
      <c r="AG343" s="4">
        <v>0</v>
      </c>
      <c r="AH343" s="4">
        <v>0</v>
      </c>
      <c r="AI343" s="4">
        <v>0</v>
      </c>
      <c r="AJ343" s="4">
        <v>0</v>
      </c>
      <c r="AK343" s="4">
        <v>0</v>
      </c>
      <c r="AL343" s="4">
        <v>0</v>
      </c>
      <c r="AM343" s="4">
        <v>0</v>
      </c>
      <c r="AN343" s="4">
        <v>0</v>
      </c>
      <c r="AO343" s="4">
        <v>0</v>
      </c>
      <c r="AP343" s="4">
        <v>0</v>
      </c>
      <c r="AQ343" s="4">
        <v>200000</v>
      </c>
      <c r="AR343" s="4">
        <v>48400</v>
      </c>
      <c r="AS343" s="4">
        <v>48400</v>
      </c>
      <c r="AT343" s="4">
        <v>0</v>
      </c>
      <c r="AU343" s="4">
        <v>0</v>
      </c>
      <c r="AV343" s="4">
        <v>0</v>
      </c>
      <c r="AW343" s="4">
        <v>0</v>
      </c>
      <c r="AX343" s="4">
        <v>151600</v>
      </c>
      <c r="AY343" s="4">
        <v>151600</v>
      </c>
    </row>
    <row r="344" spans="1:51">
      <c r="A344" s="3" t="s">
        <v>52</v>
      </c>
      <c r="B344" s="3" t="s">
        <v>53</v>
      </c>
      <c r="C344" s="3" t="s">
        <v>54</v>
      </c>
      <c r="D344" s="3" t="s">
        <v>55</v>
      </c>
      <c r="E344" s="3" t="s">
        <v>56</v>
      </c>
      <c r="F344" s="3" t="s">
        <v>57</v>
      </c>
      <c r="G344" s="3" t="s">
        <v>58</v>
      </c>
      <c r="H344" s="3" t="s">
        <v>59</v>
      </c>
      <c r="I344" s="3" t="s">
        <v>60</v>
      </c>
      <c r="J344" s="3" t="s">
        <v>61</v>
      </c>
      <c r="K344" s="3" t="s">
        <v>62</v>
      </c>
      <c r="L344" s="3" t="s">
        <v>63</v>
      </c>
      <c r="M344" s="3" t="s">
        <v>400</v>
      </c>
      <c r="N344" s="3" t="s">
        <v>401</v>
      </c>
      <c r="O344" s="3" t="s">
        <v>402</v>
      </c>
      <c r="P344" s="3" t="s">
        <v>403</v>
      </c>
      <c r="Q344" s="3" t="s">
        <v>404</v>
      </c>
      <c r="R344" s="3" t="s">
        <v>405</v>
      </c>
      <c r="S344" s="3" t="s">
        <v>588</v>
      </c>
      <c r="T344" s="3" t="s">
        <v>589</v>
      </c>
      <c r="U344" s="3" t="s">
        <v>54</v>
      </c>
      <c r="V344" s="3" t="s">
        <v>72</v>
      </c>
      <c r="W344" s="3" t="s">
        <v>94</v>
      </c>
      <c r="X344" s="3" t="s">
        <v>95</v>
      </c>
      <c r="Y344" s="3" t="s">
        <v>96</v>
      </c>
      <c r="Z344" s="3" t="s">
        <v>95</v>
      </c>
      <c r="AA344" s="3" t="s">
        <v>589</v>
      </c>
      <c r="AB344" s="4">
        <v>0</v>
      </c>
      <c r="AC344" s="4">
        <v>23000000</v>
      </c>
      <c r="AD344" s="4">
        <v>13000000</v>
      </c>
      <c r="AE344" s="4">
        <v>36000000</v>
      </c>
      <c r="AF344" s="4">
        <v>0</v>
      </c>
      <c r="AG344" s="4">
        <v>0</v>
      </c>
      <c r="AH344" s="4">
        <v>0</v>
      </c>
      <c r="AI344" s="4">
        <v>0</v>
      </c>
      <c r="AJ344" s="4">
        <v>0</v>
      </c>
      <c r="AK344" s="4">
        <v>0</v>
      </c>
      <c r="AL344" s="4">
        <v>0</v>
      </c>
      <c r="AM344" s="4">
        <v>0</v>
      </c>
      <c r="AN344" s="4">
        <v>0</v>
      </c>
      <c r="AO344" s="4">
        <v>0</v>
      </c>
      <c r="AP344" s="4">
        <v>0</v>
      </c>
      <c r="AQ344" s="4">
        <v>36000000</v>
      </c>
      <c r="AR344" s="4">
        <v>18847340</v>
      </c>
      <c r="AS344" s="4">
        <v>18847340</v>
      </c>
      <c r="AT344" s="4">
        <v>0</v>
      </c>
      <c r="AU344" s="4">
        <v>0</v>
      </c>
      <c r="AV344" s="4">
        <v>0</v>
      </c>
      <c r="AW344" s="4">
        <v>0</v>
      </c>
      <c r="AX344" s="4">
        <v>17152660</v>
      </c>
      <c r="AY344" s="4">
        <v>17152660</v>
      </c>
    </row>
    <row r="345" spans="1:51">
      <c r="A345" s="3" t="s">
        <v>52</v>
      </c>
      <c r="B345" s="3" t="s">
        <v>53</v>
      </c>
      <c r="C345" s="3" t="s">
        <v>54</v>
      </c>
      <c r="D345" s="3" t="s">
        <v>55</v>
      </c>
      <c r="E345" s="3" t="s">
        <v>56</v>
      </c>
      <c r="F345" s="3" t="s">
        <v>57</v>
      </c>
      <c r="G345" s="3" t="s">
        <v>58</v>
      </c>
      <c r="H345" s="3" t="s">
        <v>59</v>
      </c>
      <c r="I345" s="3" t="s">
        <v>60</v>
      </c>
      <c r="J345" s="3" t="s">
        <v>61</v>
      </c>
      <c r="K345" s="3" t="s">
        <v>62</v>
      </c>
      <c r="L345" s="3" t="s">
        <v>63</v>
      </c>
      <c r="M345" s="3" t="s">
        <v>400</v>
      </c>
      <c r="N345" s="3" t="s">
        <v>401</v>
      </c>
      <c r="O345" s="3" t="s">
        <v>402</v>
      </c>
      <c r="P345" s="3" t="s">
        <v>403</v>
      </c>
      <c r="Q345" s="3" t="s">
        <v>404</v>
      </c>
      <c r="R345" s="3" t="s">
        <v>405</v>
      </c>
      <c r="S345" s="3" t="s">
        <v>590</v>
      </c>
      <c r="T345" s="3" t="s">
        <v>591</v>
      </c>
      <c r="U345" s="3" t="s">
        <v>54</v>
      </c>
      <c r="V345" s="3" t="s">
        <v>72</v>
      </c>
      <c r="W345" s="3" t="s">
        <v>94</v>
      </c>
      <c r="X345" s="3" t="s">
        <v>95</v>
      </c>
      <c r="Y345" s="3" t="s">
        <v>96</v>
      </c>
      <c r="Z345" s="3" t="s">
        <v>95</v>
      </c>
      <c r="AA345" s="3" t="s">
        <v>591</v>
      </c>
      <c r="AB345" s="4">
        <v>0</v>
      </c>
      <c r="AC345" s="4">
        <v>800000</v>
      </c>
      <c r="AD345" s="4">
        <v>3740000</v>
      </c>
      <c r="AE345" s="4">
        <v>4540000</v>
      </c>
      <c r="AF345" s="4">
        <v>0</v>
      </c>
      <c r="AG345" s="4">
        <v>0</v>
      </c>
      <c r="AH345" s="4">
        <v>0</v>
      </c>
      <c r="AI345" s="4">
        <v>0</v>
      </c>
      <c r="AJ345" s="4">
        <v>0</v>
      </c>
      <c r="AK345" s="4">
        <v>0</v>
      </c>
      <c r="AL345" s="4">
        <v>0</v>
      </c>
      <c r="AM345" s="4">
        <v>0</v>
      </c>
      <c r="AN345" s="4">
        <v>0</v>
      </c>
      <c r="AO345" s="4">
        <v>0</v>
      </c>
      <c r="AP345" s="4">
        <v>0</v>
      </c>
      <c r="AQ345" s="4">
        <v>4540000</v>
      </c>
      <c r="AR345" s="4">
        <v>1469230</v>
      </c>
      <c r="AS345" s="4">
        <v>1469230</v>
      </c>
      <c r="AT345" s="4">
        <v>0</v>
      </c>
      <c r="AU345" s="4">
        <v>0</v>
      </c>
      <c r="AV345" s="4">
        <v>0</v>
      </c>
      <c r="AW345" s="4">
        <v>0</v>
      </c>
      <c r="AX345" s="4">
        <v>3070770</v>
      </c>
      <c r="AY345" s="4">
        <v>3070770</v>
      </c>
    </row>
    <row r="346" spans="1:51">
      <c r="A346" s="3" t="s">
        <v>52</v>
      </c>
      <c r="B346" s="3" t="s">
        <v>53</v>
      </c>
      <c r="C346" s="3" t="s">
        <v>54</v>
      </c>
      <c r="D346" s="3" t="s">
        <v>55</v>
      </c>
      <c r="E346" s="3" t="s">
        <v>56</v>
      </c>
      <c r="F346" s="3" t="s">
        <v>57</v>
      </c>
      <c r="G346" s="3" t="s">
        <v>58</v>
      </c>
      <c r="H346" s="3" t="s">
        <v>59</v>
      </c>
      <c r="I346" s="3" t="s">
        <v>60</v>
      </c>
      <c r="J346" s="3" t="s">
        <v>61</v>
      </c>
      <c r="K346" s="3" t="s">
        <v>62</v>
      </c>
      <c r="L346" s="3" t="s">
        <v>63</v>
      </c>
      <c r="M346" s="3" t="s">
        <v>400</v>
      </c>
      <c r="N346" s="3" t="s">
        <v>401</v>
      </c>
      <c r="O346" s="3" t="s">
        <v>402</v>
      </c>
      <c r="P346" s="3" t="s">
        <v>403</v>
      </c>
      <c r="Q346" s="3" t="s">
        <v>592</v>
      </c>
      <c r="R346" s="3" t="s">
        <v>593</v>
      </c>
      <c r="S346" s="3" t="s">
        <v>102</v>
      </c>
      <c r="T346" s="3" t="s">
        <v>594</v>
      </c>
      <c r="U346" s="3" t="s">
        <v>54</v>
      </c>
      <c r="V346" s="3" t="s">
        <v>72</v>
      </c>
      <c r="W346" s="3" t="s">
        <v>73</v>
      </c>
      <c r="X346" s="3" t="s">
        <v>74</v>
      </c>
      <c r="Y346" s="3" t="s">
        <v>75</v>
      </c>
      <c r="Z346" s="3" t="s">
        <v>76</v>
      </c>
      <c r="AA346" s="3" t="s">
        <v>595</v>
      </c>
      <c r="AB346" s="4">
        <v>0</v>
      </c>
      <c r="AC346" s="4">
        <v>6950000</v>
      </c>
      <c r="AD346" s="4">
        <v>0</v>
      </c>
      <c r="AE346" s="4">
        <v>6950000</v>
      </c>
      <c r="AF346" s="4">
        <v>0</v>
      </c>
      <c r="AG346" s="4">
        <v>0</v>
      </c>
      <c r="AH346" s="4">
        <v>0</v>
      </c>
      <c r="AI346" s="4">
        <v>0</v>
      </c>
      <c r="AJ346" s="4">
        <v>0</v>
      </c>
      <c r="AK346" s="4">
        <v>0</v>
      </c>
      <c r="AL346" s="4">
        <v>0</v>
      </c>
      <c r="AM346" s="4">
        <v>0</v>
      </c>
      <c r="AN346" s="4">
        <v>0</v>
      </c>
      <c r="AO346" s="4">
        <v>0</v>
      </c>
      <c r="AP346" s="4">
        <v>0</v>
      </c>
      <c r="AQ346" s="4">
        <v>6950000</v>
      </c>
      <c r="AR346" s="4">
        <v>0</v>
      </c>
      <c r="AS346" s="4">
        <v>0</v>
      </c>
      <c r="AT346" s="4">
        <v>0</v>
      </c>
      <c r="AU346" s="4">
        <v>0</v>
      </c>
      <c r="AV346" s="4">
        <v>0</v>
      </c>
      <c r="AW346" s="4">
        <v>0</v>
      </c>
      <c r="AX346" s="4">
        <v>6950000</v>
      </c>
      <c r="AY346" s="4">
        <v>6950000</v>
      </c>
    </row>
    <row r="347" spans="1:51">
      <c r="A347" s="3" t="s">
        <v>52</v>
      </c>
      <c r="B347" s="3" t="s">
        <v>53</v>
      </c>
      <c r="C347" s="3" t="s">
        <v>54</v>
      </c>
      <c r="D347" s="3" t="s">
        <v>55</v>
      </c>
      <c r="E347" s="3" t="s">
        <v>56</v>
      </c>
      <c r="F347" s="3" t="s">
        <v>57</v>
      </c>
      <c r="G347" s="3" t="s">
        <v>58</v>
      </c>
      <c r="H347" s="3" t="s">
        <v>59</v>
      </c>
      <c r="I347" s="3" t="s">
        <v>60</v>
      </c>
      <c r="J347" s="3" t="s">
        <v>61</v>
      </c>
      <c r="K347" s="3" t="s">
        <v>62</v>
      </c>
      <c r="L347" s="3" t="s">
        <v>63</v>
      </c>
      <c r="M347" s="3" t="s">
        <v>400</v>
      </c>
      <c r="N347" s="3" t="s">
        <v>401</v>
      </c>
      <c r="O347" s="3" t="s">
        <v>402</v>
      </c>
      <c r="P347" s="3" t="s">
        <v>403</v>
      </c>
      <c r="Q347" s="3" t="s">
        <v>592</v>
      </c>
      <c r="R347" s="3" t="s">
        <v>593</v>
      </c>
      <c r="S347" s="3" t="s">
        <v>102</v>
      </c>
      <c r="T347" s="3" t="s">
        <v>594</v>
      </c>
      <c r="U347" s="3" t="s">
        <v>54</v>
      </c>
      <c r="V347" s="3" t="s">
        <v>72</v>
      </c>
      <c r="W347" s="3" t="s">
        <v>73</v>
      </c>
      <c r="X347" s="3" t="s">
        <v>74</v>
      </c>
      <c r="Y347" s="3" t="s">
        <v>75</v>
      </c>
      <c r="Z347" s="3" t="s">
        <v>76</v>
      </c>
      <c r="AA347" s="3" t="s">
        <v>596</v>
      </c>
      <c r="AB347" s="4">
        <v>0</v>
      </c>
      <c r="AC347" s="4">
        <v>1600000</v>
      </c>
      <c r="AD347" s="4">
        <v>0</v>
      </c>
      <c r="AE347" s="4">
        <v>1600000</v>
      </c>
      <c r="AF347" s="4">
        <v>0</v>
      </c>
      <c r="AG347" s="4">
        <v>0</v>
      </c>
      <c r="AH347" s="4">
        <v>0</v>
      </c>
      <c r="AI347" s="4">
        <v>0</v>
      </c>
      <c r="AJ347" s="4">
        <v>0</v>
      </c>
      <c r="AK347" s="4">
        <v>0</v>
      </c>
      <c r="AL347" s="4">
        <v>0</v>
      </c>
      <c r="AM347" s="4">
        <v>0</v>
      </c>
      <c r="AN347" s="4">
        <v>0</v>
      </c>
      <c r="AO347" s="4">
        <v>0</v>
      </c>
      <c r="AP347" s="4">
        <v>0</v>
      </c>
      <c r="AQ347" s="4">
        <v>1600000</v>
      </c>
      <c r="AR347" s="4">
        <v>366020</v>
      </c>
      <c r="AS347" s="4">
        <v>366020</v>
      </c>
      <c r="AT347" s="4">
        <v>0</v>
      </c>
      <c r="AU347" s="4">
        <v>0</v>
      </c>
      <c r="AV347" s="4">
        <v>0</v>
      </c>
      <c r="AW347" s="4">
        <v>0</v>
      </c>
      <c r="AX347" s="4">
        <v>1233980</v>
      </c>
      <c r="AY347" s="4">
        <v>1233980</v>
      </c>
    </row>
    <row r="348" spans="1:51">
      <c r="A348" s="3" t="s">
        <v>52</v>
      </c>
      <c r="B348" s="3" t="s">
        <v>53</v>
      </c>
      <c r="C348" s="3" t="s">
        <v>54</v>
      </c>
      <c r="D348" s="3" t="s">
        <v>55</v>
      </c>
      <c r="E348" s="3" t="s">
        <v>56</v>
      </c>
      <c r="F348" s="3" t="s">
        <v>57</v>
      </c>
      <c r="G348" s="3" t="s">
        <v>58</v>
      </c>
      <c r="H348" s="3" t="s">
        <v>59</v>
      </c>
      <c r="I348" s="3" t="s">
        <v>60</v>
      </c>
      <c r="J348" s="3" t="s">
        <v>61</v>
      </c>
      <c r="K348" s="3" t="s">
        <v>62</v>
      </c>
      <c r="L348" s="3" t="s">
        <v>63</v>
      </c>
      <c r="M348" s="3" t="s">
        <v>400</v>
      </c>
      <c r="N348" s="3" t="s">
        <v>401</v>
      </c>
      <c r="O348" s="3" t="s">
        <v>402</v>
      </c>
      <c r="P348" s="3" t="s">
        <v>403</v>
      </c>
      <c r="Q348" s="3" t="s">
        <v>592</v>
      </c>
      <c r="R348" s="3" t="s">
        <v>593</v>
      </c>
      <c r="S348" s="3" t="s">
        <v>102</v>
      </c>
      <c r="T348" s="3" t="s">
        <v>594</v>
      </c>
      <c r="U348" s="3" t="s">
        <v>54</v>
      </c>
      <c r="V348" s="3" t="s">
        <v>72</v>
      </c>
      <c r="W348" s="3" t="s">
        <v>73</v>
      </c>
      <c r="X348" s="3" t="s">
        <v>74</v>
      </c>
      <c r="Y348" s="3" t="s">
        <v>78</v>
      </c>
      <c r="Z348" s="3" t="s">
        <v>79</v>
      </c>
      <c r="AA348" s="3" t="s">
        <v>597</v>
      </c>
      <c r="AB348" s="4">
        <v>0</v>
      </c>
      <c r="AC348" s="4">
        <v>2500000</v>
      </c>
      <c r="AD348" s="4">
        <v>0</v>
      </c>
      <c r="AE348" s="4">
        <v>2500000</v>
      </c>
      <c r="AF348" s="4">
        <v>0</v>
      </c>
      <c r="AG348" s="4">
        <v>0</v>
      </c>
      <c r="AH348" s="4">
        <v>0</v>
      </c>
      <c r="AI348" s="4">
        <v>0</v>
      </c>
      <c r="AJ348" s="4">
        <v>0</v>
      </c>
      <c r="AK348" s="4">
        <v>0</v>
      </c>
      <c r="AL348" s="4">
        <v>0</v>
      </c>
      <c r="AM348" s="4">
        <v>0</v>
      </c>
      <c r="AN348" s="4">
        <v>0</v>
      </c>
      <c r="AO348" s="4">
        <v>0</v>
      </c>
      <c r="AP348" s="4">
        <v>0</v>
      </c>
      <c r="AQ348" s="4">
        <v>2500000</v>
      </c>
      <c r="AR348" s="4">
        <v>880000</v>
      </c>
      <c r="AS348" s="4">
        <v>880000</v>
      </c>
      <c r="AT348" s="4">
        <v>0</v>
      </c>
      <c r="AU348" s="4">
        <v>0</v>
      </c>
      <c r="AV348" s="4">
        <v>0</v>
      </c>
      <c r="AW348" s="4">
        <v>0</v>
      </c>
      <c r="AX348" s="4">
        <v>1620000</v>
      </c>
      <c r="AY348" s="4">
        <v>1620000</v>
      </c>
    </row>
    <row r="349" spans="1:51">
      <c r="A349" s="3" t="s">
        <v>52</v>
      </c>
      <c r="B349" s="3" t="s">
        <v>53</v>
      </c>
      <c r="C349" s="3" t="s">
        <v>54</v>
      </c>
      <c r="D349" s="3" t="s">
        <v>55</v>
      </c>
      <c r="E349" s="3" t="s">
        <v>56</v>
      </c>
      <c r="F349" s="3" t="s">
        <v>57</v>
      </c>
      <c r="G349" s="3" t="s">
        <v>58</v>
      </c>
      <c r="H349" s="3" t="s">
        <v>59</v>
      </c>
      <c r="I349" s="3" t="s">
        <v>60</v>
      </c>
      <c r="J349" s="3" t="s">
        <v>61</v>
      </c>
      <c r="K349" s="3" t="s">
        <v>62</v>
      </c>
      <c r="L349" s="3" t="s">
        <v>63</v>
      </c>
      <c r="M349" s="3" t="s">
        <v>400</v>
      </c>
      <c r="N349" s="3" t="s">
        <v>401</v>
      </c>
      <c r="O349" s="3" t="s">
        <v>402</v>
      </c>
      <c r="P349" s="3" t="s">
        <v>403</v>
      </c>
      <c r="Q349" s="3" t="s">
        <v>592</v>
      </c>
      <c r="R349" s="3" t="s">
        <v>593</v>
      </c>
      <c r="S349" s="3" t="s">
        <v>102</v>
      </c>
      <c r="T349" s="3" t="s">
        <v>594</v>
      </c>
      <c r="U349" s="3" t="s">
        <v>54</v>
      </c>
      <c r="V349" s="3" t="s">
        <v>72</v>
      </c>
      <c r="W349" s="3" t="s">
        <v>73</v>
      </c>
      <c r="X349" s="3" t="s">
        <v>74</v>
      </c>
      <c r="Y349" s="3" t="s">
        <v>78</v>
      </c>
      <c r="Z349" s="3" t="s">
        <v>79</v>
      </c>
      <c r="AA349" s="3" t="s">
        <v>598</v>
      </c>
      <c r="AB349" s="4">
        <v>0</v>
      </c>
      <c r="AC349" s="4">
        <v>0</v>
      </c>
      <c r="AD349" s="4">
        <v>960000</v>
      </c>
      <c r="AE349" s="4">
        <v>960000</v>
      </c>
      <c r="AF349" s="4">
        <v>0</v>
      </c>
      <c r="AG349" s="4">
        <v>0</v>
      </c>
      <c r="AH349" s="4">
        <v>0</v>
      </c>
      <c r="AI349" s="4">
        <v>0</v>
      </c>
      <c r="AJ349" s="4">
        <v>0</v>
      </c>
      <c r="AK349" s="4">
        <v>0</v>
      </c>
      <c r="AL349" s="4">
        <v>0</v>
      </c>
      <c r="AM349" s="4">
        <v>0</v>
      </c>
      <c r="AN349" s="4">
        <v>0</v>
      </c>
      <c r="AO349" s="4">
        <v>0</v>
      </c>
      <c r="AP349" s="4">
        <v>0</v>
      </c>
      <c r="AQ349" s="4">
        <v>960000</v>
      </c>
      <c r="AR349" s="4">
        <v>0</v>
      </c>
      <c r="AS349" s="4">
        <v>0</v>
      </c>
      <c r="AT349" s="4">
        <v>0</v>
      </c>
      <c r="AU349" s="4">
        <v>0</v>
      </c>
      <c r="AV349" s="4">
        <v>0</v>
      </c>
      <c r="AW349" s="4">
        <v>0</v>
      </c>
      <c r="AX349" s="4">
        <v>960000</v>
      </c>
      <c r="AY349" s="4">
        <v>960000</v>
      </c>
    </row>
    <row r="350" spans="1:51">
      <c r="A350" s="3" t="s">
        <v>52</v>
      </c>
      <c r="B350" s="3" t="s">
        <v>53</v>
      </c>
      <c r="C350" s="3" t="s">
        <v>54</v>
      </c>
      <c r="D350" s="3" t="s">
        <v>55</v>
      </c>
      <c r="E350" s="3" t="s">
        <v>56</v>
      </c>
      <c r="F350" s="3" t="s">
        <v>57</v>
      </c>
      <c r="G350" s="3" t="s">
        <v>58</v>
      </c>
      <c r="H350" s="3" t="s">
        <v>59</v>
      </c>
      <c r="I350" s="3" t="s">
        <v>60</v>
      </c>
      <c r="J350" s="3" t="s">
        <v>61</v>
      </c>
      <c r="K350" s="3" t="s">
        <v>62</v>
      </c>
      <c r="L350" s="3" t="s">
        <v>63</v>
      </c>
      <c r="M350" s="3" t="s">
        <v>400</v>
      </c>
      <c r="N350" s="3" t="s">
        <v>401</v>
      </c>
      <c r="O350" s="3" t="s">
        <v>402</v>
      </c>
      <c r="P350" s="3" t="s">
        <v>403</v>
      </c>
      <c r="Q350" s="3" t="s">
        <v>592</v>
      </c>
      <c r="R350" s="3" t="s">
        <v>593</v>
      </c>
      <c r="S350" s="3" t="s">
        <v>102</v>
      </c>
      <c r="T350" s="3" t="s">
        <v>594</v>
      </c>
      <c r="U350" s="3" t="s">
        <v>54</v>
      </c>
      <c r="V350" s="3" t="s">
        <v>72</v>
      </c>
      <c r="W350" s="3" t="s">
        <v>94</v>
      </c>
      <c r="X350" s="3" t="s">
        <v>95</v>
      </c>
      <c r="Y350" s="3" t="s">
        <v>96</v>
      </c>
      <c r="Z350" s="3" t="s">
        <v>95</v>
      </c>
      <c r="AA350" s="3" t="s">
        <v>599</v>
      </c>
      <c r="AB350" s="4">
        <v>0</v>
      </c>
      <c r="AC350" s="4">
        <v>7450000</v>
      </c>
      <c r="AD350" s="4">
        <v>0</v>
      </c>
      <c r="AE350" s="4">
        <v>7450000</v>
      </c>
      <c r="AF350" s="4">
        <v>0</v>
      </c>
      <c r="AG350" s="4">
        <v>0</v>
      </c>
      <c r="AH350" s="4">
        <v>0</v>
      </c>
      <c r="AI350" s="4">
        <v>0</v>
      </c>
      <c r="AJ350" s="4">
        <v>0</v>
      </c>
      <c r="AK350" s="4">
        <v>0</v>
      </c>
      <c r="AL350" s="4">
        <v>0</v>
      </c>
      <c r="AM350" s="4">
        <v>0</v>
      </c>
      <c r="AN350" s="4">
        <v>0</v>
      </c>
      <c r="AO350" s="4">
        <v>0</v>
      </c>
      <c r="AP350" s="4">
        <v>0</v>
      </c>
      <c r="AQ350" s="4">
        <v>7450000</v>
      </c>
      <c r="AR350" s="4">
        <v>3427380</v>
      </c>
      <c r="AS350" s="4">
        <v>3114480</v>
      </c>
      <c r="AT350" s="4">
        <v>0</v>
      </c>
      <c r="AU350" s="4">
        <v>0</v>
      </c>
      <c r="AV350" s="4">
        <v>0</v>
      </c>
      <c r="AW350" s="4">
        <v>0</v>
      </c>
      <c r="AX350" s="4">
        <v>4022620</v>
      </c>
      <c r="AY350" s="4">
        <v>4335520</v>
      </c>
    </row>
    <row r="351" spans="1:51">
      <c r="A351" s="3" t="s">
        <v>52</v>
      </c>
      <c r="B351" s="3" t="s">
        <v>53</v>
      </c>
      <c r="C351" s="3" t="s">
        <v>54</v>
      </c>
      <c r="D351" s="3" t="s">
        <v>55</v>
      </c>
      <c r="E351" s="3" t="s">
        <v>56</v>
      </c>
      <c r="F351" s="3" t="s">
        <v>57</v>
      </c>
      <c r="G351" s="3" t="s">
        <v>58</v>
      </c>
      <c r="H351" s="3" t="s">
        <v>59</v>
      </c>
      <c r="I351" s="3" t="s">
        <v>60</v>
      </c>
      <c r="J351" s="3" t="s">
        <v>61</v>
      </c>
      <c r="K351" s="3" t="s">
        <v>62</v>
      </c>
      <c r="L351" s="3" t="s">
        <v>63</v>
      </c>
      <c r="M351" s="3" t="s">
        <v>400</v>
      </c>
      <c r="N351" s="3" t="s">
        <v>401</v>
      </c>
      <c r="O351" s="3" t="s">
        <v>402</v>
      </c>
      <c r="P351" s="3" t="s">
        <v>403</v>
      </c>
      <c r="Q351" s="3" t="s">
        <v>592</v>
      </c>
      <c r="R351" s="3" t="s">
        <v>593</v>
      </c>
      <c r="S351" s="3" t="s">
        <v>128</v>
      </c>
      <c r="T351" s="3" t="s">
        <v>600</v>
      </c>
      <c r="U351" s="3" t="s">
        <v>54</v>
      </c>
      <c r="V351" s="3" t="s">
        <v>72</v>
      </c>
      <c r="W351" s="3" t="s">
        <v>73</v>
      </c>
      <c r="X351" s="3" t="s">
        <v>74</v>
      </c>
      <c r="Y351" s="3" t="s">
        <v>75</v>
      </c>
      <c r="Z351" s="3" t="s">
        <v>76</v>
      </c>
      <c r="AA351" s="3" t="s">
        <v>595</v>
      </c>
      <c r="AB351" s="4">
        <v>0</v>
      </c>
      <c r="AC351" s="4">
        <v>5000000</v>
      </c>
      <c r="AD351" s="4">
        <v>0</v>
      </c>
      <c r="AE351" s="4">
        <v>5000000</v>
      </c>
      <c r="AF351" s="4">
        <v>0</v>
      </c>
      <c r="AG351" s="4">
        <v>0</v>
      </c>
      <c r="AH351" s="4">
        <v>0</v>
      </c>
      <c r="AI351" s="4">
        <v>0</v>
      </c>
      <c r="AJ351" s="4">
        <v>0</v>
      </c>
      <c r="AK351" s="4">
        <v>0</v>
      </c>
      <c r="AL351" s="4">
        <v>0</v>
      </c>
      <c r="AM351" s="4">
        <v>0</v>
      </c>
      <c r="AN351" s="4">
        <v>0</v>
      </c>
      <c r="AO351" s="4">
        <v>0</v>
      </c>
      <c r="AP351" s="4">
        <v>0</v>
      </c>
      <c r="AQ351" s="4">
        <v>5000000</v>
      </c>
      <c r="AR351" s="4">
        <v>1782000</v>
      </c>
      <c r="AS351" s="4">
        <v>1782000</v>
      </c>
      <c r="AT351" s="4">
        <v>0</v>
      </c>
      <c r="AU351" s="4">
        <v>0</v>
      </c>
      <c r="AV351" s="4">
        <v>0</v>
      </c>
      <c r="AW351" s="4">
        <v>0</v>
      </c>
      <c r="AX351" s="4">
        <v>3218000</v>
      </c>
      <c r="AY351" s="4">
        <v>3218000</v>
      </c>
    </row>
    <row r="352" spans="1:51">
      <c r="A352" s="3" t="s">
        <v>52</v>
      </c>
      <c r="B352" s="3" t="s">
        <v>53</v>
      </c>
      <c r="C352" s="3" t="s">
        <v>54</v>
      </c>
      <c r="D352" s="3" t="s">
        <v>55</v>
      </c>
      <c r="E352" s="3" t="s">
        <v>56</v>
      </c>
      <c r="F352" s="3" t="s">
        <v>57</v>
      </c>
      <c r="G352" s="3" t="s">
        <v>58</v>
      </c>
      <c r="H352" s="3" t="s">
        <v>59</v>
      </c>
      <c r="I352" s="3" t="s">
        <v>60</v>
      </c>
      <c r="J352" s="3" t="s">
        <v>61</v>
      </c>
      <c r="K352" s="3" t="s">
        <v>62</v>
      </c>
      <c r="L352" s="3" t="s">
        <v>63</v>
      </c>
      <c r="M352" s="3" t="s">
        <v>400</v>
      </c>
      <c r="N352" s="3" t="s">
        <v>401</v>
      </c>
      <c r="O352" s="3" t="s">
        <v>402</v>
      </c>
      <c r="P352" s="3" t="s">
        <v>403</v>
      </c>
      <c r="Q352" s="3" t="s">
        <v>592</v>
      </c>
      <c r="R352" s="3" t="s">
        <v>593</v>
      </c>
      <c r="S352" s="3" t="s">
        <v>140</v>
      </c>
      <c r="T352" s="3" t="s">
        <v>601</v>
      </c>
      <c r="U352" s="3" t="s">
        <v>54</v>
      </c>
      <c r="V352" s="3" t="s">
        <v>72</v>
      </c>
      <c r="W352" s="3" t="s">
        <v>73</v>
      </c>
      <c r="X352" s="3" t="s">
        <v>74</v>
      </c>
      <c r="Y352" s="3" t="s">
        <v>75</v>
      </c>
      <c r="Z352" s="3" t="s">
        <v>76</v>
      </c>
      <c r="AA352" s="3" t="s">
        <v>595</v>
      </c>
      <c r="AB352" s="4">
        <v>0</v>
      </c>
      <c r="AC352" s="4">
        <v>7200000</v>
      </c>
      <c r="AD352" s="4">
        <v>0</v>
      </c>
      <c r="AE352" s="4">
        <v>7200000</v>
      </c>
      <c r="AF352" s="4">
        <v>0</v>
      </c>
      <c r="AG352" s="4">
        <v>0</v>
      </c>
      <c r="AH352" s="4">
        <v>0</v>
      </c>
      <c r="AI352" s="4">
        <v>0</v>
      </c>
      <c r="AJ352" s="4">
        <v>0</v>
      </c>
      <c r="AK352" s="4">
        <v>0</v>
      </c>
      <c r="AL352" s="4">
        <v>0</v>
      </c>
      <c r="AM352" s="4">
        <v>0</v>
      </c>
      <c r="AN352" s="4">
        <v>0</v>
      </c>
      <c r="AO352" s="4">
        <v>0</v>
      </c>
      <c r="AP352" s="4">
        <v>0</v>
      </c>
      <c r="AQ352" s="4">
        <v>7200000</v>
      </c>
      <c r="AR352" s="4">
        <v>2160000</v>
      </c>
      <c r="AS352" s="4">
        <v>2160000</v>
      </c>
      <c r="AT352" s="4">
        <v>0</v>
      </c>
      <c r="AU352" s="4">
        <v>0</v>
      </c>
      <c r="AV352" s="4">
        <v>0</v>
      </c>
      <c r="AW352" s="4">
        <v>0</v>
      </c>
      <c r="AX352" s="4">
        <v>5040000</v>
      </c>
      <c r="AY352" s="4">
        <v>5040000</v>
      </c>
    </row>
    <row r="353" spans="1:51">
      <c r="A353" s="3" t="s">
        <v>52</v>
      </c>
      <c r="B353" s="3" t="s">
        <v>53</v>
      </c>
      <c r="C353" s="3" t="s">
        <v>54</v>
      </c>
      <c r="D353" s="3" t="s">
        <v>55</v>
      </c>
      <c r="E353" s="3" t="s">
        <v>56</v>
      </c>
      <c r="F353" s="3" t="s">
        <v>57</v>
      </c>
      <c r="G353" s="3" t="s">
        <v>58</v>
      </c>
      <c r="H353" s="3" t="s">
        <v>59</v>
      </c>
      <c r="I353" s="3" t="s">
        <v>60</v>
      </c>
      <c r="J353" s="3" t="s">
        <v>61</v>
      </c>
      <c r="K353" s="3" t="s">
        <v>62</v>
      </c>
      <c r="L353" s="3" t="s">
        <v>63</v>
      </c>
      <c r="M353" s="3" t="s">
        <v>400</v>
      </c>
      <c r="N353" s="3" t="s">
        <v>401</v>
      </c>
      <c r="O353" s="3" t="s">
        <v>402</v>
      </c>
      <c r="P353" s="3" t="s">
        <v>403</v>
      </c>
      <c r="Q353" s="3" t="s">
        <v>592</v>
      </c>
      <c r="R353" s="3" t="s">
        <v>593</v>
      </c>
      <c r="S353" s="3" t="s">
        <v>140</v>
      </c>
      <c r="T353" s="3" t="s">
        <v>601</v>
      </c>
      <c r="U353" s="3" t="s">
        <v>54</v>
      </c>
      <c r="V353" s="3" t="s">
        <v>72</v>
      </c>
      <c r="W353" s="3" t="s">
        <v>73</v>
      </c>
      <c r="X353" s="3" t="s">
        <v>74</v>
      </c>
      <c r="Y353" s="3" t="s">
        <v>75</v>
      </c>
      <c r="Z353" s="3" t="s">
        <v>76</v>
      </c>
      <c r="AA353" s="3" t="s">
        <v>601</v>
      </c>
      <c r="AB353" s="4">
        <v>0</v>
      </c>
      <c r="AC353" s="4">
        <v>800000</v>
      </c>
      <c r="AD353" s="4">
        <v>0</v>
      </c>
      <c r="AE353" s="4">
        <v>800000</v>
      </c>
      <c r="AF353" s="4">
        <v>0</v>
      </c>
      <c r="AG353" s="4">
        <v>0</v>
      </c>
      <c r="AH353" s="4">
        <v>0</v>
      </c>
      <c r="AI353" s="4">
        <v>0</v>
      </c>
      <c r="AJ353" s="4">
        <v>0</v>
      </c>
      <c r="AK353" s="4">
        <v>0</v>
      </c>
      <c r="AL353" s="4">
        <v>0</v>
      </c>
      <c r="AM353" s="4">
        <v>0</v>
      </c>
      <c r="AN353" s="4">
        <v>0</v>
      </c>
      <c r="AO353" s="4">
        <v>0</v>
      </c>
      <c r="AP353" s="4">
        <v>0</v>
      </c>
      <c r="AQ353" s="4">
        <v>800000</v>
      </c>
      <c r="AR353" s="4">
        <v>736240</v>
      </c>
      <c r="AS353" s="4">
        <v>736240</v>
      </c>
      <c r="AT353" s="4">
        <v>0</v>
      </c>
      <c r="AU353" s="4">
        <v>0</v>
      </c>
      <c r="AV353" s="4">
        <v>0</v>
      </c>
      <c r="AW353" s="4">
        <v>0</v>
      </c>
      <c r="AX353" s="4">
        <v>63760</v>
      </c>
      <c r="AY353" s="4">
        <v>63760</v>
      </c>
    </row>
    <row r="354" spans="1:51">
      <c r="A354" s="3" t="s">
        <v>52</v>
      </c>
      <c r="B354" s="3" t="s">
        <v>53</v>
      </c>
      <c r="C354" s="3" t="s">
        <v>54</v>
      </c>
      <c r="D354" s="3" t="s">
        <v>55</v>
      </c>
      <c r="E354" s="3" t="s">
        <v>56</v>
      </c>
      <c r="F354" s="3" t="s">
        <v>57</v>
      </c>
      <c r="G354" s="3" t="s">
        <v>58</v>
      </c>
      <c r="H354" s="3" t="s">
        <v>59</v>
      </c>
      <c r="I354" s="3" t="s">
        <v>60</v>
      </c>
      <c r="J354" s="3" t="s">
        <v>61</v>
      </c>
      <c r="K354" s="3" t="s">
        <v>62</v>
      </c>
      <c r="L354" s="3" t="s">
        <v>63</v>
      </c>
      <c r="M354" s="3" t="s">
        <v>400</v>
      </c>
      <c r="N354" s="3" t="s">
        <v>401</v>
      </c>
      <c r="O354" s="3" t="s">
        <v>402</v>
      </c>
      <c r="P354" s="3" t="s">
        <v>403</v>
      </c>
      <c r="Q354" s="3" t="s">
        <v>592</v>
      </c>
      <c r="R354" s="3" t="s">
        <v>593</v>
      </c>
      <c r="S354" s="3" t="s">
        <v>146</v>
      </c>
      <c r="T354" s="3" t="s">
        <v>602</v>
      </c>
      <c r="U354" s="3" t="s">
        <v>54</v>
      </c>
      <c r="V354" s="3" t="s">
        <v>72</v>
      </c>
      <c r="W354" s="3" t="s">
        <v>73</v>
      </c>
      <c r="X354" s="3" t="s">
        <v>74</v>
      </c>
      <c r="Y354" s="3" t="s">
        <v>75</v>
      </c>
      <c r="Z354" s="3" t="s">
        <v>76</v>
      </c>
      <c r="AA354" s="3" t="s">
        <v>603</v>
      </c>
      <c r="AB354" s="4">
        <v>0</v>
      </c>
      <c r="AC354" s="4">
        <v>800000</v>
      </c>
      <c r="AD354" s="4">
        <v>0</v>
      </c>
      <c r="AE354" s="4">
        <v>800000</v>
      </c>
      <c r="AF354" s="4">
        <v>0</v>
      </c>
      <c r="AG354" s="4">
        <v>0</v>
      </c>
      <c r="AH354" s="4">
        <v>0</v>
      </c>
      <c r="AI354" s="4">
        <v>0</v>
      </c>
      <c r="AJ354" s="4">
        <v>0</v>
      </c>
      <c r="AK354" s="4">
        <v>0</v>
      </c>
      <c r="AL354" s="4">
        <v>0</v>
      </c>
      <c r="AM354" s="4">
        <v>0</v>
      </c>
      <c r="AN354" s="4">
        <v>0</v>
      </c>
      <c r="AO354" s="4">
        <v>0</v>
      </c>
      <c r="AP354" s="4">
        <v>0</v>
      </c>
      <c r="AQ354" s="4">
        <v>800000</v>
      </c>
      <c r="AR354" s="4">
        <v>528000</v>
      </c>
      <c r="AS354" s="4">
        <v>528000</v>
      </c>
      <c r="AT354" s="4">
        <v>0</v>
      </c>
      <c r="AU354" s="4">
        <v>0</v>
      </c>
      <c r="AV354" s="4">
        <v>0</v>
      </c>
      <c r="AW354" s="4">
        <v>0</v>
      </c>
      <c r="AX354" s="4">
        <v>272000</v>
      </c>
      <c r="AY354" s="4">
        <v>272000</v>
      </c>
    </row>
    <row r="355" spans="1:51">
      <c r="A355" s="3" t="s">
        <v>52</v>
      </c>
      <c r="B355" s="3" t="s">
        <v>53</v>
      </c>
      <c r="C355" s="3" t="s">
        <v>54</v>
      </c>
      <c r="D355" s="3" t="s">
        <v>55</v>
      </c>
      <c r="E355" s="3" t="s">
        <v>56</v>
      </c>
      <c r="F355" s="3" t="s">
        <v>57</v>
      </c>
      <c r="G355" s="3" t="s">
        <v>58</v>
      </c>
      <c r="H355" s="3" t="s">
        <v>59</v>
      </c>
      <c r="I355" s="3" t="s">
        <v>60</v>
      </c>
      <c r="J355" s="3" t="s">
        <v>61</v>
      </c>
      <c r="K355" s="3" t="s">
        <v>62</v>
      </c>
      <c r="L355" s="3" t="s">
        <v>63</v>
      </c>
      <c r="M355" s="3" t="s">
        <v>400</v>
      </c>
      <c r="N355" s="3" t="s">
        <v>401</v>
      </c>
      <c r="O355" s="3" t="s">
        <v>402</v>
      </c>
      <c r="P355" s="3" t="s">
        <v>403</v>
      </c>
      <c r="Q355" s="3" t="s">
        <v>592</v>
      </c>
      <c r="R355" s="3" t="s">
        <v>593</v>
      </c>
      <c r="S355" s="3" t="s">
        <v>604</v>
      </c>
      <c r="T355" s="3" t="s">
        <v>605</v>
      </c>
      <c r="U355" s="3" t="s">
        <v>54</v>
      </c>
      <c r="V355" s="3" t="s">
        <v>72</v>
      </c>
      <c r="W355" s="3" t="s">
        <v>94</v>
      </c>
      <c r="X355" s="3" t="s">
        <v>95</v>
      </c>
      <c r="Y355" s="3" t="s">
        <v>96</v>
      </c>
      <c r="Z355" s="3" t="s">
        <v>95</v>
      </c>
      <c r="AA355" s="3" t="s">
        <v>606</v>
      </c>
      <c r="AB355" s="4">
        <v>0</v>
      </c>
      <c r="AC355" s="4">
        <v>34800000</v>
      </c>
      <c r="AD355" s="4">
        <v>0</v>
      </c>
      <c r="AE355" s="4">
        <v>34800000</v>
      </c>
      <c r="AF355" s="4">
        <v>0</v>
      </c>
      <c r="AG355" s="4">
        <v>0</v>
      </c>
      <c r="AH355" s="4">
        <v>0</v>
      </c>
      <c r="AI355" s="4">
        <v>0</v>
      </c>
      <c r="AJ355" s="4">
        <v>0</v>
      </c>
      <c r="AK355" s="4">
        <v>0</v>
      </c>
      <c r="AL355" s="4">
        <v>0</v>
      </c>
      <c r="AM355" s="4">
        <v>0</v>
      </c>
      <c r="AN355" s="4">
        <v>0</v>
      </c>
      <c r="AO355" s="4">
        <v>0</v>
      </c>
      <c r="AP355" s="4">
        <v>0</v>
      </c>
      <c r="AQ355" s="4">
        <v>34800000</v>
      </c>
      <c r="AR355" s="4">
        <v>14425000</v>
      </c>
      <c r="AS355" s="4">
        <v>14425000</v>
      </c>
      <c r="AT355" s="4">
        <v>0</v>
      </c>
      <c r="AU355" s="4">
        <v>0</v>
      </c>
      <c r="AV355" s="4">
        <v>0</v>
      </c>
      <c r="AW355" s="4">
        <v>0</v>
      </c>
      <c r="AX355" s="4">
        <v>20375000</v>
      </c>
      <c r="AY355" s="4">
        <v>20375000</v>
      </c>
    </row>
    <row r="356" spans="1:51">
      <c r="A356" s="3" t="s">
        <v>52</v>
      </c>
      <c r="B356" s="3" t="s">
        <v>53</v>
      </c>
      <c r="C356" s="3" t="s">
        <v>54</v>
      </c>
      <c r="D356" s="3" t="s">
        <v>55</v>
      </c>
      <c r="E356" s="3" t="s">
        <v>56</v>
      </c>
      <c r="F356" s="3" t="s">
        <v>57</v>
      </c>
      <c r="G356" s="3" t="s">
        <v>58</v>
      </c>
      <c r="H356" s="3" t="s">
        <v>59</v>
      </c>
      <c r="I356" s="3" t="s">
        <v>60</v>
      </c>
      <c r="J356" s="3" t="s">
        <v>61</v>
      </c>
      <c r="K356" s="3" t="s">
        <v>62</v>
      </c>
      <c r="L356" s="3" t="s">
        <v>63</v>
      </c>
      <c r="M356" s="3" t="s">
        <v>400</v>
      </c>
      <c r="N356" s="3" t="s">
        <v>401</v>
      </c>
      <c r="O356" s="3" t="s">
        <v>402</v>
      </c>
      <c r="P356" s="3" t="s">
        <v>403</v>
      </c>
      <c r="Q356" s="3" t="s">
        <v>592</v>
      </c>
      <c r="R356" s="3" t="s">
        <v>593</v>
      </c>
      <c r="S356" s="3" t="s">
        <v>607</v>
      </c>
      <c r="T356" s="3" t="s">
        <v>608</v>
      </c>
      <c r="U356" s="3" t="s">
        <v>191</v>
      </c>
      <c r="V356" s="3" t="s">
        <v>192</v>
      </c>
      <c r="W356" s="3" t="s">
        <v>193</v>
      </c>
      <c r="X356" s="3" t="s">
        <v>192</v>
      </c>
      <c r="Y356" s="3" t="s">
        <v>194</v>
      </c>
      <c r="Z356" s="3" t="s">
        <v>192</v>
      </c>
      <c r="AA356" s="3" t="s">
        <v>609</v>
      </c>
      <c r="AB356" s="4">
        <v>0</v>
      </c>
      <c r="AC356" s="4">
        <v>3000000</v>
      </c>
      <c r="AD356" s="4">
        <v>0</v>
      </c>
      <c r="AE356" s="4">
        <v>3000000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0</v>
      </c>
      <c r="AL356" s="4">
        <v>0</v>
      </c>
      <c r="AM356" s="4">
        <v>0</v>
      </c>
      <c r="AN356" s="4">
        <v>0</v>
      </c>
      <c r="AO356" s="4">
        <v>0</v>
      </c>
      <c r="AP356" s="4">
        <v>0</v>
      </c>
      <c r="AQ356" s="4">
        <v>3000000</v>
      </c>
      <c r="AR356" s="4">
        <v>1024000</v>
      </c>
      <c r="AS356" s="4">
        <v>1024000</v>
      </c>
      <c r="AT356" s="4">
        <v>0</v>
      </c>
      <c r="AU356" s="4">
        <v>0</v>
      </c>
      <c r="AV356" s="4">
        <v>0</v>
      </c>
      <c r="AW356" s="4">
        <v>0</v>
      </c>
      <c r="AX356" s="4">
        <v>1976000</v>
      </c>
      <c r="AY356" s="4">
        <v>1976000</v>
      </c>
    </row>
    <row r="357" spans="1:51">
      <c r="A357" s="3" t="s">
        <v>52</v>
      </c>
      <c r="B357" s="3" t="s">
        <v>53</v>
      </c>
      <c r="C357" s="3" t="s">
        <v>54</v>
      </c>
      <c r="D357" s="3" t="s">
        <v>55</v>
      </c>
      <c r="E357" s="3" t="s">
        <v>56</v>
      </c>
      <c r="F357" s="3" t="s">
        <v>57</v>
      </c>
      <c r="G357" s="3" t="s">
        <v>58</v>
      </c>
      <c r="H357" s="3" t="s">
        <v>59</v>
      </c>
      <c r="I357" s="3" t="s">
        <v>60</v>
      </c>
      <c r="J357" s="3" t="s">
        <v>61</v>
      </c>
      <c r="K357" s="3" t="s">
        <v>62</v>
      </c>
      <c r="L357" s="3" t="s">
        <v>63</v>
      </c>
      <c r="M357" s="3" t="s">
        <v>400</v>
      </c>
      <c r="N357" s="3" t="s">
        <v>401</v>
      </c>
      <c r="O357" s="3" t="s">
        <v>402</v>
      </c>
      <c r="P357" s="3" t="s">
        <v>403</v>
      </c>
      <c r="Q357" s="3" t="s">
        <v>592</v>
      </c>
      <c r="R357" s="3" t="s">
        <v>593</v>
      </c>
      <c r="S357" s="3" t="s">
        <v>610</v>
      </c>
      <c r="T357" s="3" t="s">
        <v>611</v>
      </c>
      <c r="U357" s="3" t="s">
        <v>54</v>
      </c>
      <c r="V357" s="3" t="s">
        <v>72</v>
      </c>
      <c r="W357" s="3" t="s">
        <v>94</v>
      </c>
      <c r="X357" s="3" t="s">
        <v>95</v>
      </c>
      <c r="Y357" s="3" t="s">
        <v>96</v>
      </c>
      <c r="Z357" s="3" t="s">
        <v>95</v>
      </c>
      <c r="AA357" s="3" t="s">
        <v>612</v>
      </c>
      <c r="AB357" s="4">
        <v>0</v>
      </c>
      <c r="AC357" s="4">
        <v>0</v>
      </c>
      <c r="AD357" s="4">
        <v>8314000</v>
      </c>
      <c r="AE357" s="4">
        <v>8314000</v>
      </c>
      <c r="AF357" s="4">
        <v>0</v>
      </c>
      <c r="AG357" s="4">
        <v>0</v>
      </c>
      <c r="AH357" s="4">
        <v>0</v>
      </c>
      <c r="AI357" s="4">
        <v>0</v>
      </c>
      <c r="AJ357" s="4">
        <v>0</v>
      </c>
      <c r="AK357" s="4">
        <v>0</v>
      </c>
      <c r="AL357" s="4">
        <v>0</v>
      </c>
      <c r="AM357" s="4">
        <v>0</v>
      </c>
      <c r="AN357" s="4">
        <v>0</v>
      </c>
      <c r="AO357" s="4">
        <v>0</v>
      </c>
      <c r="AP357" s="4">
        <v>0</v>
      </c>
      <c r="AQ357" s="4">
        <v>8314000</v>
      </c>
      <c r="AR357" s="4">
        <v>8066500</v>
      </c>
      <c r="AS357" s="4">
        <v>0</v>
      </c>
      <c r="AT357" s="4">
        <v>0</v>
      </c>
      <c r="AU357" s="4">
        <v>0</v>
      </c>
      <c r="AV357" s="4">
        <v>0</v>
      </c>
      <c r="AW357" s="4">
        <v>0</v>
      </c>
      <c r="AX357" s="4">
        <v>247500</v>
      </c>
      <c r="AY357" s="4">
        <v>8314000</v>
      </c>
    </row>
    <row r="358" spans="1:51">
      <c r="A358" s="3" t="s">
        <v>52</v>
      </c>
      <c r="B358" s="3" t="s">
        <v>53</v>
      </c>
      <c r="C358" s="3" t="s">
        <v>54</v>
      </c>
      <c r="D358" s="3" t="s">
        <v>55</v>
      </c>
      <c r="E358" s="3" t="s">
        <v>56</v>
      </c>
      <c r="F358" s="3" t="s">
        <v>57</v>
      </c>
      <c r="G358" s="3" t="s">
        <v>58</v>
      </c>
      <c r="H358" s="3" t="s">
        <v>59</v>
      </c>
      <c r="I358" s="3" t="s">
        <v>60</v>
      </c>
      <c r="J358" s="3" t="s">
        <v>61</v>
      </c>
      <c r="K358" s="3" t="s">
        <v>62</v>
      </c>
      <c r="L358" s="3" t="s">
        <v>63</v>
      </c>
      <c r="M358" s="3" t="s">
        <v>400</v>
      </c>
      <c r="N358" s="3" t="s">
        <v>401</v>
      </c>
      <c r="O358" s="3" t="s">
        <v>402</v>
      </c>
      <c r="P358" s="3" t="s">
        <v>403</v>
      </c>
      <c r="Q358" s="3" t="s">
        <v>592</v>
      </c>
      <c r="R358" s="3" t="s">
        <v>593</v>
      </c>
      <c r="S358" s="3" t="s">
        <v>613</v>
      </c>
      <c r="T358" s="3" t="s">
        <v>614</v>
      </c>
      <c r="U358" s="3" t="s">
        <v>54</v>
      </c>
      <c r="V358" s="3" t="s">
        <v>72</v>
      </c>
      <c r="W358" s="3" t="s">
        <v>73</v>
      </c>
      <c r="X358" s="3" t="s">
        <v>74</v>
      </c>
      <c r="Y358" s="3" t="s">
        <v>75</v>
      </c>
      <c r="Z358" s="3" t="s">
        <v>76</v>
      </c>
      <c r="AA358" s="3" t="s">
        <v>615</v>
      </c>
      <c r="AB358" s="4">
        <v>0</v>
      </c>
      <c r="AC358" s="4">
        <v>13800000</v>
      </c>
      <c r="AD358" s="4">
        <v>0</v>
      </c>
      <c r="AE358" s="4">
        <v>13800000</v>
      </c>
      <c r="AF358" s="4">
        <v>0</v>
      </c>
      <c r="AG358" s="4">
        <v>0</v>
      </c>
      <c r="AH358" s="4">
        <v>0</v>
      </c>
      <c r="AI358" s="4">
        <v>0</v>
      </c>
      <c r="AJ358" s="4">
        <v>0</v>
      </c>
      <c r="AK358" s="4">
        <v>0</v>
      </c>
      <c r="AL358" s="4">
        <v>0</v>
      </c>
      <c r="AM358" s="4">
        <v>0</v>
      </c>
      <c r="AN358" s="4">
        <v>0</v>
      </c>
      <c r="AO358" s="4">
        <v>0</v>
      </c>
      <c r="AP358" s="4">
        <v>0</v>
      </c>
      <c r="AQ358" s="4">
        <v>13800000</v>
      </c>
      <c r="AR358" s="4">
        <v>4598000</v>
      </c>
      <c r="AS358" s="4">
        <v>4598000</v>
      </c>
      <c r="AT358" s="4">
        <v>0</v>
      </c>
      <c r="AU358" s="4">
        <v>0</v>
      </c>
      <c r="AV358" s="4">
        <v>0</v>
      </c>
      <c r="AW358" s="4">
        <v>0</v>
      </c>
      <c r="AX358" s="4">
        <v>9202000</v>
      </c>
      <c r="AY358" s="4">
        <v>9202000</v>
      </c>
    </row>
    <row r="359" spans="1:51">
      <c r="A359" s="3" t="s">
        <v>52</v>
      </c>
      <c r="B359" s="3" t="s">
        <v>53</v>
      </c>
      <c r="C359" s="3" t="s">
        <v>54</v>
      </c>
      <c r="D359" s="3" t="s">
        <v>55</v>
      </c>
      <c r="E359" s="3" t="s">
        <v>56</v>
      </c>
      <c r="F359" s="3" t="s">
        <v>57</v>
      </c>
      <c r="G359" s="3" t="s">
        <v>58</v>
      </c>
      <c r="H359" s="3" t="s">
        <v>59</v>
      </c>
      <c r="I359" s="3" t="s">
        <v>60</v>
      </c>
      <c r="J359" s="3" t="s">
        <v>61</v>
      </c>
      <c r="K359" s="3" t="s">
        <v>62</v>
      </c>
      <c r="L359" s="3" t="s">
        <v>63</v>
      </c>
      <c r="M359" s="3" t="s">
        <v>400</v>
      </c>
      <c r="N359" s="3" t="s">
        <v>401</v>
      </c>
      <c r="O359" s="3" t="s">
        <v>402</v>
      </c>
      <c r="P359" s="3" t="s">
        <v>403</v>
      </c>
      <c r="Q359" s="3" t="s">
        <v>592</v>
      </c>
      <c r="R359" s="3" t="s">
        <v>593</v>
      </c>
      <c r="S359" s="3" t="s">
        <v>613</v>
      </c>
      <c r="T359" s="3" t="s">
        <v>614</v>
      </c>
      <c r="U359" s="3" t="s">
        <v>54</v>
      </c>
      <c r="V359" s="3" t="s">
        <v>72</v>
      </c>
      <c r="W359" s="3" t="s">
        <v>73</v>
      </c>
      <c r="X359" s="3" t="s">
        <v>74</v>
      </c>
      <c r="Y359" s="3" t="s">
        <v>75</v>
      </c>
      <c r="Z359" s="3" t="s">
        <v>76</v>
      </c>
      <c r="AA359" s="3" t="s">
        <v>616</v>
      </c>
      <c r="AB359" s="4">
        <v>0</v>
      </c>
      <c r="AC359" s="4">
        <v>600000</v>
      </c>
      <c r="AD359" s="4">
        <v>0</v>
      </c>
      <c r="AE359" s="4">
        <v>600000</v>
      </c>
      <c r="AF359" s="4">
        <v>0</v>
      </c>
      <c r="AG359" s="4">
        <v>0</v>
      </c>
      <c r="AH359" s="4">
        <v>0</v>
      </c>
      <c r="AI359" s="4">
        <v>0</v>
      </c>
      <c r="AJ359" s="4">
        <v>0</v>
      </c>
      <c r="AK359" s="4">
        <v>0</v>
      </c>
      <c r="AL359" s="4">
        <v>0</v>
      </c>
      <c r="AM359" s="4">
        <v>0</v>
      </c>
      <c r="AN359" s="4">
        <v>0</v>
      </c>
      <c r="AO359" s="4">
        <v>0</v>
      </c>
      <c r="AP359" s="4">
        <v>0</v>
      </c>
      <c r="AQ359" s="4">
        <v>600000</v>
      </c>
      <c r="AR359" s="4">
        <v>0</v>
      </c>
      <c r="AS359" s="4">
        <v>0</v>
      </c>
      <c r="AT359" s="4">
        <v>0</v>
      </c>
      <c r="AU359" s="4">
        <v>0</v>
      </c>
      <c r="AV359" s="4">
        <v>0</v>
      </c>
      <c r="AW359" s="4">
        <v>0</v>
      </c>
      <c r="AX359" s="4">
        <v>600000</v>
      </c>
      <c r="AY359" s="4">
        <v>600000</v>
      </c>
    </row>
    <row r="360" spans="1:51">
      <c r="A360" s="3" t="s">
        <v>52</v>
      </c>
      <c r="B360" s="3" t="s">
        <v>53</v>
      </c>
      <c r="C360" s="3" t="s">
        <v>54</v>
      </c>
      <c r="D360" s="3" t="s">
        <v>55</v>
      </c>
      <c r="E360" s="3" t="s">
        <v>56</v>
      </c>
      <c r="F360" s="3" t="s">
        <v>57</v>
      </c>
      <c r="G360" s="3" t="s">
        <v>58</v>
      </c>
      <c r="H360" s="3" t="s">
        <v>59</v>
      </c>
      <c r="I360" s="3" t="s">
        <v>60</v>
      </c>
      <c r="J360" s="3" t="s">
        <v>61</v>
      </c>
      <c r="K360" s="3" t="s">
        <v>62</v>
      </c>
      <c r="L360" s="3" t="s">
        <v>63</v>
      </c>
      <c r="M360" s="3" t="s">
        <v>400</v>
      </c>
      <c r="N360" s="3" t="s">
        <v>401</v>
      </c>
      <c r="O360" s="3" t="s">
        <v>402</v>
      </c>
      <c r="P360" s="3" t="s">
        <v>403</v>
      </c>
      <c r="Q360" s="3" t="s">
        <v>592</v>
      </c>
      <c r="R360" s="3" t="s">
        <v>593</v>
      </c>
      <c r="S360" s="3" t="s">
        <v>613</v>
      </c>
      <c r="T360" s="3" t="s">
        <v>614</v>
      </c>
      <c r="U360" s="3" t="s">
        <v>54</v>
      </c>
      <c r="V360" s="3" t="s">
        <v>72</v>
      </c>
      <c r="W360" s="3" t="s">
        <v>73</v>
      </c>
      <c r="X360" s="3" t="s">
        <v>74</v>
      </c>
      <c r="Y360" s="3" t="s">
        <v>75</v>
      </c>
      <c r="Z360" s="3" t="s">
        <v>76</v>
      </c>
      <c r="AA360" s="3" t="s">
        <v>617</v>
      </c>
      <c r="AB360" s="4">
        <v>0</v>
      </c>
      <c r="AC360" s="4">
        <v>600000</v>
      </c>
      <c r="AD360" s="4">
        <v>0</v>
      </c>
      <c r="AE360" s="4">
        <v>600000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4">
        <v>0</v>
      </c>
      <c r="AM360" s="4">
        <v>0</v>
      </c>
      <c r="AN360" s="4">
        <v>0</v>
      </c>
      <c r="AO360" s="4">
        <v>0</v>
      </c>
      <c r="AP360" s="4">
        <v>0</v>
      </c>
      <c r="AQ360" s="4">
        <v>600000</v>
      </c>
      <c r="AR360" s="4">
        <v>402320</v>
      </c>
      <c r="AS360" s="4">
        <v>353490</v>
      </c>
      <c r="AT360" s="4">
        <v>0</v>
      </c>
      <c r="AU360" s="4">
        <v>0</v>
      </c>
      <c r="AV360" s="4">
        <v>0</v>
      </c>
      <c r="AW360" s="4">
        <v>0</v>
      </c>
      <c r="AX360" s="4">
        <v>197680</v>
      </c>
      <c r="AY360" s="4">
        <v>246510</v>
      </c>
    </row>
    <row r="361" spans="1:51">
      <c r="A361" s="3" t="s">
        <v>52</v>
      </c>
      <c r="B361" s="3" t="s">
        <v>53</v>
      </c>
      <c r="C361" s="3" t="s">
        <v>54</v>
      </c>
      <c r="D361" s="3" t="s">
        <v>55</v>
      </c>
      <c r="E361" s="3" t="s">
        <v>56</v>
      </c>
      <c r="F361" s="3" t="s">
        <v>57</v>
      </c>
      <c r="G361" s="3" t="s">
        <v>58</v>
      </c>
      <c r="H361" s="3" t="s">
        <v>59</v>
      </c>
      <c r="I361" s="3" t="s">
        <v>60</v>
      </c>
      <c r="J361" s="3" t="s">
        <v>61</v>
      </c>
      <c r="K361" s="3" t="s">
        <v>62</v>
      </c>
      <c r="L361" s="3" t="s">
        <v>63</v>
      </c>
      <c r="M361" s="3" t="s">
        <v>400</v>
      </c>
      <c r="N361" s="3" t="s">
        <v>401</v>
      </c>
      <c r="O361" s="3" t="s">
        <v>402</v>
      </c>
      <c r="P361" s="3" t="s">
        <v>403</v>
      </c>
      <c r="Q361" s="3" t="s">
        <v>592</v>
      </c>
      <c r="R361" s="3" t="s">
        <v>593</v>
      </c>
      <c r="S361" s="3" t="s">
        <v>613</v>
      </c>
      <c r="T361" s="3" t="s">
        <v>614</v>
      </c>
      <c r="U361" s="3" t="s">
        <v>54</v>
      </c>
      <c r="V361" s="3" t="s">
        <v>72</v>
      </c>
      <c r="W361" s="3" t="s">
        <v>94</v>
      </c>
      <c r="X361" s="3" t="s">
        <v>95</v>
      </c>
      <c r="Y361" s="3" t="s">
        <v>96</v>
      </c>
      <c r="Z361" s="3" t="s">
        <v>95</v>
      </c>
      <c r="AA361" s="3" t="s">
        <v>618</v>
      </c>
      <c r="AB361" s="4">
        <v>0</v>
      </c>
      <c r="AC361" s="4">
        <v>38400000</v>
      </c>
      <c r="AD361" s="4">
        <v>0</v>
      </c>
      <c r="AE361" s="4">
        <v>38400000</v>
      </c>
      <c r="AF361" s="4">
        <v>0</v>
      </c>
      <c r="AG361" s="4">
        <v>0</v>
      </c>
      <c r="AH361" s="4">
        <v>0</v>
      </c>
      <c r="AI361" s="4">
        <v>0</v>
      </c>
      <c r="AJ361" s="4">
        <v>0</v>
      </c>
      <c r="AK361" s="4">
        <v>0</v>
      </c>
      <c r="AL361" s="4">
        <v>0</v>
      </c>
      <c r="AM361" s="4">
        <v>0</v>
      </c>
      <c r="AN361" s="4">
        <v>0</v>
      </c>
      <c r="AO361" s="4">
        <v>0</v>
      </c>
      <c r="AP361" s="4">
        <v>0</v>
      </c>
      <c r="AQ361" s="4">
        <v>38400000</v>
      </c>
      <c r="AR361" s="4">
        <v>25877240</v>
      </c>
      <c r="AS361" s="4">
        <v>20037240</v>
      </c>
      <c r="AT361" s="4">
        <v>0</v>
      </c>
      <c r="AU361" s="4">
        <v>0</v>
      </c>
      <c r="AV361" s="4">
        <v>0</v>
      </c>
      <c r="AW361" s="4">
        <v>0</v>
      </c>
      <c r="AX361" s="4">
        <v>12522760</v>
      </c>
      <c r="AY361" s="4">
        <v>18362760</v>
      </c>
    </row>
    <row r="362" spans="1:51">
      <c r="A362" s="3" t="s">
        <v>52</v>
      </c>
      <c r="B362" s="3" t="s">
        <v>53</v>
      </c>
      <c r="C362" s="3" t="s">
        <v>54</v>
      </c>
      <c r="D362" s="3" t="s">
        <v>55</v>
      </c>
      <c r="E362" s="3" t="s">
        <v>56</v>
      </c>
      <c r="F362" s="3" t="s">
        <v>57</v>
      </c>
      <c r="G362" s="3" t="s">
        <v>58</v>
      </c>
      <c r="H362" s="3" t="s">
        <v>59</v>
      </c>
      <c r="I362" s="3" t="s">
        <v>60</v>
      </c>
      <c r="J362" s="3" t="s">
        <v>61</v>
      </c>
      <c r="K362" s="3" t="s">
        <v>62</v>
      </c>
      <c r="L362" s="3" t="s">
        <v>63</v>
      </c>
      <c r="M362" s="3" t="s">
        <v>400</v>
      </c>
      <c r="N362" s="3" t="s">
        <v>401</v>
      </c>
      <c r="O362" s="3" t="s">
        <v>402</v>
      </c>
      <c r="P362" s="3" t="s">
        <v>403</v>
      </c>
      <c r="Q362" s="3" t="s">
        <v>592</v>
      </c>
      <c r="R362" s="3" t="s">
        <v>593</v>
      </c>
      <c r="S362" s="3" t="s">
        <v>613</v>
      </c>
      <c r="T362" s="3" t="s">
        <v>614</v>
      </c>
      <c r="U362" s="3" t="s">
        <v>54</v>
      </c>
      <c r="V362" s="3" t="s">
        <v>72</v>
      </c>
      <c r="W362" s="3" t="s">
        <v>94</v>
      </c>
      <c r="X362" s="3" t="s">
        <v>95</v>
      </c>
      <c r="Y362" s="3" t="s">
        <v>96</v>
      </c>
      <c r="Z362" s="3" t="s">
        <v>95</v>
      </c>
      <c r="AA362" s="3" t="s">
        <v>619</v>
      </c>
      <c r="AB362" s="4">
        <v>0</v>
      </c>
      <c r="AC362" s="4">
        <v>3600000</v>
      </c>
      <c r="AD362" s="4">
        <v>0</v>
      </c>
      <c r="AE362" s="4">
        <v>3600000</v>
      </c>
      <c r="AF362" s="4">
        <v>0</v>
      </c>
      <c r="AG362" s="4">
        <v>0</v>
      </c>
      <c r="AH362" s="4">
        <v>0</v>
      </c>
      <c r="AI362" s="4">
        <v>0</v>
      </c>
      <c r="AJ362" s="4">
        <v>0</v>
      </c>
      <c r="AK362" s="4">
        <v>0</v>
      </c>
      <c r="AL362" s="4">
        <v>0</v>
      </c>
      <c r="AM362" s="4">
        <v>0</v>
      </c>
      <c r="AN362" s="4">
        <v>0</v>
      </c>
      <c r="AO362" s="4">
        <v>0</v>
      </c>
      <c r="AP362" s="4">
        <v>0</v>
      </c>
      <c r="AQ362" s="4">
        <v>3600000</v>
      </c>
      <c r="AR362" s="4">
        <v>3588000</v>
      </c>
      <c r="AS362" s="4">
        <v>3090000</v>
      </c>
      <c r="AT362" s="4">
        <v>0</v>
      </c>
      <c r="AU362" s="4">
        <v>0</v>
      </c>
      <c r="AV362" s="4">
        <v>0</v>
      </c>
      <c r="AW362" s="4">
        <v>0</v>
      </c>
      <c r="AX362" s="4">
        <v>12000</v>
      </c>
      <c r="AY362" s="4">
        <v>510000</v>
      </c>
    </row>
    <row r="363" spans="1:51">
      <c r="A363" s="3" t="s">
        <v>52</v>
      </c>
      <c r="B363" s="3" t="s">
        <v>53</v>
      </c>
      <c r="C363" s="3" t="s">
        <v>54</v>
      </c>
      <c r="D363" s="3" t="s">
        <v>55</v>
      </c>
      <c r="E363" s="3" t="s">
        <v>56</v>
      </c>
      <c r="F363" s="3" t="s">
        <v>57</v>
      </c>
      <c r="G363" s="3" t="s">
        <v>58</v>
      </c>
      <c r="H363" s="3" t="s">
        <v>59</v>
      </c>
      <c r="I363" s="3" t="s">
        <v>60</v>
      </c>
      <c r="J363" s="3" t="s">
        <v>61</v>
      </c>
      <c r="K363" s="3" t="s">
        <v>62</v>
      </c>
      <c r="L363" s="3" t="s">
        <v>63</v>
      </c>
      <c r="M363" s="3" t="s">
        <v>400</v>
      </c>
      <c r="N363" s="3" t="s">
        <v>401</v>
      </c>
      <c r="O363" s="3" t="s">
        <v>402</v>
      </c>
      <c r="P363" s="3" t="s">
        <v>403</v>
      </c>
      <c r="Q363" s="3" t="s">
        <v>592</v>
      </c>
      <c r="R363" s="3" t="s">
        <v>593</v>
      </c>
      <c r="S363" s="3" t="s">
        <v>613</v>
      </c>
      <c r="T363" s="3" t="s">
        <v>614</v>
      </c>
      <c r="U363" s="3" t="s">
        <v>54</v>
      </c>
      <c r="V363" s="3" t="s">
        <v>72</v>
      </c>
      <c r="W363" s="3" t="s">
        <v>94</v>
      </c>
      <c r="X363" s="3" t="s">
        <v>95</v>
      </c>
      <c r="Y363" s="3" t="s">
        <v>96</v>
      </c>
      <c r="Z363" s="3" t="s">
        <v>95</v>
      </c>
      <c r="AA363" s="3" t="s">
        <v>620</v>
      </c>
      <c r="AB363" s="4">
        <v>0</v>
      </c>
      <c r="AC363" s="4">
        <v>3600000</v>
      </c>
      <c r="AD363" s="4">
        <v>0</v>
      </c>
      <c r="AE363" s="4">
        <v>3600000</v>
      </c>
      <c r="AF363" s="4">
        <v>0</v>
      </c>
      <c r="AG363" s="4">
        <v>0</v>
      </c>
      <c r="AH363" s="4">
        <v>0</v>
      </c>
      <c r="AI363" s="4">
        <v>0</v>
      </c>
      <c r="AJ363" s="4">
        <v>0</v>
      </c>
      <c r="AK363" s="4">
        <v>0</v>
      </c>
      <c r="AL363" s="4">
        <v>0</v>
      </c>
      <c r="AM363" s="4">
        <v>0</v>
      </c>
      <c r="AN363" s="4">
        <v>0</v>
      </c>
      <c r="AO363" s="4">
        <v>0</v>
      </c>
      <c r="AP363" s="4">
        <v>0</v>
      </c>
      <c r="AQ363" s="4">
        <v>3600000</v>
      </c>
      <c r="AR363" s="4">
        <v>1097860</v>
      </c>
      <c r="AS363" s="4">
        <v>1097860</v>
      </c>
      <c r="AT363" s="4">
        <v>0</v>
      </c>
      <c r="AU363" s="4">
        <v>0</v>
      </c>
      <c r="AV363" s="4">
        <v>0</v>
      </c>
      <c r="AW363" s="4">
        <v>0</v>
      </c>
      <c r="AX363" s="4">
        <v>2502140</v>
      </c>
      <c r="AY363" s="4">
        <v>2502140</v>
      </c>
    </row>
    <row r="364" spans="1:51">
      <c r="A364" s="3" t="s">
        <v>52</v>
      </c>
      <c r="B364" s="3" t="s">
        <v>53</v>
      </c>
      <c r="C364" s="3" t="s">
        <v>54</v>
      </c>
      <c r="D364" s="3" t="s">
        <v>55</v>
      </c>
      <c r="E364" s="3" t="s">
        <v>56</v>
      </c>
      <c r="F364" s="3" t="s">
        <v>57</v>
      </c>
      <c r="G364" s="3" t="s">
        <v>58</v>
      </c>
      <c r="H364" s="3" t="s">
        <v>59</v>
      </c>
      <c r="I364" s="3" t="s">
        <v>60</v>
      </c>
      <c r="J364" s="3" t="s">
        <v>61</v>
      </c>
      <c r="K364" s="3" t="s">
        <v>62</v>
      </c>
      <c r="L364" s="3" t="s">
        <v>63</v>
      </c>
      <c r="M364" s="3" t="s">
        <v>400</v>
      </c>
      <c r="N364" s="3" t="s">
        <v>401</v>
      </c>
      <c r="O364" s="3" t="s">
        <v>402</v>
      </c>
      <c r="P364" s="3" t="s">
        <v>403</v>
      </c>
      <c r="Q364" s="3" t="s">
        <v>592</v>
      </c>
      <c r="R364" s="3" t="s">
        <v>593</v>
      </c>
      <c r="S364" s="3" t="s">
        <v>613</v>
      </c>
      <c r="T364" s="3" t="s">
        <v>614</v>
      </c>
      <c r="U364" s="3" t="s">
        <v>54</v>
      </c>
      <c r="V364" s="3" t="s">
        <v>72</v>
      </c>
      <c r="W364" s="3" t="s">
        <v>94</v>
      </c>
      <c r="X364" s="3" t="s">
        <v>95</v>
      </c>
      <c r="Y364" s="3" t="s">
        <v>96</v>
      </c>
      <c r="Z364" s="3" t="s">
        <v>95</v>
      </c>
      <c r="AA364" s="3" t="s">
        <v>621</v>
      </c>
      <c r="AB364" s="4">
        <v>0</v>
      </c>
      <c r="AC364" s="4">
        <v>9367000</v>
      </c>
      <c r="AD364" s="4">
        <v>0</v>
      </c>
      <c r="AE364" s="4">
        <v>9367000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4">
        <v>0</v>
      </c>
      <c r="AM364" s="4">
        <v>0</v>
      </c>
      <c r="AN364" s="4">
        <v>0</v>
      </c>
      <c r="AO364" s="4">
        <v>0</v>
      </c>
      <c r="AP364" s="4">
        <v>0</v>
      </c>
      <c r="AQ364" s="4">
        <v>9367000</v>
      </c>
      <c r="AR364" s="4">
        <v>2398440</v>
      </c>
      <c r="AS364" s="4">
        <v>1706400</v>
      </c>
      <c r="AT364" s="4">
        <v>0</v>
      </c>
      <c r="AU364" s="4">
        <v>0</v>
      </c>
      <c r="AV364" s="4">
        <v>0</v>
      </c>
      <c r="AW364" s="4">
        <v>0</v>
      </c>
      <c r="AX364" s="4">
        <v>6968560</v>
      </c>
      <c r="AY364" s="4">
        <v>7660600</v>
      </c>
    </row>
    <row r="365" spans="1:51">
      <c r="A365" s="3" t="s">
        <v>52</v>
      </c>
      <c r="B365" s="3" t="s">
        <v>53</v>
      </c>
      <c r="C365" s="3" t="s">
        <v>54</v>
      </c>
      <c r="D365" s="3" t="s">
        <v>55</v>
      </c>
      <c r="E365" s="3" t="s">
        <v>56</v>
      </c>
      <c r="F365" s="3" t="s">
        <v>57</v>
      </c>
      <c r="G365" s="3" t="s">
        <v>58</v>
      </c>
      <c r="H365" s="3" t="s">
        <v>59</v>
      </c>
      <c r="I365" s="3" t="s">
        <v>60</v>
      </c>
      <c r="J365" s="3" t="s">
        <v>61</v>
      </c>
      <c r="K365" s="3" t="s">
        <v>62</v>
      </c>
      <c r="L365" s="3" t="s">
        <v>63</v>
      </c>
      <c r="M365" s="3" t="s">
        <v>400</v>
      </c>
      <c r="N365" s="3" t="s">
        <v>401</v>
      </c>
      <c r="O365" s="3" t="s">
        <v>402</v>
      </c>
      <c r="P365" s="3" t="s">
        <v>403</v>
      </c>
      <c r="Q365" s="3" t="s">
        <v>592</v>
      </c>
      <c r="R365" s="3" t="s">
        <v>593</v>
      </c>
      <c r="S365" s="3" t="s">
        <v>613</v>
      </c>
      <c r="T365" s="3" t="s">
        <v>614</v>
      </c>
      <c r="U365" s="3" t="s">
        <v>54</v>
      </c>
      <c r="V365" s="3" t="s">
        <v>72</v>
      </c>
      <c r="W365" s="3" t="s">
        <v>123</v>
      </c>
      <c r="X365" s="3" t="s">
        <v>124</v>
      </c>
      <c r="Y365" s="3" t="s">
        <v>137</v>
      </c>
      <c r="Z365" s="3" t="s">
        <v>138</v>
      </c>
      <c r="AA365" s="3" t="s">
        <v>622</v>
      </c>
      <c r="AB365" s="4">
        <v>0</v>
      </c>
      <c r="AC365" s="4">
        <v>120000</v>
      </c>
      <c r="AD365" s="4">
        <v>0</v>
      </c>
      <c r="AE365" s="4">
        <v>120000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4">
        <v>0</v>
      </c>
      <c r="AM365" s="4">
        <v>0</v>
      </c>
      <c r="AN365" s="4">
        <v>0</v>
      </c>
      <c r="AO365" s="4">
        <v>0</v>
      </c>
      <c r="AP365" s="4">
        <v>0</v>
      </c>
      <c r="AQ365" s="4">
        <v>120000</v>
      </c>
      <c r="AR365" s="4">
        <v>9670</v>
      </c>
      <c r="AS365" s="4">
        <v>9670</v>
      </c>
      <c r="AT365" s="4">
        <v>0</v>
      </c>
      <c r="AU365" s="4">
        <v>0</v>
      </c>
      <c r="AV365" s="4">
        <v>0</v>
      </c>
      <c r="AW365" s="4">
        <v>0</v>
      </c>
      <c r="AX365" s="4">
        <v>110330</v>
      </c>
      <c r="AY365" s="4">
        <v>110330</v>
      </c>
    </row>
    <row r="366" spans="1:51">
      <c r="A366" s="3" t="s">
        <v>52</v>
      </c>
      <c r="B366" s="3" t="s">
        <v>53</v>
      </c>
      <c r="C366" s="3" t="s">
        <v>54</v>
      </c>
      <c r="D366" s="3" t="s">
        <v>55</v>
      </c>
      <c r="E366" s="3" t="s">
        <v>56</v>
      </c>
      <c r="F366" s="3" t="s">
        <v>57</v>
      </c>
      <c r="G366" s="3" t="s">
        <v>58</v>
      </c>
      <c r="H366" s="3" t="s">
        <v>59</v>
      </c>
      <c r="I366" s="3" t="s">
        <v>60</v>
      </c>
      <c r="J366" s="3" t="s">
        <v>61</v>
      </c>
      <c r="K366" s="3" t="s">
        <v>62</v>
      </c>
      <c r="L366" s="3" t="s">
        <v>63</v>
      </c>
      <c r="M366" s="3" t="s">
        <v>400</v>
      </c>
      <c r="N366" s="3" t="s">
        <v>401</v>
      </c>
      <c r="O366" s="3" t="s">
        <v>402</v>
      </c>
      <c r="P366" s="3" t="s">
        <v>403</v>
      </c>
      <c r="Q366" s="3" t="s">
        <v>592</v>
      </c>
      <c r="R366" s="3" t="s">
        <v>593</v>
      </c>
      <c r="S366" s="3" t="s">
        <v>613</v>
      </c>
      <c r="T366" s="3" t="s">
        <v>614</v>
      </c>
      <c r="U366" s="3" t="s">
        <v>86</v>
      </c>
      <c r="V366" s="3" t="s">
        <v>87</v>
      </c>
      <c r="W366" s="3" t="s">
        <v>88</v>
      </c>
      <c r="X366" s="3" t="s">
        <v>89</v>
      </c>
      <c r="Y366" s="3" t="s">
        <v>105</v>
      </c>
      <c r="Z366" s="3" t="s">
        <v>106</v>
      </c>
      <c r="AA366" s="3" t="s">
        <v>623</v>
      </c>
      <c r="AB366" s="4">
        <v>0</v>
      </c>
      <c r="AC366" s="4">
        <v>240000</v>
      </c>
      <c r="AD366" s="4">
        <v>0</v>
      </c>
      <c r="AE366" s="4">
        <v>240000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4">
        <v>0</v>
      </c>
      <c r="AM366" s="4">
        <v>0</v>
      </c>
      <c r="AN366" s="4">
        <v>0</v>
      </c>
      <c r="AO366" s="4">
        <v>0</v>
      </c>
      <c r="AP366" s="4">
        <v>0</v>
      </c>
      <c r="AQ366" s="4">
        <v>240000</v>
      </c>
      <c r="AR366" s="4">
        <v>0</v>
      </c>
      <c r="AS366" s="4">
        <v>0</v>
      </c>
      <c r="AT366" s="4">
        <v>0</v>
      </c>
      <c r="AU366" s="4">
        <v>0</v>
      </c>
      <c r="AV366" s="4">
        <v>0</v>
      </c>
      <c r="AW366" s="4">
        <v>0</v>
      </c>
      <c r="AX366" s="4">
        <v>240000</v>
      </c>
      <c r="AY366" s="4">
        <v>240000</v>
      </c>
    </row>
    <row r="367" spans="1:51">
      <c r="A367" s="3" t="s">
        <v>52</v>
      </c>
      <c r="B367" s="3" t="s">
        <v>53</v>
      </c>
      <c r="C367" s="3" t="s">
        <v>54</v>
      </c>
      <c r="D367" s="3" t="s">
        <v>55</v>
      </c>
      <c r="E367" s="3" t="s">
        <v>56</v>
      </c>
      <c r="F367" s="3" t="s">
        <v>57</v>
      </c>
      <c r="G367" s="3" t="s">
        <v>58</v>
      </c>
      <c r="H367" s="3" t="s">
        <v>59</v>
      </c>
      <c r="I367" s="3" t="s">
        <v>60</v>
      </c>
      <c r="J367" s="3" t="s">
        <v>61</v>
      </c>
      <c r="K367" s="3" t="s">
        <v>62</v>
      </c>
      <c r="L367" s="3" t="s">
        <v>63</v>
      </c>
      <c r="M367" s="3" t="s">
        <v>400</v>
      </c>
      <c r="N367" s="3" t="s">
        <v>401</v>
      </c>
      <c r="O367" s="3" t="s">
        <v>402</v>
      </c>
      <c r="P367" s="3" t="s">
        <v>403</v>
      </c>
      <c r="Q367" s="3" t="s">
        <v>592</v>
      </c>
      <c r="R367" s="3" t="s">
        <v>593</v>
      </c>
      <c r="S367" s="3" t="s">
        <v>624</v>
      </c>
      <c r="T367" s="3" t="s">
        <v>625</v>
      </c>
      <c r="U367" s="3" t="s">
        <v>54</v>
      </c>
      <c r="V367" s="3" t="s">
        <v>72</v>
      </c>
      <c r="W367" s="3" t="s">
        <v>73</v>
      </c>
      <c r="X367" s="3" t="s">
        <v>74</v>
      </c>
      <c r="Y367" s="3" t="s">
        <v>75</v>
      </c>
      <c r="Z367" s="3" t="s">
        <v>76</v>
      </c>
      <c r="AA367" s="3" t="s">
        <v>626</v>
      </c>
      <c r="AB367" s="4">
        <v>0</v>
      </c>
      <c r="AC367" s="4">
        <v>1000000</v>
      </c>
      <c r="AD367" s="4">
        <v>0</v>
      </c>
      <c r="AE367" s="4">
        <v>1000000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4">
        <v>0</v>
      </c>
      <c r="AM367" s="4">
        <v>0</v>
      </c>
      <c r="AN367" s="4">
        <v>0</v>
      </c>
      <c r="AO367" s="4">
        <v>0</v>
      </c>
      <c r="AP367" s="4">
        <v>0</v>
      </c>
      <c r="AQ367" s="4">
        <v>1000000</v>
      </c>
      <c r="AR367" s="4">
        <v>1000000</v>
      </c>
      <c r="AS367" s="4">
        <v>1000000</v>
      </c>
      <c r="AT367" s="4">
        <v>0</v>
      </c>
      <c r="AU367" s="4">
        <v>0</v>
      </c>
      <c r="AV367" s="4">
        <v>0</v>
      </c>
      <c r="AW367" s="4">
        <v>0</v>
      </c>
      <c r="AX367" s="4">
        <v>0</v>
      </c>
      <c r="AY367" s="4">
        <v>0</v>
      </c>
    </row>
    <row r="368" spans="1:51">
      <c r="A368" s="3" t="s">
        <v>52</v>
      </c>
      <c r="B368" s="3" t="s">
        <v>53</v>
      </c>
      <c r="C368" s="3" t="s">
        <v>54</v>
      </c>
      <c r="D368" s="3" t="s">
        <v>55</v>
      </c>
      <c r="E368" s="3" t="s">
        <v>56</v>
      </c>
      <c r="F368" s="3" t="s">
        <v>57</v>
      </c>
      <c r="G368" s="3" t="s">
        <v>58</v>
      </c>
      <c r="H368" s="3" t="s">
        <v>59</v>
      </c>
      <c r="I368" s="3" t="s">
        <v>60</v>
      </c>
      <c r="J368" s="3" t="s">
        <v>61</v>
      </c>
      <c r="K368" s="3" t="s">
        <v>62</v>
      </c>
      <c r="L368" s="3" t="s">
        <v>63</v>
      </c>
      <c r="M368" s="3" t="s">
        <v>400</v>
      </c>
      <c r="N368" s="3" t="s">
        <v>401</v>
      </c>
      <c r="O368" s="3" t="s">
        <v>402</v>
      </c>
      <c r="P368" s="3" t="s">
        <v>403</v>
      </c>
      <c r="Q368" s="3" t="s">
        <v>592</v>
      </c>
      <c r="R368" s="3" t="s">
        <v>593</v>
      </c>
      <c r="S368" s="3" t="s">
        <v>627</v>
      </c>
      <c r="T368" s="3" t="s">
        <v>628</v>
      </c>
      <c r="U368" s="3" t="s">
        <v>54</v>
      </c>
      <c r="V368" s="3" t="s">
        <v>72</v>
      </c>
      <c r="W368" s="3" t="s">
        <v>73</v>
      </c>
      <c r="X368" s="3" t="s">
        <v>74</v>
      </c>
      <c r="Y368" s="3" t="s">
        <v>75</v>
      </c>
      <c r="Z368" s="3" t="s">
        <v>76</v>
      </c>
      <c r="AA368" s="3" t="s">
        <v>629</v>
      </c>
      <c r="AB368" s="4">
        <v>0</v>
      </c>
      <c r="AC368" s="4">
        <v>200000</v>
      </c>
      <c r="AD368" s="4">
        <v>0</v>
      </c>
      <c r="AE368" s="4">
        <v>200000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4">
        <v>0</v>
      </c>
      <c r="AM368" s="4">
        <v>0</v>
      </c>
      <c r="AN368" s="4">
        <v>0</v>
      </c>
      <c r="AO368" s="4">
        <v>0</v>
      </c>
      <c r="AP368" s="4">
        <v>0</v>
      </c>
      <c r="AQ368" s="4">
        <v>200000</v>
      </c>
      <c r="AR368" s="4">
        <v>0</v>
      </c>
      <c r="AS368" s="4">
        <v>0</v>
      </c>
      <c r="AT368" s="4">
        <v>0</v>
      </c>
      <c r="AU368" s="4">
        <v>0</v>
      </c>
      <c r="AV368" s="4">
        <v>0</v>
      </c>
      <c r="AW368" s="4">
        <v>0</v>
      </c>
      <c r="AX368" s="4">
        <v>200000</v>
      </c>
      <c r="AY368" s="4">
        <v>200000</v>
      </c>
    </row>
    <row r="369" spans="1:51">
      <c r="A369" s="3" t="s">
        <v>52</v>
      </c>
      <c r="B369" s="3" t="s">
        <v>53</v>
      </c>
      <c r="C369" s="3" t="s">
        <v>54</v>
      </c>
      <c r="D369" s="3" t="s">
        <v>55</v>
      </c>
      <c r="E369" s="3" t="s">
        <v>56</v>
      </c>
      <c r="F369" s="3" t="s">
        <v>57</v>
      </c>
      <c r="G369" s="3" t="s">
        <v>58</v>
      </c>
      <c r="H369" s="3" t="s">
        <v>59</v>
      </c>
      <c r="I369" s="3" t="s">
        <v>60</v>
      </c>
      <c r="J369" s="3" t="s">
        <v>61</v>
      </c>
      <c r="K369" s="3" t="s">
        <v>62</v>
      </c>
      <c r="L369" s="3" t="s">
        <v>63</v>
      </c>
      <c r="M369" s="3" t="s">
        <v>400</v>
      </c>
      <c r="N369" s="3" t="s">
        <v>401</v>
      </c>
      <c r="O369" s="3" t="s">
        <v>402</v>
      </c>
      <c r="P369" s="3" t="s">
        <v>403</v>
      </c>
      <c r="Q369" s="3" t="s">
        <v>592</v>
      </c>
      <c r="R369" s="3" t="s">
        <v>593</v>
      </c>
      <c r="S369" s="3" t="s">
        <v>627</v>
      </c>
      <c r="T369" s="3" t="s">
        <v>628</v>
      </c>
      <c r="U369" s="3" t="s">
        <v>54</v>
      </c>
      <c r="V369" s="3" t="s">
        <v>72</v>
      </c>
      <c r="W369" s="3" t="s">
        <v>73</v>
      </c>
      <c r="X369" s="3" t="s">
        <v>74</v>
      </c>
      <c r="Y369" s="3" t="s">
        <v>75</v>
      </c>
      <c r="Z369" s="3" t="s">
        <v>76</v>
      </c>
      <c r="AA369" s="3" t="s">
        <v>630</v>
      </c>
      <c r="AB369" s="4">
        <v>0</v>
      </c>
      <c r="AC369" s="4">
        <v>480000</v>
      </c>
      <c r="AD369" s="4">
        <v>0</v>
      </c>
      <c r="AE369" s="4">
        <v>480000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4">
        <v>0</v>
      </c>
      <c r="AM369" s="4">
        <v>0</v>
      </c>
      <c r="AN369" s="4">
        <v>0</v>
      </c>
      <c r="AO369" s="4">
        <v>0</v>
      </c>
      <c r="AP369" s="4">
        <v>0</v>
      </c>
      <c r="AQ369" s="4">
        <v>480000</v>
      </c>
      <c r="AR369" s="4">
        <v>0</v>
      </c>
      <c r="AS369" s="4">
        <v>0</v>
      </c>
      <c r="AT369" s="4">
        <v>0</v>
      </c>
      <c r="AU369" s="4">
        <v>0</v>
      </c>
      <c r="AV369" s="4">
        <v>0</v>
      </c>
      <c r="AW369" s="4">
        <v>0</v>
      </c>
      <c r="AX369" s="4">
        <v>480000</v>
      </c>
      <c r="AY369" s="4">
        <v>480000</v>
      </c>
    </row>
    <row r="370" spans="1:51">
      <c r="A370" s="3" t="s">
        <v>52</v>
      </c>
      <c r="B370" s="3" t="s">
        <v>53</v>
      </c>
      <c r="C370" s="3" t="s">
        <v>54</v>
      </c>
      <c r="D370" s="3" t="s">
        <v>55</v>
      </c>
      <c r="E370" s="3" t="s">
        <v>56</v>
      </c>
      <c r="F370" s="3" t="s">
        <v>57</v>
      </c>
      <c r="G370" s="3" t="s">
        <v>58</v>
      </c>
      <c r="H370" s="3" t="s">
        <v>59</v>
      </c>
      <c r="I370" s="3" t="s">
        <v>60</v>
      </c>
      <c r="J370" s="3" t="s">
        <v>61</v>
      </c>
      <c r="K370" s="3" t="s">
        <v>62</v>
      </c>
      <c r="L370" s="3" t="s">
        <v>63</v>
      </c>
      <c r="M370" s="3" t="s">
        <v>400</v>
      </c>
      <c r="N370" s="3" t="s">
        <v>401</v>
      </c>
      <c r="O370" s="3" t="s">
        <v>402</v>
      </c>
      <c r="P370" s="3" t="s">
        <v>403</v>
      </c>
      <c r="Q370" s="3" t="s">
        <v>592</v>
      </c>
      <c r="R370" s="3" t="s">
        <v>593</v>
      </c>
      <c r="S370" s="3" t="s">
        <v>627</v>
      </c>
      <c r="T370" s="3" t="s">
        <v>628</v>
      </c>
      <c r="U370" s="3" t="s">
        <v>54</v>
      </c>
      <c r="V370" s="3" t="s">
        <v>72</v>
      </c>
      <c r="W370" s="3" t="s">
        <v>73</v>
      </c>
      <c r="X370" s="3" t="s">
        <v>74</v>
      </c>
      <c r="Y370" s="3" t="s">
        <v>78</v>
      </c>
      <c r="Z370" s="3" t="s">
        <v>79</v>
      </c>
      <c r="AA370" s="3" t="s">
        <v>631</v>
      </c>
      <c r="AB370" s="4">
        <v>0</v>
      </c>
      <c r="AC370" s="4">
        <v>3440000</v>
      </c>
      <c r="AD370" s="4">
        <v>0</v>
      </c>
      <c r="AE370" s="4">
        <v>3440000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4">
        <v>0</v>
      </c>
      <c r="AM370" s="4">
        <v>0</v>
      </c>
      <c r="AN370" s="4">
        <v>0</v>
      </c>
      <c r="AO370" s="4">
        <v>0</v>
      </c>
      <c r="AP370" s="4">
        <v>0</v>
      </c>
      <c r="AQ370" s="4">
        <v>3440000</v>
      </c>
      <c r="AR370" s="4">
        <v>1120000</v>
      </c>
      <c r="AS370" s="4">
        <v>1120000</v>
      </c>
      <c r="AT370" s="4">
        <v>0</v>
      </c>
      <c r="AU370" s="4">
        <v>0</v>
      </c>
      <c r="AV370" s="4">
        <v>0</v>
      </c>
      <c r="AW370" s="4">
        <v>0</v>
      </c>
      <c r="AX370" s="4">
        <v>2320000</v>
      </c>
      <c r="AY370" s="4">
        <v>2320000</v>
      </c>
    </row>
    <row r="371" spans="1:51">
      <c r="A371" s="3" t="s">
        <v>52</v>
      </c>
      <c r="B371" s="3" t="s">
        <v>53</v>
      </c>
      <c r="C371" s="3" t="s">
        <v>54</v>
      </c>
      <c r="D371" s="3" t="s">
        <v>55</v>
      </c>
      <c r="E371" s="3" t="s">
        <v>56</v>
      </c>
      <c r="F371" s="3" t="s">
        <v>57</v>
      </c>
      <c r="G371" s="3" t="s">
        <v>58</v>
      </c>
      <c r="H371" s="3" t="s">
        <v>59</v>
      </c>
      <c r="I371" s="3" t="s">
        <v>60</v>
      </c>
      <c r="J371" s="3" t="s">
        <v>61</v>
      </c>
      <c r="K371" s="3" t="s">
        <v>62</v>
      </c>
      <c r="L371" s="3" t="s">
        <v>63</v>
      </c>
      <c r="M371" s="3" t="s">
        <v>400</v>
      </c>
      <c r="N371" s="3" t="s">
        <v>401</v>
      </c>
      <c r="O371" s="3" t="s">
        <v>402</v>
      </c>
      <c r="P371" s="3" t="s">
        <v>403</v>
      </c>
      <c r="Q371" s="3" t="s">
        <v>592</v>
      </c>
      <c r="R371" s="3" t="s">
        <v>593</v>
      </c>
      <c r="S371" s="3" t="s">
        <v>627</v>
      </c>
      <c r="T371" s="3" t="s">
        <v>628</v>
      </c>
      <c r="U371" s="3" t="s">
        <v>54</v>
      </c>
      <c r="V371" s="3" t="s">
        <v>72</v>
      </c>
      <c r="W371" s="3" t="s">
        <v>73</v>
      </c>
      <c r="X371" s="3" t="s">
        <v>74</v>
      </c>
      <c r="Y371" s="3" t="s">
        <v>78</v>
      </c>
      <c r="Z371" s="3" t="s">
        <v>79</v>
      </c>
      <c r="AA371" s="3" t="s">
        <v>632</v>
      </c>
      <c r="AB371" s="4">
        <v>0</v>
      </c>
      <c r="AC371" s="4">
        <v>1200000</v>
      </c>
      <c r="AD371" s="4">
        <v>0</v>
      </c>
      <c r="AE371" s="4">
        <v>1200000</v>
      </c>
      <c r="AF371" s="4">
        <v>0</v>
      </c>
      <c r="AG371" s="4">
        <v>0</v>
      </c>
      <c r="AH371" s="4">
        <v>0</v>
      </c>
      <c r="AI371" s="4">
        <v>0</v>
      </c>
      <c r="AJ371" s="4">
        <v>0</v>
      </c>
      <c r="AK371" s="4">
        <v>0</v>
      </c>
      <c r="AL371" s="4">
        <v>0</v>
      </c>
      <c r="AM371" s="4">
        <v>0</v>
      </c>
      <c r="AN371" s="4">
        <v>0</v>
      </c>
      <c r="AO371" s="4">
        <v>0</v>
      </c>
      <c r="AP371" s="4">
        <v>0</v>
      </c>
      <c r="AQ371" s="4">
        <v>1200000</v>
      </c>
      <c r="AR371" s="4">
        <v>163580</v>
      </c>
      <c r="AS371" s="4">
        <v>163580</v>
      </c>
      <c r="AT371" s="4">
        <v>0</v>
      </c>
      <c r="AU371" s="4">
        <v>0</v>
      </c>
      <c r="AV371" s="4">
        <v>0</v>
      </c>
      <c r="AW371" s="4">
        <v>0</v>
      </c>
      <c r="AX371" s="4">
        <v>1036420</v>
      </c>
      <c r="AY371" s="4">
        <v>1036420</v>
      </c>
    </row>
    <row r="372" spans="1:51">
      <c r="A372" s="3" t="s">
        <v>52</v>
      </c>
      <c r="B372" s="3" t="s">
        <v>53</v>
      </c>
      <c r="C372" s="3" t="s">
        <v>54</v>
      </c>
      <c r="D372" s="3" t="s">
        <v>55</v>
      </c>
      <c r="E372" s="3" t="s">
        <v>56</v>
      </c>
      <c r="F372" s="3" t="s">
        <v>57</v>
      </c>
      <c r="G372" s="3" t="s">
        <v>58</v>
      </c>
      <c r="H372" s="3" t="s">
        <v>59</v>
      </c>
      <c r="I372" s="3" t="s">
        <v>60</v>
      </c>
      <c r="J372" s="3" t="s">
        <v>61</v>
      </c>
      <c r="K372" s="3" t="s">
        <v>62</v>
      </c>
      <c r="L372" s="3" t="s">
        <v>63</v>
      </c>
      <c r="M372" s="3" t="s">
        <v>400</v>
      </c>
      <c r="N372" s="3" t="s">
        <v>401</v>
      </c>
      <c r="O372" s="3" t="s">
        <v>402</v>
      </c>
      <c r="P372" s="3" t="s">
        <v>403</v>
      </c>
      <c r="Q372" s="3" t="s">
        <v>592</v>
      </c>
      <c r="R372" s="3" t="s">
        <v>593</v>
      </c>
      <c r="S372" s="3" t="s">
        <v>627</v>
      </c>
      <c r="T372" s="3" t="s">
        <v>628</v>
      </c>
      <c r="U372" s="3" t="s">
        <v>54</v>
      </c>
      <c r="V372" s="3" t="s">
        <v>72</v>
      </c>
      <c r="W372" s="3" t="s">
        <v>73</v>
      </c>
      <c r="X372" s="3" t="s">
        <v>74</v>
      </c>
      <c r="Y372" s="3" t="s">
        <v>78</v>
      </c>
      <c r="Z372" s="3" t="s">
        <v>79</v>
      </c>
      <c r="AA372" s="3" t="s">
        <v>633</v>
      </c>
      <c r="AB372" s="4">
        <v>0</v>
      </c>
      <c r="AC372" s="4">
        <v>1080000</v>
      </c>
      <c r="AD372" s="4">
        <v>0</v>
      </c>
      <c r="AE372" s="4">
        <v>1080000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0</v>
      </c>
      <c r="AL372" s="4">
        <v>0</v>
      </c>
      <c r="AM372" s="4">
        <v>0</v>
      </c>
      <c r="AN372" s="4">
        <v>0</v>
      </c>
      <c r="AO372" s="4">
        <v>0</v>
      </c>
      <c r="AP372" s="4">
        <v>0</v>
      </c>
      <c r="AQ372" s="4">
        <v>1080000</v>
      </c>
      <c r="AR372" s="4">
        <v>0</v>
      </c>
      <c r="AS372" s="4">
        <v>0</v>
      </c>
      <c r="AT372" s="4">
        <v>0</v>
      </c>
      <c r="AU372" s="4">
        <v>0</v>
      </c>
      <c r="AV372" s="4">
        <v>0</v>
      </c>
      <c r="AW372" s="4">
        <v>0</v>
      </c>
      <c r="AX372" s="4">
        <v>1080000</v>
      </c>
      <c r="AY372" s="4">
        <v>1080000</v>
      </c>
    </row>
    <row r="373" spans="1:51">
      <c r="A373" s="3" t="s">
        <v>52</v>
      </c>
      <c r="B373" s="3" t="s">
        <v>53</v>
      </c>
      <c r="C373" s="3" t="s">
        <v>54</v>
      </c>
      <c r="D373" s="3" t="s">
        <v>55</v>
      </c>
      <c r="E373" s="3" t="s">
        <v>56</v>
      </c>
      <c r="F373" s="3" t="s">
        <v>57</v>
      </c>
      <c r="G373" s="3" t="s">
        <v>58</v>
      </c>
      <c r="H373" s="3" t="s">
        <v>59</v>
      </c>
      <c r="I373" s="3" t="s">
        <v>60</v>
      </c>
      <c r="J373" s="3" t="s">
        <v>61</v>
      </c>
      <c r="K373" s="3" t="s">
        <v>62</v>
      </c>
      <c r="L373" s="3" t="s">
        <v>63</v>
      </c>
      <c r="M373" s="3" t="s">
        <v>400</v>
      </c>
      <c r="N373" s="3" t="s">
        <v>401</v>
      </c>
      <c r="O373" s="3" t="s">
        <v>402</v>
      </c>
      <c r="P373" s="3" t="s">
        <v>403</v>
      </c>
      <c r="Q373" s="3" t="s">
        <v>592</v>
      </c>
      <c r="R373" s="3" t="s">
        <v>593</v>
      </c>
      <c r="S373" s="3" t="s">
        <v>627</v>
      </c>
      <c r="T373" s="3" t="s">
        <v>628</v>
      </c>
      <c r="U373" s="3" t="s">
        <v>54</v>
      </c>
      <c r="V373" s="3" t="s">
        <v>72</v>
      </c>
      <c r="W373" s="3" t="s">
        <v>73</v>
      </c>
      <c r="X373" s="3" t="s">
        <v>74</v>
      </c>
      <c r="Y373" s="3" t="s">
        <v>78</v>
      </c>
      <c r="Z373" s="3" t="s">
        <v>79</v>
      </c>
      <c r="AA373" s="3" t="s">
        <v>634</v>
      </c>
      <c r="AB373" s="4">
        <v>0</v>
      </c>
      <c r="AC373" s="4">
        <v>240000</v>
      </c>
      <c r="AD373" s="4">
        <v>0</v>
      </c>
      <c r="AE373" s="4">
        <v>240000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0</v>
      </c>
      <c r="AL373" s="4">
        <v>0</v>
      </c>
      <c r="AM373" s="4">
        <v>0</v>
      </c>
      <c r="AN373" s="4">
        <v>0</v>
      </c>
      <c r="AO373" s="4">
        <v>0</v>
      </c>
      <c r="AP373" s="4">
        <v>0</v>
      </c>
      <c r="AQ373" s="4">
        <v>240000</v>
      </c>
      <c r="AR373" s="4">
        <v>0</v>
      </c>
      <c r="AS373" s="4">
        <v>0</v>
      </c>
      <c r="AT373" s="4">
        <v>0</v>
      </c>
      <c r="AU373" s="4">
        <v>0</v>
      </c>
      <c r="AV373" s="4">
        <v>0</v>
      </c>
      <c r="AW373" s="4">
        <v>0</v>
      </c>
      <c r="AX373" s="4">
        <v>240000</v>
      </c>
      <c r="AY373" s="4">
        <v>240000</v>
      </c>
    </row>
    <row r="374" spans="1:51">
      <c r="A374" s="3" t="s">
        <v>52</v>
      </c>
      <c r="B374" s="3" t="s">
        <v>53</v>
      </c>
      <c r="C374" s="3" t="s">
        <v>54</v>
      </c>
      <c r="D374" s="3" t="s">
        <v>55</v>
      </c>
      <c r="E374" s="3" t="s">
        <v>56</v>
      </c>
      <c r="F374" s="3" t="s">
        <v>57</v>
      </c>
      <c r="G374" s="3" t="s">
        <v>58</v>
      </c>
      <c r="H374" s="3" t="s">
        <v>59</v>
      </c>
      <c r="I374" s="3" t="s">
        <v>60</v>
      </c>
      <c r="J374" s="3" t="s">
        <v>61</v>
      </c>
      <c r="K374" s="3" t="s">
        <v>62</v>
      </c>
      <c r="L374" s="3" t="s">
        <v>63</v>
      </c>
      <c r="M374" s="3" t="s">
        <v>400</v>
      </c>
      <c r="N374" s="3" t="s">
        <v>401</v>
      </c>
      <c r="O374" s="3" t="s">
        <v>402</v>
      </c>
      <c r="P374" s="3" t="s">
        <v>403</v>
      </c>
      <c r="Q374" s="3" t="s">
        <v>592</v>
      </c>
      <c r="R374" s="3" t="s">
        <v>593</v>
      </c>
      <c r="S374" s="3" t="s">
        <v>627</v>
      </c>
      <c r="T374" s="3" t="s">
        <v>628</v>
      </c>
      <c r="U374" s="3" t="s">
        <v>54</v>
      </c>
      <c r="V374" s="3" t="s">
        <v>72</v>
      </c>
      <c r="W374" s="3" t="s">
        <v>94</v>
      </c>
      <c r="X374" s="3" t="s">
        <v>95</v>
      </c>
      <c r="Y374" s="3" t="s">
        <v>96</v>
      </c>
      <c r="Z374" s="3" t="s">
        <v>95</v>
      </c>
      <c r="AA374" s="3" t="s">
        <v>635</v>
      </c>
      <c r="AB374" s="4">
        <v>0</v>
      </c>
      <c r="AC374" s="4">
        <v>1000000</v>
      </c>
      <c r="AD374" s="4">
        <v>0</v>
      </c>
      <c r="AE374" s="4">
        <v>1000000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0</v>
      </c>
      <c r="AL374" s="4">
        <v>0</v>
      </c>
      <c r="AM374" s="4">
        <v>0</v>
      </c>
      <c r="AN374" s="4">
        <v>0</v>
      </c>
      <c r="AO374" s="4">
        <v>0</v>
      </c>
      <c r="AP374" s="4">
        <v>0</v>
      </c>
      <c r="AQ374" s="4">
        <v>1000000</v>
      </c>
      <c r="AR374" s="4">
        <v>0</v>
      </c>
      <c r="AS374" s="4">
        <v>0</v>
      </c>
      <c r="AT374" s="4">
        <v>0</v>
      </c>
      <c r="AU374" s="4">
        <v>0</v>
      </c>
      <c r="AV374" s="4">
        <v>0</v>
      </c>
      <c r="AW374" s="4">
        <v>0</v>
      </c>
      <c r="AX374" s="4">
        <v>1000000</v>
      </c>
      <c r="AY374" s="4">
        <v>1000000</v>
      </c>
    </row>
    <row r="375" spans="1:51">
      <c r="A375" s="3" t="s">
        <v>52</v>
      </c>
      <c r="B375" s="3" t="s">
        <v>53</v>
      </c>
      <c r="C375" s="3" t="s">
        <v>54</v>
      </c>
      <c r="D375" s="3" t="s">
        <v>55</v>
      </c>
      <c r="E375" s="3" t="s">
        <v>56</v>
      </c>
      <c r="F375" s="3" t="s">
        <v>57</v>
      </c>
      <c r="G375" s="3" t="s">
        <v>58</v>
      </c>
      <c r="H375" s="3" t="s">
        <v>59</v>
      </c>
      <c r="I375" s="3" t="s">
        <v>60</v>
      </c>
      <c r="J375" s="3" t="s">
        <v>61</v>
      </c>
      <c r="K375" s="3" t="s">
        <v>62</v>
      </c>
      <c r="L375" s="3" t="s">
        <v>63</v>
      </c>
      <c r="M375" s="3" t="s">
        <v>400</v>
      </c>
      <c r="N375" s="3" t="s">
        <v>401</v>
      </c>
      <c r="O375" s="3" t="s">
        <v>402</v>
      </c>
      <c r="P375" s="3" t="s">
        <v>403</v>
      </c>
      <c r="Q375" s="3" t="s">
        <v>592</v>
      </c>
      <c r="R375" s="3" t="s">
        <v>593</v>
      </c>
      <c r="S375" s="3" t="s">
        <v>627</v>
      </c>
      <c r="T375" s="3" t="s">
        <v>628</v>
      </c>
      <c r="U375" s="3" t="s">
        <v>54</v>
      </c>
      <c r="V375" s="3" t="s">
        <v>72</v>
      </c>
      <c r="W375" s="3" t="s">
        <v>94</v>
      </c>
      <c r="X375" s="3" t="s">
        <v>95</v>
      </c>
      <c r="Y375" s="3" t="s">
        <v>96</v>
      </c>
      <c r="Z375" s="3" t="s">
        <v>95</v>
      </c>
      <c r="AA375" s="3" t="s">
        <v>636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0</v>
      </c>
      <c r="AL375" s="4">
        <v>0</v>
      </c>
      <c r="AM375" s="4">
        <v>0</v>
      </c>
      <c r="AN375" s="4">
        <v>0</v>
      </c>
      <c r="AO375" s="4">
        <v>0</v>
      </c>
      <c r="AP375" s="4">
        <v>0</v>
      </c>
      <c r="AQ375" s="4">
        <v>0</v>
      </c>
      <c r="AR375" s="4">
        <v>0</v>
      </c>
      <c r="AS375" s="4">
        <v>0</v>
      </c>
      <c r="AT375" s="4">
        <v>0</v>
      </c>
      <c r="AU375" s="4">
        <v>0</v>
      </c>
      <c r="AV375" s="4">
        <v>0</v>
      </c>
      <c r="AW375" s="4">
        <v>0</v>
      </c>
      <c r="AX375" s="4">
        <v>0</v>
      </c>
      <c r="AY375" s="4">
        <v>0</v>
      </c>
    </row>
    <row r="376" spans="1:51">
      <c r="A376" s="3" t="s">
        <v>52</v>
      </c>
      <c r="B376" s="3" t="s">
        <v>53</v>
      </c>
      <c r="C376" s="3" t="s">
        <v>54</v>
      </c>
      <c r="D376" s="3" t="s">
        <v>55</v>
      </c>
      <c r="E376" s="3" t="s">
        <v>56</v>
      </c>
      <c r="F376" s="3" t="s">
        <v>57</v>
      </c>
      <c r="G376" s="3" t="s">
        <v>58</v>
      </c>
      <c r="H376" s="3" t="s">
        <v>59</v>
      </c>
      <c r="I376" s="3" t="s">
        <v>60</v>
      </c>
      <c r="J376" s="3" t="s">
        <v>61</v>
      </c>
      <c r="K376" s="3" t="s">
        <v>62</v>
      </c>
      <c r="L376" s="3" t="s">
        <v>63</v>
      </c>
      <c r="M376" s="3" t="s">
        <v>400</v>
      </c>
      <c r="N376" s="3" t="s">
        <v>401</v>
      </c>
      <c r="O376" s="3" t="s">
        <v>402</v>
      </c>
      <c r="P376" s="3" t="s">
        <v>403</v>
      </c>
      <c r="Q376" s="3" t="s">
        <v>592</v>
      </c>
      <c r="R376" s="3" t="s">
        <v>593</v>
      </c>
      <c r="S376" s="3" t="s">
        <v>627</v>
      </c>
      <c r="T376" s="3" t="s">
        <v>628</v>
      </c>
      <c r="U376" s="3" t="s">
        <v>54</v>
      </c>
      <c r="V376" s="3" t="s">
        <v>72</v>
      </c>
      <c r="W376" s="3" t="s">
        <v>94</v>
      </c>
      <c r="X376" s="3" t="s">
        <v>95</v>
      </c>
      <c r="Y376" s="3" t="s">
        <v>96</v>
      </c>
      <c r="Z376" s="3" t="s">
        <v>95</v>
      </c>
      <c r="AA376" s="3" t="s">
        <v>637</v>
      </c>
      <c r="AB376" s="4">
        <v>0</v>
      </c>
      <c r="AC376" s="4">
        <v>1000000</v>
      </c>
      <c r="AD376" s="4">
        <v>0</v>
      </c>
      <c r="AE376" s="4">
        <v>1000000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4">
        <v>0</v>
      </c>
      <c r="AM376" s="4">
        <v>0</v>
      </c>
      <c r="AN376" s="4">
        <v>0</v>
      </c>
      <c r="AO376" s="4">
        <v>0</v>
      </c>
      <c r="AP376" s="4">
        <v>0</v>
      </c>
      <c r="AQ376" s="4">
        <v>1000000</v>
      </c>
      <c r="AR376" s="4">
        <v>0</v>
      </c>
      <c r="AS376" s="4">
        <v>0</v>
      </c>
      <c r="AT376" s="4">
        <v>0</v>
      </c>
      <c r="AU376" s="4">
        <v>0</v>
      </c>
      <c r="AV376" s="4">
        <v>0</v>
      </c>
      <c r="AW376" s="4">
        <v>0</v>
      </c>
      <c r="AX376" s="4">
        <v>1000000</v>
      </c>
      <c r="AY376" s="4">
        <v>1000000</v>
      </c>
    </row>
    <row r="377" spans="1:51">
      <c r="A377" s="3" t="s">
        <v>52</v>
      </c>
      <c r="B377" s="3" t="s">
        <v>53</v>
      </c>
      <c r="C377" s="3" t="s">
        <v>54</v>
      </c>
      <c r="D377" s="3" t="s">
        <v>55</v>
      </c>
      <c r="E377" s="3" t="s">
        <v>56</v>
      </c>
      <c r="F377" s="3" t="s">
        <v>57</v>
      </c>
      <c r="G377" s="3" t="s">
        <v>58</v>
      </c>
      <c r="H377" s="3" t="s">
        <v>59</v>
      </c>
      <c r="I377" s="3" t="s">
        <v>60</v>
      </c>
      <c r="J377" s="3" t="s">
        <v>61</v>
      </c>
      <c r="K377" s="3" t="s">
        <v>62</v>
      </c>
      <c r="L377" s="3" t="s">
        <v>63</v>
      </c>
      <c r="M377" s="3" t="s">
        <v>400</v>
      </c>
      <c r="N377" s="3" t="s">
        <v>401</v>
      </c>
      <c r="O377" s="3" t="s">
        <v>402</v>
      </c>
      <c r="P377" s="3" t="s">
        <v>403</v>
      </c>
      <c r="Q377" s="3" t="s">
        <v>592</v>
      </c>
      <c r="R377" s="3" t="s">
        <v>593</v>
      </c>
      <c r="S377" s="3" t="s">
        <v>627</v>
      </c>
      <c r="T377" s="3" t="s">
        <v>628</v>
      </c>
      <c r="U377" s="3" t="s">
        <v>54</v>
      </c>
      <c r="V377" s="3" t="s">
        <v>72</v>
      </c>
      <c r="W377" s="3" t="s">
        <v>123</v>
      </c>
      <c r="X377" s="3" t="s">
        <v>124</v>
      </c>
      <c r="Y377" s="3" t="s">
        <v>137</v>
      </c>
      <c r="Z377" s="3" t="s">
        <v>138</v>
      </c>
      <c r="AA377" s="3" t="s">
        <v>638</v>
      </c>
      <c r="AB377" s="4">
        <v>0</v>
      </c>
      <c r="AC377" s="4">
        <v>90000</v>
      </c>
      <c r="AD377" s="4">
        <v>0</v>
      </c>
      <c r="AE377" s="4">
        <v>90000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4">
        <v>0</v>
      </c>
      <c r="AM377" s="4">
        <v>0</v>
      </c>
      <c r="AN377" s="4">
        <v>0</v>
      </c>
      <c r="AO377" s="4">
        <v>0</v>
      </c>
      <c r="AP377" s="4">
        <v>0</v>
      </c>
      <c r="AQ377" s="4">
        <v>90000</v>
      </c>
      <c r="AR377" s="4">
        <v>0</v>
      </c>
      <c r="AS377" s="4">
        <v>0</v>
      </c>
      <c r="AT377" s="4">
        <v>0</v>
      </c>
      <c r="AU377" s="4">
        <v>0</v>
      </c>
      <c r="AV377" s="4">
        <v>0</v>
      </c>
      <c r="AW377" s="4">
        <v>0</v>
      </c>
      <c r="AX377" s="4">
        <v>90000</v>
      </c>
      <c r="AY377" s="4">
        <v>90000</v>
      </c>
    </row>
    <row r="378" spans="1:51">
      <c r="A378" s="3" t="s">
        <v>52</v>
      </c>
      <c r="B378" s="3" t="s">
        <v>53</v>
      </c>
      <c r="C378" s="3" t="s">
        <v>54</v>
      </c>
      <c r="D378" s="3" t="s">
        <v>55</v>
      </c>
      <c r="E378" s="3" t="s">
        <v>56</v>
      </c>
      <c r="F378" s="3" t="s">
        <v>57</v>
      </c>
      <c r="G378" s="3" t="s">
        <v>58</v>
      </c>
      <c r="H378" s="3" t="s">
        <v>59</v>
      </c>
      <c r="I378" s="3" t="s">
        <v>60</v>
      </c>
      <c r="J378" s="3" t="s">
        <v>61</v>
      </c>
      <c r="K378" s="3" t="s">
        <v>62</v>
      </c>
      <c r="L378" s="3" t="s">
        <v>63</v>
      </c>
      <c r="M378" s="3" t="s">
        <v>400</v>
      </c>
      <c r="N378" s="3" t="s">
        <v>401</v>
      </c>
      <c r="O378" s="3" t="s">
        <v>402</v>
      </c>
      <c r="P378" s="3" t="s">
        <v>403</v>
      </c>
      <c r="Q378" s="3" t="s">
        <v>592</v>
      </c>
      <c r="R378" s="3" t="s">
        <v>593</v>
      </c>
      <c r="S378" s="3" t="s">
        <v>627</v>
      </c>
      <c r="T378" s="3" t="s">
        <v>628</v>
      </c>
      <c r="U378" s="3" t="s">
        <v>86</v>
      </c>
      <c r="V378" s="3" t="s">
        <v>87</v>
      </c>
      <c r="W378" s="3" t="s">
        <v>88</v>
      </c>
      <c r="X378" s="3" t="s">
        <v>89</v>
      </c>
      <c r="Y378" s="3" t="s">
        <v>105</v>
      </c>
      <c r="Z378" s="3" t="s">
        <v>106</v>
      </c>
      <c r="AA378" s="3" t="s">
        <v>107</v>
      </c>
      <c r="AB378" s="4">
        <v>0</v>
      </c>
      <c r="AC378" s="4">
        <v>270000</v>
      </c>
      <c r="AD378" s="4">
        <v>0</v>
      </c>
      <c r="AE378" s="4">
        <v>270000</v>
      </c>
      <c r="AF378" s="4">
        <v>0</v>
      </c>
      <c r="AG378" s="4">
        <v>0</v>
      </c>
      <c r="AH378" s="4">
        <v>0</v>
      </c>
      <c r="AI378" s="4">
        <v>0</v>
      </c>
      <c r="AJ378" s="4">
        <v>0</v>
      </c>
      <c r="AK378" s="4">
        <v>0</v>
      </c>
      <c r="AL378" s="4">
        <v>0</v>
      </c>
      <c r="AM378" s="4">
        <v>0</v>
      </c>
      <c r="AN378" s="4">
        <v>0</v>
      </c>
      <c r="AO378" s="4">
        <v>0</v>
      </c>
      <c r="AP378" s="4">
        <v>0</v>
      </c>
      <c r="AQ378" s="4">
        <v>270000</v>
      </c>
      <c r="AR378" s="4">
        <v>0</v>
      </c>
      <c r="AS378" s="4">
        <v>0</v>
      </c>
      <c r="AT378" s="4">
        <v>0</v>
      </c>
      <c r="AU378" s="4">
        <v>0</v>
      </c>
      <c r="AV378" s="4">
        <v>0</v>
      </c>
      <c r="AW378" s="4">
        <v>0</v>
      </c>
      <c r="AX378" s="4">
        <v>270000</v>
      </c>
      <c r="AY378" s="4">
        <v>270000</v>
      </c>
    </row>
    <row r="379" spans="1:51">
      <c r="A379" s="3" t="s">
        <v>52</v>
      </c>
      <c r="B379" s="3" t="s">
        <v>53</v>
      </c>
      <c r="C379" s="3" t="s">
        <v>54</v>
      </c>
      <c r="D379" s="3" t="s">
        <v>55</v>
      </c>
      <c r="E379" s="3" t="s">
        <v>56</v>
      </c>
      <c r="F379" s="3" t="s">
        <v>57</v>
      </c>
      <c r="G379" s="3" t="s">
        <v>58</v>
      </c>
      <c r="H379" s="3" t="s">
        <v>59</v>
      </c>
      <c r="I379" s="3" t="s">
        <v>60</v>
      </c>
      <c r="J379" s="3" t="s">
        <v>61</v>
      </c>
      <c r="K379" s="3" t="s">
        <v>62</v>
      </c>
      <c r="L379" s="3" t="s">
        <v>63</v>
      </c>
      <c r="M379" s="3" t="s">
        <v>400</v>
      </c>
      <c r="N379" s="3" t="s">
        <v>401</v>
      </c>
      <c r="O379" s="3" t="s">
        <v>402</v>
      </c>
      <c r="P379" s="3" t="s">
        <v>403</v>
      </c>
      <c r="Q379" s="3" t="s">
        <v>592</v>
      </c>
      <c r="R379" s="3" t="s">
        <v>593</v>
      </c>
      <c r="S379" s="3" t="s">
        <v>639</v>
      </c>
      <c r="T379" s="3" t="s">
        <v>640</v>
      </c>
      <c r="U379" s="3" t="s">
        <v>54</v>
      </c>
      <c r="V379" s="3" t="s">
        <v>72</v>
      </c>
      <c r="W379" s="3" t="s">
        <v>73</v>
      </c>
      <c r="X379" s="3" t="s">
        <v>74</v>
      </c>
      <c r="Y379" s="3" t="s">
        <v>75</v>
      </c>
      <c r="Z379" s="3" t="s">
        <v>76</v>
      </c>
      <c r="AA379" s="3" t="s">
        <v>641</v>
      </c>
      <c r="AB379" s="4">
        <v>0</v>
      </c>
      <c r="AC379" s="4">
        <v>2560000</v>
      </c>
      <c r="AD379" s="4">
        <v>0</v>
      </c>
      <c r="AE379" s="4">
        <v>2560000</v>
      </c>
      <c r="AF379" s="4">
        <v>0</v>
      </c>
      <c r="AG379" s="4">
        <v>0</v>
      </c>
      <c r="AH379" s="4">
        <v>0</v>
      </c>
      <c r="AI379" s="4">
        <v>0</v>
      </c>
      <c r="AJ379" s="4">
        <v>0</v>
      </c>
      <c r="AK379" s="4">
        <v>0</v>
      </c>
      <c r="AL379" s="4">
        <v>0</v>
      </c>
      <c r="AM379" s="4">
        <v>0</v>
      </c>
      <c r="AN379" s="4">
        <v>0</v>
      </c>
      <c r="AO379" s="4">
        <v>0</v>
      </c>
      <c r="AP379" s="4">
        <v>0</v>
      </c>
      <c r="AQ379" s="4">
        <v>2560000</v>
      </c>
      <c r="AR379" s="4">
        <v>0</v>
      </c>
      <c r="AS379" s="4">
        <v>0</v>
      </c>
      <c r="AT379" s="4">
        <v>0</v>
      </c>
      <c r="AU379" s="4">
        <v>0</v>
      </c>
      <c r="AV379" s="4">
        <v>0</v>
      </c>
      <c r="AW379" s="4">
        <v>0</v>
      </c>
      <c r="AX379" s="4">
        <v>2560000</v>
      </c>
      <c r="AY379" s="4">
        <v>2560000</v>
      </c>
    </row>
    <row r="380" spans="1:51">
      <c r="A380" s="3" t="s">
        <v>52</v>
      </c>
      <c r="B380" s="3" t="s">
        <v>53</v>
      </c>
      <c r="C380" s="3" t="s">
        <v>54</v>
      </c>
      <c r="D380" s="3" t="s">
        <v>55</v>
      </c>
      <c r="E380" s="3" t="s">
        <v>56</v>
      </c>
      <c r="F380" s="3" t="s">
        <v>57</v>
      </c>
      <c r="G380" s="3" t="s">
        <v>58</v>
      </c>
      <c r="H380" s="3" t="s">
        <v>59</v>
      </c>
      <c r="I380" s="3" t="s">
        <v>60</v>
      </c>
      <c r="J380" s="3" t="s">
        <v>61</v>
      </c>
      <c r="K380" s="3" t="s">
        <v>62</v>
      </c>
      <c r="L380" s="3" t="s">
        <v>63</v>
      </c>
      <c r="M380" s="3" t="s">
        <v>400</v>
      </c>
      <c r="N380" s="3" t="s">
        <v>401</v>
      </c>
      <c r="O380" s="3" t="s">
        <v>402</v>
      </c>
      <c r="P380" s="3" t="s">
        <v>403</v>
      </c>
      <c r="Q380" s="3" t="s">
        <v>592</v>
      </c>
      <c r="R380" s="3" t="s">
        <v>593</v>
      </c>
      <c r="S380" s="3" t="s">
        <v>639</v>
      </c>
      <c r="T380" s="3" t="s">
        <v>640</v>
      </c>
      <c r="U380" s="3" t="s">
        <v>54</v>
      </c>
      <c r="V380" s="3" t="s">
        <v>72</v>
      </c>
      <c r="W380" s="3" t="s">
        <v>73</v>
      </c>
      <c r="X380" s="3" t="s">
        <v>74</v>
      </c>
      <c r="Y380" s="3" t="s">
        <v>75</v>
      </c>
      <c r="Z380" s="3" t="s">
        <v>76</v>
      </c>
      <c r="AA380" s="3" t="s">
        <v>642</v>
      </c>
      <c r="AB380" s="4">
        <v>0</v>
      </c>
      <c r="AC380" s="4">
        <v>440000</v>
      </c>
      <c r="AD380" s="4">
        <v>0</v>
      </c>
      <c r="AE380" s="4">
        <v>440000</v>
      </c>
      <c r="AF380" s="4">
        <v>0</v>
      </c>
      <c r="AG380" s="4">
        <v>0</v>
      </c>
      <c r="AH380" s="4">
        <v>0</v>
      </c>
      <c r="AI380" s="4">
        <v>0</v>
      </c>
      <c r="AJ380" s="4">
        <v>0</v>
      </c>
      <c r="AK380" s="4">
        <v>0</v>
      </c>
      <c r="AL380" s="4">
        <v>0</v>
      </c>
      <c r="AM380" s="4">
        <v>0</v>
      </c>
      <c r="AN380" s="4">
        <v>0</v>
      </c>
      <c r="AO380" s="4">
        <v>0</v>
      </c>
      <c r="AP380" s="4">
        <v>0</v>
      </c>
      <c r="AQ380" s="4">
        <v>440000</v>
      </c>
      <c r="AR380" s="4">
        <v>90790</v>
      </c>
      <c r="AS380" s="4">
        <v>90790</v>
      </c>
      <c r="AT380" s="4">
        <v>0</v>
      </c>
      <c r="AU380" s="4">
        <v>0</v>
      </c>
      <c r="AV380" s="4">
        <v>0</v>
      </c>
      <c r="AW380" s="4">
        <v>0</v>
      </c>
      <c r="AX380" s="4">
        <v>349210</v>
      </c>
      <c r="AY380" s="4">
        <v>349210</v>
      </c>
    </row>
    <row r="381" spans="1:51">
      <c r="A381" s="3" t="s">
        <v>52</v>
      </c>
      <c r="B381" s="3" t="s">
        <v>53</v>
      </c>
      <c r="C381" s="3" t="s">
        <v>54</v>
      </c>
      <c r="D381" s="3" t="s">
        <v>55</v>
      </c>
      <c r="E381" s="3" t="s">
        <v>56</v>
      </c>
      <c r="F381" s="3" t="s">
        <v>57</v>
      </c>
      <c r="G381" s="3" t="s">
        <v>58</v>
      </c>
      <c r="H381" s="3" t="s">
        <v>59</v>
      </c>
      <c r="I381" s="3" t="s">
        <v>60</v>
      </c>
      <c r="J381" s="3" t="s">
        <v>61</v>
      </c>
      <c r="K381" s="3" t="s">
        <v>62</v>
      </c>
      <c r="L381" s="3" t="s">
        <v>63</v>
      </c>
      <c r="M381" s="3" t="s">
        <v>400</v>
      </c>
      <c r="N381" s="3" t="s">
        <v>401</v>
      </c>
      <c r="O381" s="3" t="s">
        <v>402</v>
      </c>
      <c r="P381" s="3" t="s">
        <v>403</v>
      </c>
      <c r="Q381" s="3" t="s">
        <v>592</v>
      </c>
      <c r="R381" s="3" t="s">
        <v>593</v>
      </c>
      <c r="S381" s="3" t="s">
        <v>639</v>
      </c>
      <c r="T381" s="3" t="s">
        <v>640</v>
      </c>
      <c r="U381" s="3" t="s">
        <v>54</v>
      </c>
      <c r="V381" s="3" t="s">
        <v>72</v>
      </c>
      <c r="W381" s="3" t="s">
        <v>73</v>
      </c>
      <c r="X381" s="3" t="s">
        <v>74</v>
      </c>
      <c r="Y381" s="3" t="s">
        <v>78</v>
      </c>
      <c r="Z381" s="3" t="s">
        <v>79</v>
      </c>
      <c r="AA381" s="3" t="s">
        <v>330</v>
      </c>
      <c r="AB381" s="4">
        <v>0</v>
      </c>
      <c r="AC381" s="4">
        <v>150000</v>
      </c>
      <c r="AD381" s="4">
        <v>0</v>
      </c>
      <c r="AE381" s="4">
        <v>150000</v>
      </c>
      <c r="AF381" s="4">
        <v>0</v>
      </c>
      <c r="AG381" s="4">
        <v>0</v>
      </c>
      <c r="AH381" s="4">
        <v>0</v>
      </c>
      <c r="AI381" s="4">
        <v>0</v>
      </c>
      <c r="AJ381" s="4">
        <v>0</v>
      </c>
      <c r="AK381" s="4">
        <v>0</v>
      </c>
      <c r="AL381" s="4">
        <v>0</v>
      </c>
      <c r="AM381" s="4">
        <v>0</v>
      </c>
      <c r="AN381" s="4">
        <v>0</v>
      </c>
      <c r="AO381" s="4">
        <v>0</v>
      </c>
      <c r="AP381" s="4">
        <v>0</v>
      </c>
      <c r="AQ381" s="4">
        <v>150000</v>
      </c>
      <c r="AR381" s="4">
        <v>0</v>
      </c>
      <c r="AS381" s="4">
        <v>0</v>
      </c>
      <c r="AT381" s="4">
        <v>0</v>
      </c>
      <c r="AU381" s="4">
        <v>0</v>
      </c>
      <c r="AV381" s="4">
        <v>0</v>
      </c>
      <c r="AW381" s="4">
        <v>0</v>
      </c>
      <c r="AX381" s="4">
        <v>150000</v>
      </c>
      <c r="AY381" s="4">
        <v>150000</v>
      </c>
    </row>
    <row r="382" spans="1:51">
      <c r="A382" s="3" t="s">
        <v>52</v>
      </c>
      <c r="B382" s="3" t="s">
        <v>53</v>
      </c>
      <c r="C382" s="3" t="s">
        <v>54</v>
      </c>
      <c r="D382" s="3" t="s">
        <v>55</v>
      </c>
      <c r="E382" s="3" t="s">
        <v>56</v>
      </c>
      <c r="F382" s="3" t="s">
        <v>57</v>
      </c>
      <c r="G382" s="3" t="s">
        <v>58</v>
      </c>
      <c r="H382" s="3" t="s">
        <v>59</v>
      </c>
      <c r="I382" s="3" t="s">
        <v>60</v>
      </c>
      <c r="J382" s="3" t="s">
        <v>61</v>
      </c>
      <c r="K382" s="3" t="s">
        <v>62</v>
      </c>
      <c r="L382" s="3" t="s">
        <v>63</v>
      </c>
      <c r="M382" s="3" t="s">
        <v>400</v>
      </c>
      <c r="N382" s="3" t="s">
        <v>401</v>
      </c>
      <c r="O382" s="3" t="s">
        <v>402</v>
      </c>
      <c r="P382" s="3" t="s">
        <v>403</v>
      </c>
      <c r="Q382" s="3" t="s">
        <v>592</v>
      </c>
      <c r="R382" s="3" t="s">
        <v>593</v>
      </c>
      <c r="S382" s="3" t="s">
        <v>639</v>
      </c>
      <c r="T382" s="3" t="s">
        <v>640</v>
      </c>
      <c r="U382" s="3" t="s">
        <v>54</v>
      </c>
      <c r="V382" s="3" t="s">
        <v>72</v>
      </c>
      <c r="W382" s="3" t="s">
        <v>73</v>
      </c>
      <c r="X382" s="3" t="s">
        <v>74</v>
      </c>
      <c r="Y382" s="3" t="s">
        <v>78</v>
      </c>
      <c r="Z382" s="3" t="s">
        <v>79</v>
      </c>
      <c r="AA382" s="3" t="s">
        <v>643</v>
      </c>
      <c r="AB382" s="4">
        <v>0</v>
      </c>
      <c r="AC382" s="4">
        <v>50000</v>
      </c>
      <c r="AD382" s="4">
        <v>0</v>
      </c>
      <c r="AE382" s="4">
        <v>50000</v>
      </c>
      <c r="AF382" s="4">
        <v>0</v>
      </c>
      <c r="AG382" s="4">
        <v>0</v>
      </c>
      <c r="AH382" s="4">
        <v>0</v>
      </c>
      <c r="AI382" s="4">
        <v>0</v>
      </c>
      <c r="AJ382" s="4">
        <v>0</v>
      </c>
      <c r="AK382" s="4">
        <v>0</v>
      </c>
      <c r="AL382" s="4">
        <v>0</v>
      </c>
      <c r="AM382" s="4">
        <v>0</v>
      </c>
      <c r="AN382" s="4">
        <v>0</v>
      </c>
      <c r="AO382" s="4">
        <v>0</v>
      </c>
      <c r="AP382" s="4">
        <v>0</v>
      </c>
      <c r="AQ382" s="4">
        <v>50000</v>
      </c>
      <c r="AR382" s="4">
        <v>0</v>
      </c>
      <c r="AS382" s="4">
        <v>0</v>
      </c>
      <c r="AT382" s="4">
        <v>0</v>
      </c>
      <c r="AU382" s="4">
        <v>0</v>
      </c>
      <c r="AV382" s="4">
        <v>0</v>
      </c>
      <c r="AW382" s="4">
        <v>0</v>
      </c>
      <c r="AX382" s="4">
        <v>50000</v>
      </c>
      <c r="AY382" s="4">
        <v>50000</v>
      </c>
    </row>
    <row r="383" spans="1:51">
      <c r="A383" s="3" t="s">
        <v>52</v>
      </c>
      <c r="B383" s="3" t="s">
        <v>53</v>
      </c>
      <c r="C383" s="3" t="s">
        <v>54</v>
      </c>
      <c r="D383" s="3" t="s">
        <v>55</v>
      </c>
      <c r="E383" s="3" t="s">
        <v>56</v>
      </c>
      <c r="F383" s="3" t="s">
        <v>57</v>
      </c>
      <c r="G383" s="3" t="s">
        <v>58</v>
      </c>
      <c r="H383" s="3" t="s">
        <v>59</v>
      </c>
      <c r="I383" s="3" t="s">
        <v>60</v>
      </c>
      <c r="J383" s="3" t="s">
        <v>61</v>
      </c>
      <c r="K383" s="3" t="s">
        <v>62</v>
      </c>
      <c r="L383" s="3" t="s">
        <v>63</v>
      </c>
      <c r="M383" s="3" t="s">
        <v>400</v>
      </c>
      <c r="N383" s="3" t="s">
        <v>401</v>
      </c>
      <c r="O383" s="3" t="s">
        <v>402</v>
      </c>
      <c r="P383" s="3" t="s">
        <v>403</v>
      </c>
      <c r="Q383" s="3" t="s">
        <v>592</v>
      </c>
      <c r="R383" s="3" t="s">
        <v>593</v>
      </c>
      <c r="S383" s="3" t="s">
        <v>639</v>
      </c>
      <c r="T383" s="3" t="s">
        <v>640</v>
      </c>
      <c r="U383" s="3" t="s">
        <v>86</v>
      </c>
      <c r="V383" s="3" t="s">
        <v>87</v>
      </c>
      <c r="W383" s="3" t="s">
        <v>88</v>
      </c>
      <c r="X383" s="3" t="s">
        <v>89</v>
      </c>
      <c r="Y383" s="3" t="s">
        <v>105</v>
      </c>
      <c r="Z383" s="3" t="s">
        <v>106</v>
      </c>
      <c r="AA383" s="3" t="s">
        <v>107</v>
      </c>
      <c r="AB383" s="4">
        <v>0</v>
      </c>
      <c r="AC383" s="4">
        <v>800000</v>
      </c>
      <c r="AD383" s="4">
        <v>0</v>
      </c>
      <c r="AE383" s="4">
        <v>800000</v>
      </c>
      <c r="AF383" s="4">
        <v>0</v>
      </c>
      <c r="AG383" s="4">
        <v>0</v>
      </c>
      <c r="AH383" s="4">
        <v>0</v>
      </c>
      <c r="AI383" s="4">
        <v>0</v>
      </c>
      <c r="AJ383" s="4">
        <v>0</v>
      </c>
      <c r="AK383" s="4">
        <v>0</v>
      </c>
      <c r="AL383" s="4">
        <v>0</v>
      </c>
      <c r="AM383" s="4">
        <v>0</v>
      </c>
      <c r="AN383" s="4">
        <v>0</v>
      </c>
      <c r="AO383" s="4">
        <v>0</v>
      </c>
      <c r="AP383" s="4">
        <v>0</v>
      </c>
      <c r="AQ383" s="4">
        <v>800000</v>
      </c>
      <c r="AR383" s="4">
        <v>122060</v>
      </c>
      <c r="AS383" s="4">
        <v>122060</v>
      </c>
      <c r="AT383" s="4">
        <v>0</v>
      </c>
      <c r="AU383" s="4">
        <v>0</v>
      </c>
      <c r="AV383" s="4">
        <v>0</v>
      </c>
      <c r="AW383" s="4">
        <v>0</v>
      </c>
      <c r="AX383" s="4">
        <v>677940</v>
      </c>
      <c r="AY383" s="4">
        <v>677940</v>
      </c>
    </row>
    <row r="384" spans="1:51">
      <c r="A384" s="3" t="s">
        <v>52</v>
      </c>
      <c r="B384" s="3" t="s">
        <v>53</v>
      </c>
      <c r="C384" s="3" t="s">
        <v>54</v>
      </c>
      <c r="D384" s="3" t="s">
        <v>55</v>
      </c>
      <c r="E384" s="3" t="s">
        <v>56</v>
      </c>
      <c r="F384" s="3" t="s">
        <v>57</v>
      </c>
      <c r="G384" s="3" t="s">
        <v>58</v>
      </c>
      <c r="H384" s="3" t="s">
        <v>59</v>
      </c>
      <c r="I384" s="3" t="s">
        <v>60</v>
      </c>
      <c r="J384" s="3" t="s">
        <v>61</v>
      </c>
      <c r="K384" s="3" t="s">
        <v>62</v>
      </c>
      <c r="L384" s="3" t="s">
        <v>63</v>
      </c>
      <c r="M384" s="3" t="s">
        <v>400</v>
      </c>
      <c r="N384" s="3" t="s">
        <v>401</v>
      </c>
      <c r="O384" s="3" t="s">
        <v>644</v>
      </c>
      <c r="P384" s="3" t="s">
        <v>645</v>
      </c>
      <c r="Q384" s="3" t="s">
        <v>646</v>
      </c>
      <c r="R384" s="3" t="s">
        <v>647</v>
      </c>
      <c r="S384" s="3" t="s">
        <v>206</v>
      </c>
      <c r="T384" s="3" t="s">
        <v>648</v>
      </c>
      <c r="U384" s="3" t="s">
        <v>54</v>
      </c>
      <c r="V384" s="3" t="s">
        <v>72</v>
      </c>
      <c r="W384" s="3" t="s">
        <v>94</v>
      </c>
      <c r="X384" s="3" t="s">
        <v>95</v>
      </c>
      <c r="Y384" s="3" t="s">
        <v>96</v>
      </c>
      <c r="Z384" s="3" t="s">
        <v>95</v>
      </c>
      <c r="AA384" s="3" t="s">
        <v>649</v>
      </c>
      <c r="AB384" s="4">
        <v>2000000</v>
      </c>
      <c r="AC384" s="4">
        <v>0</v>
      </c>
      <c r="AD384" s="4">
        <v>0</v>
      </c>
      <c r="AE384" s="4">
        <v>2000000</v>
      </c>
      <c r="AF384" s="4">
        <v>0</v>
      </c>
      <c r="AG384" s="4">
        <v>0</v>
      </c>
      <c r="AH384" s="4">
        <v>0</v>
      </c>
      <c r="AI384" s="4">
        <v>0</v>
      </c>
      <c r="AJ384" s="4">
        <v>0</v>
      </c>
      <c r="AK384" s="4">
        <v>0</v>
      </c>
      <c r="AL384" s="4">
        <v>0</v>
      </c>
      <c r="AM384" s="4">
        <v>0</v>
      </c>
      <c r="AN384" s="4">
        <v>0</v>
      </c>
      <c r="AO384" s="4">
        <v>0</v>
      </c>
      <c r="AP384" s="4">
        <v>0</v>
      </c>
      <c r="AQ384" s="4">
        <v>2000000</v>
      </c>
      <c r="AR384" s="4">
        <v>0</v>
      </c>
      <c r="AS384" s="4">
        <v>0</v>
      </c>
      <c r="AT384" s="4">
        <v>0</v>
      </c>
      <c r="AU384" s="4">
        <v>0</v>
      </c>
      <c r="AV384" s="4">
        <v>0</v>
      </c>
      <c r="AW384" s="4">
        <v>0</v>
      </c>
      <c r="AX384" s="4">
        <v>2000000</v>
      </c>
      <c r="AY384" s="4">
        <v>2000000</v>
      </c>
    </row>
    <row r="385" spans="1:51">
      <c r="A385" s="3" t="s">
        <v>52</v>
      </c>
      <c r="B385" s="3" t="s">
        <v>53</v>
      </c>
      <c r="C385" s="3" t="s">
        <v>54</v>
      </c>
      <c r="D385" s="3" t="s">
        <v>55</v>
      </c>
      <c r="E385" s="3" t="s">
        <v>56</v>
      </c>
      <c r="F385" s="3" t="s">
        <v>57</v>
      </c>
      <c r="G385" s="3" t="s">
        <v>58</v>
      </c>
      <c r="H385" s="3" t="s">
        <v>59</v>
      </c>
      <c r="I385" s="3" t="s">
        <v>60</v>
      </c>
      <c r="J385" s="3" t="s">
        <v>61</v>
      </c>
      <c r="K385" s="3" t="s">
        <v>62</v>
      </c>
      <c r="L385" s="3" t="s">
        <v>63</v>
      </c>
      <c r="M385" s="3" t="s">
        <v>400</v>
      </c>
      <c r="N385" s="3" t="s">
        <v>401</v>
      </c>
      <c r="O385" s="3" t="s">
        <v>644</v>
      </c>
      <c r="P385" s="3" t="s">
        <v>645</v>
      </c>
      <c r="Q385" s="3" t="s">
        <v>646</v>
      </c>
      <c r="R385" s="3" t="s">
        <v>647</v>
      </c>
      <c r="S385" s="3" t="s">
        <v>206</v>
      </c>
      <c r="T385" s="3" t="s">
        <v>648</v>
      </c>
      <c r="U385" s="3" t="s">
        <v>54</v>
      </c>
      <c r="V385" s="3" t="s">
        <v>72</v>
      </c>
      <c r="W385" s="3" t="s">
        <v>94</v>
      </c>
      <c r="X385" s="3" t="s">
        <v>95</v>
      </c>
      <c r="Y385" s="3" t="s">
        <v>96</v>
      </c>
      <c r="Z385" s="3" t="s">
        <v>95</v>
      </c>
      <c r="AA385" s="3" t="s">
        <v>650</v>
      </c>
      <c r="AB385" s="4">
        <v>500000</v>
      </c>
      <c r="AC385" s="4">
        <v>0</v>
      </c>
      <c r="AD385" s="4">
        <v>0</v>
      </c>
      <c r="AE385" s="4">
        <v>500000</v>
      </c>
      <c r="AF385" s="4">
        <v>0</v>
      </c>
      <c r="AG385" s="4">
        <v>0</v>
      </c>
      <c r="AH385" s="4">
        <v>0</v>
      </c>
      <c r="AI385" s="4">
        <v>0</v>
      </c>
      <c r="AJ385" s="4">
        <v>0</v>
      </c>
      <c r="AK385" s="4">
        <v>0</v>
      </c>
      <c r="AL385" s="4">
        <v>0</v>
      </c>
      <c r="AM385" s="4">
        <v>0</v>
      </c>
      <c r="AN385" s="4">
        <v>0</v>
      </c>
      <c r="AO385" s="4">
        <v>0</v>
      </c>
      <c r="AP385" s="4">
        <v>0</v>
      </c>
      <c r="AQ385" s="4">
        <v>500000</v>
      </c>
      <c r="AR385" s="4">
        <v>0</v>
      </c>
      <c r="AS385" s="4">
        <v>0</v>
      </c>
      <c r="AT385" s="4">
        <v>0</v>
      </c>
      <c r="AU385" s="4">
        <v>0</v>
      </c>
      <c r="AV385" s="4">
        <v>0</v>
      </c>
      <c r="AW385" s="4">
        <v>0</v>
      </c>
      <c r="AX385" s="4">
        <v>500000</v>
      </c>
      <c r="AY385" s="4">
        <v>500000</v>
      </c>
    </row>
    <row r="386" spans="1:51">
      <c r="A386" s="3" t="s">
        <v>52</v>
      </c>
      <c r="B386" s="3" t="s">
        <v>53</v>
      </c>
      <c r="C386" s="3" t="s">
        <v>54</v>
      </c>
      <c r="D386" s="3" t="s">
        <v>55</v>
      </c>
      <c r="E386" s="3" t="s">
        <v>56</v>
      </c>
      <c r="F386" s="3" t="s">
        <v>57</v>
      </c>
      <c r="G386" s="3" t="s">
        <v>58</v>
      </c>
      <c r="H386" s="3" t="s">
        <v>59</v>
      </c>
      <c r="I386" s="3" t="s">
        <v>60</v>
      </c>
      <c r="J386" s="3" t="s">
        <v>61</v>
      </c>
      <c r="K386" s="3" t="s">
        <v>62</v>
      </c>
      <c r="L386" s="3" t="s">
        <v>63</v>
      </c>
      <c r="M386" s="3" t="s">
        <v>400</v>
      </c>
      <c r="N386" s="3" t="s">
        <v>401</v>
      </c>
      <c r="O386" s="3" t="s">
        <v>644</v>
      </c>
      <c r="P386" s="3" t="s">
        <v>645</v>
      </c>
      <c r="Q386" s="3" t="s">
        <v>646</v>
      </c>
      <c r="R386" s="3" t="s">
        <v>647</v>
      </c>
      <c r="S386" s="3" t="s">
        <v>102</v>
      </c>
      <c r="T386" s="3" t="s">
        <v>651</v>
      </c>
      <c r="U386" s="3" t="s">
        <v>130</v>
      </c>
      <c r="V386" s="3" t="s">
        <v>131</v>
      </c>
      <c r="W386" s="3" t="s">
        <v>132</v>
      </c>
      <c r="X386" s="3" t="s">
        <v>133</v>
      </c>
      <c r="Y386" s="3" t="s">
        <v>134</v>
      </c>
      <c r="Z386" s="3" t="s">
        <v>135</v>
      </c>
      <c r="AA386" s="3" t="s">
        <v>651</v>
      </c>
      <c r="AB386" s="4">
        <v>0</v>
      </c>
      <c r="AC386" s="4">
        <v>48546000</v>
      </c>
      <c r="AD386" s="4">
        <v>0</v>
      </c>
      <c r="AE386" s="4">
        <v>48546000</v>
      </c>
      <c r="AF386" s="4">
        <v>0</v>
      </c>
      <c r="AG386" s="4">
        <v>0</v>
      </c>
      <c r="AH386" s="4">
        <v>0</v>
      </c>
      <c r="AI386" s="4">
        <v>0</v>
      </c>
      <c r="AJ386" s="4">
        <v>0</v>
      </c>
      <c r="AK386" s="4">
        <v>0</v>
      </c>
      <c r="AL386" s="4">
        <v>0</v>
      </c>
      <c r="AM386" s="4">
        <v>0</v>
      </c>
      <c r="AN386" s="4">
        <v>0</v>
      </c>
      <c r="AO386" s="4">
        <v>0</v>
      </c>
      <c r="AP386" s="4">
        <v>0</v>
      </c>
      <c r="AQ386" s="4">
        <v>48546000</v>
      </c>
      <c r="AR386" s="4">
        <v>17273590</v>
      </c>
      <c r="AS386" s="4">
        <v>17273590</v>
      </c>
      <c r="AT386" s="4">
        <v>0</v>
      </c>
      <c r="AU386" s="4">
        <v>0</v>
      </c>
      <c r="AV386" s="4">
        <v>0</v>
      </c>
      <c r="AW386" s="4">
        <v>0</v>
      </c>
      <c r="AX386" s="4">
        <v>31272410</v>
      </c>
      <c r="AY386" s="4">
        <v>31272410</v>
      </c>
    </row>
    <row r="387" spans="1:51">
      <c r="A387" s="3" t="s">
        <v>52</v>
      </c>
      <c r="B387" s="3" t="s">
        <v>53</v>
      </c>
      <c r="C387" s="3" t="s">
        <v>54</v>
      </c>
      <c r="D387" s="3" t="s">
        <v>55</v>
      </c>
      <c r="E387" s="3" t="s">
        <v>56</v>
      </c>
      <c r="F387" s="3" t="s">
        <v>57</v>
      </c>
      <c r="G387" s="3" t="s">
        <v>58</v>
      </c>
      <c r="H387" s="3" t="s">
        <v>59</v>
      </c>
      <c r="I387" s="3" t="s">
        <v>60</v>
      </c>
      <c r="J387" s="3" t="s">
        <v>61</v>
      </c>
      <c r="K387" s="3" t="s">
        <v>62</v>
      </c>
      <c r="L387" s="3" t="s">
        <v>63</v>
      </c>
      <c r="M387" s="3" t="s">
        <v>400</v>
      </c>
      <c r="N387" s="3" t="s">
        <v>401</v>
      </c>
      <c r="O387" s="3" t="s">
        <v>644</v>
      </c>
      <c r="P387" s="3" t="s">
        <v>645</v>
      </c>
      <c r="Q387" s="3" t="s">
        <v>646</v>
      </c>
      <c r="R387" s="3" t="s">
        <v>647</v>
      </c>
      <c r="S387" s="3" t="s">
        <v>128</v>
      </c>
      <c r="T387" s="3" t="s">
        <v>652</v>
      </c>
      <c r="U387" s="3" t="s">
        <v>54</v>
      </c>
      <c r="V387" s="3" t="s">
        <v>72</v>
      </c>
      <c r="W387" s="3" t="s">
        <v>73</v>
      </c>
      <c r="X387" s="3" t="s">
        <v>74</v>
      </c>
      <c r="Y387" s="3" t="s">
        <v>78</v>
      </c>
      <c r="Z387" s="3" t="s">
        <v>79</v>
      </c>
      <c r="AA387" s="3" t="s">
        <v>653</v>
      </c>
      <c r="AB387" s="4">
        <v>15600000</v>
      </c>
      <c r="AC387" s="4">
        <v>0</v>
      </c>
      <c r="AD387" s="4">
        <v>0</v>
      </c>
      <c r="AE387" s="4">
        <v>15600000</v>
      </c>
      <c r="AF387" s="4">
        <v>0</v>
      </c>
      <c r="AG387" s="4">
        <v>0</v>
      </c>
      <c r="AH387" s="4">
        <v>0</v>
      </c>
      <c r="AI387" s="4">
        <v>0</v>
      </c>
      <c r="AJ387" s="4">
        <v>0</v>
      </c>
      <c r="AK387" s="4">
        <v>0</v>
      </c>
      <c r="AL387" s="4">
        <v>0</v>
      </c>
      <c r="AM387" s="4">
        <v>0</v>
      </c>
      <c r="AN387" s="4">
        <v>0</v>
      </c>
      <c r="AO387" s="4">
        <v>0</v>
      </c>
      <c r="AP387" s="4">
        <v>0</v>
      </c>
      <c r="AQ387" s="4">
        <v>15600000</v>
      </c>
      <c r="AR387" s="4">
        <v>7500000</v>
      </c>
      <c r="AS387" s="4">
        <v>7500000</v>
      </c>
      <c r="AT387" s="4">
        <v>0</v>
      </c>
      <c r="AU387" s="4">
        <v>0</v>
      </c>
      <c r="AV387" s="4">
        <v>0</v>
      </c>
      <c r="AW387" s="4">
        <v>0</v>
      </c>
      <c r="AX387" s="4">
        <v>8100000</v>
      </c>
      <c r="AY387" s="4">
        <v>8100000</v>
      </c>
    </row>
    <row r="388" spans="1:51">
      <c r="A388" s="3" t="s">
        <v>52</v>
      </c>
      <c r="B388" s="3" t="s">
        <v>53</v>
      </c>
      <c r="C388" s="3" t="s">
        <v>54</v>
      </c>
      <c r="D388" s="3" t="s">
        <v>55</v>
      </c>
      <c r="E388" s="3" t="s">
        <v>56</v>
      </c>
      <c r="F388" s="3" t="s">
        <v>57</v>
      </c>
      <c r="G388" s="3" t="s">
        <v>58</v>
      </c>
      <c r="H388" s="3" t="s">
        <v>59</v>
      </c>
      <c r="I388" s="3" t="s">
        <v>60</v>
      </c>
      <c r="J388" s="3" t="s">
        <v>61</v>
      </c>
      <c r="K388" s="3" t="s">
        <v>62</v>
      </c>
      <c r="L388" s="3" t="s">
        <v>63</v>
      </c>
      <c r="M388" s="3" t="s">
        <v>400</v>
      </c>
      <c r="N388" s="3" t="s">
        <v>401</v>
      </c>
      <c r="O388" s="3" t="s">
        <v>644</v>
      </c>
      <c r="P388" s="3" t="s">
        <v>645</v>
      </c>
      <c r="Q388" s="3" t="s">
        <v>646</v>
      </c>
      <c r="R388" s="3" t="s">
        <v>647</v>
      </c>
      <c r="S388" s="3" t="s">
        <v>128</v>
      </c>
      <c r="T388" s="3" t="s">
        <v>652</v>
      </c>
      <c r="U388" s="3" t="s">
        <v>54</v>
      </c>
      <c r="V388" s="3" t="s">
        <v>72</v>
      </c>
      <c r="W388" s="3" t="s">
        <v>123</v>
      </c>
      <c r="X388" s="3" t="s">
        <v>124</v>
      </c>
      <c r="Y388" s="3" t="s">
        <v>137</v>
      </c>
      <c r="Z388" s="3" t="s">
        <v>138</v>
      </c>
      <c r="AA388" s="3" t="s">
        <v>654</v>
      </c>
      <c r="AB388" s="4">
        <v>1680000</v>
      </c>
      <c r="AC388" s="4">
        <v>0</v>
      </c>
      <c r="AD388" s="4">
        <v>0</v>
      </c>
      <c r="AE388" s="4">
        <v>1680000</v>
      </c>
      <c r="AF388" s="4">
        <v>0</v>
      </c>
      <c r="AG388" s="4">
        <v>0</v>
      </c>
      <c r="AH388" s="4">
        <v>0</v>
      </c>
      <c r="AI388" s="4">
        <v>0</v>
      </c>
      <c r="AJ388" s="4">
        <v>0</v>
      </c>
      <c r="AK388" s="4">
        <v>0</v>
      </c>
      <c r="AL388" s="4">
        <v>0</v>
      </c>
      <c r="AM388" s="4">
        <v>0</v>
      </c>
      <c r="AN388" s="4">
        <v>0</v>
      </c>
      <c r="AO388" s="4">
        <v>0</v>
      </c>
      <c r="AP388" s="4">
        <v>0</v>
      </c>
      <c r="AQ388" s="4">
        <v>1680000</v>
      </c>
      <c r="AR388" s="4">
        <v>850340</v>
      </c>
      <c r="AS388" s="4">
        <v>850340</v>
      </c>
      <c r="AT388" s="4">
        <v>0</v>
      </c>
      <c r="AU388" s="4">
        <v>0</v>
      </c>
      <c r="AV388" s="4">
        <v>0</v>
      </c>
      <c r="AW388" s="4">
        <v>0</v>
      </c>
      <c r="AX388" s="4">
        <v>829660</v>
      </c>
      <c r="AY388" s="4">
        <v>829660</v>
      </c>
    </row>
    <row r="389" spans="1:51">
      <c r="A389" s="3" t="s">
        <v>52</v>
      </c>
      <c r="B389" s="3" t="s">
        <v>53</v>
      </c>
      <c r="C389" s="3" t="s">
        <v>54</v>
      </c>
      <c r="D389" s="3" t="s">
        <v>55</v>
      </c>
      <c r="E389" s="3" t="s">
        <v>56</v>
      </c>
      <c r="F389" s="3" t="s">
        <v>57</v>
      </c>
      <c r="G389" s="3" t="s">
        <v>58</v>
      </c>
      <c r="H389" s="3" t="s">
        <v>59</v>
      </c>
      <c r="I389" s="3" t="s">
        <v>60</v>
      </c>
      <c r="J389" s="3" t="s">
        <v>61</v>
      </c>
      <c r="K389" s="3" t="s">
        <v>62</v>
      </c>
      <c r="L389" s="3" t="s">
        <v>63</v>
      </c>
      <c r="M389" s="3" t="s">
        <v>400</v>
      </c>
      <c r="N389" s="3" t="s">
        <v>401</v>
      </c>
      <c r="O389" s="3" t="s">
        <v>644</v>
      </c>
      <c r="P389" s="3" t="s">
        <v>645</v>
      </c>
      <c r="Q389" s="3" t="s">
        <v>646</v>
      </c>
      <c r="R389" s="3" t="s">
        <v>647</v>
      </c>
      <c r="S389" s="3" t="s">
        <v>146</v>
      </c>
      <c r="T389" s="3" t="s">
        <v>655</v>
      </c>
      <c r="U389" s="3" t="s">
        <v>54</v>
      </c>
      <c r="V389" s="3" t="s">
        <v>72</v>
      </c>
      <c r="W389" s="3" t="s">
        <v>94</v>
      </c>
      <c r="X389" s="3" t="s">
        <v>95</v>
      </c>
      <c r="Y389" s="3" t="s">
        <v>96</v>
      </c>
      <c r="Z389" s="3" t="s">
        <v>95</v>
      </c>
      <c r="AA389" s="3" t="s">
        <v>656</v>
      </c>
      <c r="AB389" s="4">
        <v>0</v>
      </c>
      <c r="AC389" s="4">
        <v>0</v>
      </c>
      <c r="AD389" s="4">
        <v>1065000</v>
      </c>
      <c r="AE389" s="4">
        <v>1065000</v>
      </c>
      <c r="AF389" s="4">
        <v>0</v>
      </c>
      <c r="AG389" s="4">
        <v>0</v>
      </c>
      <c r="AH389" s="4">
        <v>0</v>
      </c>
      <c r="AI389" s="4">
        <v>0</v>
      </c>
      <c r="AJ389" s="4">
        <v>0</v>
      </c>
      <c r="AK389" s="4">
        <v>0</v>
      </c>
      <c r="AL389" s="4">
        <v>0</v>
      </c>
      <c r="AM389" s="4">
        <v>0</v>
      </c>
      <c r="AN389" s="4">
        <v>0</v>
      </c>
      <c r="AO389" s="4">
        <v>0</v>
      </c>
      <c r="AP389" s="4">
        <v>0</v>
      </c>
      <c r="AQ389" s="4">
        <v>1065000</v>
      </c>
      <c r="AR389" s="4">
        <v>0</v>
      </c>
      <c r="AS389" s="4">
        <v>0</v>
      </c>
      <c r="AT389" s="4">
        <v>0</v>
      </c>
      <c r="AU389" s="4">
        <v>0</v>
      </c>
      <c r="AV389" s="4">
        <v>0</v>
      </c>
      <c r="AW389" s="4">
        <v>0</v>
      </c>
      <c r="AX389" s="4">
        <v>1065000</v>
      </c>
      <c r="AY389" s="4">
        <v>1065000</v>
      </c>
    </row>
    <row r="390" spans="1:51">
      <c r="A390" s="3" t="s">
        <v>52</v>
      </c>
      <c r="B390" s="3" t="s">
        <v>53</v>
      </c>
      <c r="C390" s="3" t="s">
        <v>54</v>
      </c>
      <c r="D390" s="3" t="s">
        <v>55</v>
      </c>
      <c r="E390" s="3" t="s">
        <v>56</v>
      </c>
      <c r="F390" s="3" t="s">
        <v>57</v>
      </c>
      <c r="G390" s="3" t="s">
        <v>58</v>
      </c>
      <c r="H390" s="3" t="s">
        <v>59</v>
      </c>
      <c r="I390" s="3" t="s">
        <v>60</v>
      </c>
      <c r="J390" s="3" t="s">
        <v>61</v>
      </c>
      <c r="K390" s="3" t="s">
        <v>62</v>
      </c>
      <c r="L390" s="3" t="s">
        <v>63</v>
      </c>
      <c r="M390" s="3" t="s">
        <v>400</v>
      </c>
      <c r="N390" s="3" t="s">
        <v>401</v>
      </c>
      <c r="O390" s="3" t="s">
        <v>644</v>
      </c>
      <c r="P390" s="3" t="s">
        <v>645</v>
      </c>
      <c r="Q390" s="3" t="s">
        <v>646</v>
      </c>
      <c r="R390" s="3" t="s">
        <v>647</v>
      </c>
      <c r="S390" s="3" t="s">
        <v>604</v>
      </c>
      <c r="T390" s="3" t="s">
        <v>657</v>
      </c>
      <c r="U390" s="3" t="s">
        <v>54</v>
      </c>
      <c r="V390" s="3" t="s">
        <v>72</v>
      </c>
      <c r="W390" s="3" t="s">
        <v>94</v>
      </c>
      <c r="X390" s="3" t="s">
        <v>95</v>
      </c>
      <c r="Y390" s="3" t="s">
        <v>96</v>
      </c>
      <c r="Z390" s="3" t="s">
        <v>95</v>
      </c>
      <c r="AA390" s="3" t="s">
        <v>658</v>
      </c>
      <c r="AB390" s="4">
        <v>0</v>
      </c>
      <c r="AC390" s="4">
        <v>5000000</v>
      </c>
      <c r="AD390" s="4">
        <v>0</v>
      </c>
      <c r="AE390" s="4">
        <v>5000000</v>
      </c>
      <c r="AF390" s="4">
        <v>0</v>
      </c>
      <c r="AG390" s="4">
        <v>0</v>
      </c>
      <c r="AH390" s="4">
        <v>0</v>
      </c>
      <c r="AI390" s="4">
        <v>0</v>
      </c>
      <c r="AJ390" s="4">
        <v>0</v>
      </c>
      <c r="AK390" s="4">
        <v>0</v>
      </c>
      <c r="AL390" s="4">
        <v>0</v>
      </c>
      <c r="AM390" s="4">
        <v>0</v>
      </c>
      <c r="AN390" s="4">
        <v>0</v>
      </c>
      <c r="AO390" s="4">
        <v>0</v>
      </c>
      <c r="AP390" s="4">
        <v>0</v>
      </c>
      <c r="AQ390" s="4">
        <v>5000000</v>
      </c>
      <c r="AR390" s="4">
        <v>140000</v>
      </c>
      <c r="AS390" s="4">
        <v>0</v>
      </c>
      <c r="AT390" s="4">
        <v>0</v>
      </c>
      <c r="AU390" s="4">
        <v>0</v>
      </c>
      <c r="AV390" s="4">
        <v>0</v>
      </c>
      <c r="AW390" s="4">
        <v>0</v>
      </c>
      <c r="AX390" s="4">
        <v>4860000</v>
      </c>
      <c r="AY390" s="4">
        <v>5000000</v>
      </c>
    </row>
    <row r="391" spans="1:51">
      <c r="A391" s="3" t="s">
        <v>52</v>
      </c>
      <c r="B391" s="3" t="s">
        <v>53</v>
      </c>
      <c r="C391" s="3" t="s">
        <v>54</v>
      </c>
      <c r="D391" s="3" t="s">
        <v>55</v>
      </c>
      <c r="E391" s="3" t="s">
        <v>56</v>
      </c>
      <c r="F391" s="3" t="s">
        <v>57</v>
      </c>
      <c r="G391" s="3" t="s">
        <v>58</v>
      </c>
      <c r="H391" s="3" t="s">
        <v>59</v>
      </c>
      <c r="I391" s="3" t="s">
        <v>60</v>
      </c>
      <c r="J391" s="3" t="s">
        <v>61</v>
      </c>
      <c r="K391" s="3" t="s">
        <v>62</v>
      </c>
      <c r="L391" s="3" t="s">
        <v>63</v>
      </c>
      <c r="M391" s="3" t="s">
        <v>400</v>
      </c>
      <c r="N391" s="3" t="s">
        <v>401</v>
      </c>
      <c r="O391" s="3" t="s">
        <v>659</v>
      </c>
      <c r="P391" s="3" t="s">
        <v>660</v>
      </c>
      <c r="Q391" s="3" t="s">
        <v>661</v>
      </c>
      <c r="R391" s="3" t="s">
        <v>662</v>
      </c>
      <c r="S391" s="3" t="s">
        <v>150</v>
      </c>
      <c r="T391" s="3" t="s">
        <v>663</v>
      </c>
      <c r="U391" s="3" t="s">
        <v>54</v>
      </c>
      <c r="V391" s="3" t="s">
        <v>72</v>
      </c>
      <c r="W391" s="3" t="s">
        <v>73</v>
      </c>
      <c r="X391" s="3" t="s">
        <v>74</v>
      </c>
      <c r="Y391" s="3" t="s">
        <v>75</v>
      </c>
      <c r="Z391" s="3" t="s">
        <v>76</v>
      </c>
      <c r="AA391" s="3" t="s">
        <v>664</v>
      </c>
      <c r="AB391" s="4">
        <v>500000</v>
      </c>
      <c r="AC391" s="4">
        <v>0</v>
      </c>
      <c r="AD391" s="4">
        <v>0</v>
      </c>
      <c r="AE391" s="4">
        <v>500000</v>
      </c>
      <c r="AF391" s="4">
        <v>0</v>
      </c>
      <c r="AG391" s="4">
        <v>0</v>
      </c>
      <c r="AH391" s="4">
        <v>0</v>
      </c>
      <c r="AI391" s="4">
        <v>0</v>
      </c>
      <c r="AJ391" s="4">
        <v>0</v>
      </c>
      <c r="AK391" s="4">
        <v>0</v>
      </c>
      <c r="AL391" s="4">
        <v>0</v>
      </c>
      <c r="AM391" s="4">
        <v>0</v>
      </c>
      <c r="AN391" s="4">
        <v>0</v>
      </c>
      <c r="AO391" s="4">
        <v>0</v>
      </c>
      <c r="AP391" s="4">
        <v>0</v>
      </c>
      <c r="AQ391" s="4">
        <v>500000</v>
      </c>
      <c r="AR391" s="4">
        <v>280400</v>
      </c>
      <c r="AS391" s="4">
        <v>280400</v>
      </c>
      <c r="AT391" s="4">
        <v>0</v>
      </c>
      <c r="AU391" s="4">
        <v>0</v>
      </c>
      <c r="AV391" s="4">
        <v>0</v>
      </c>
      <c r="AW391" s="4">
        <v>0</v>
      </c>
      <c r="AX391" s="4">
        <v>219600</v>
      </c>
      <c r="AY391" s="4">
        <v>219600</v>
      </c>
    </row>
    <row r="392" spans="1:51">
      <c r="A392" s="3" t="s">
        <v>52</v>
      </c>
      <c r="B392" s="3" t="s">
        <v>53</v>
      </c>
      <c r="C392" s="3" t="s">
        <v>54</v>
      </c>
      <c r="D392" s="3" t="s">
        <v>55</v>
      </c>
      <c r="E392" s="3" t="s">
        <v>56</v>
      </c>
      <c r="F392" s="3" t="s">
        <v>57</v>
      </c>
      <c r="G392" s="3" t="s">
        <v>58</v>
      </c>
      <c r="H392" s="3" t="s">
        <v>59</v>
      </c>
      <c r="I392" s="3" t="s">
        <v>60</v>
      </c>
      <c r="J392" s="3" t="s">
        <v>61</v>
      </c>
      <c r="K392" s="3" t="s">
        <v>62</v>
      </c>
      <c r="L392" s="3" t="s">
        <v>63</v>
      </c>
      <c r="M392" s="3" t="s">
        <v>400</v>
      </c>
      <c r="N392" s="3" t="s">
        <v>401</v>
      </c>
      <c r="O392" s="3" t="s">
        <v>659</v>
      </c>
      <c r="P392" s="3" t="s">
        <v>660</v>
      </c>
      <c r="Q392" s="3" t="s">
        <v>661</v>
      </c>
      <c r="R392" s="3" t="s">
        <v>662</v>
      </c>
      <c r="S392" s="3" t="s">
        <v>150</v>
      </c>
      <c r="T392" s="3" t="s">
        <v>663</v>
      </c>
      <c r="U392" s="3" t="s">
        <v>191</v>
      </c>
      <c r="V392" s="3" t="s">
        <v>192</v>
      </c>
      <c r="W392" s="3" t="s">
        <v>193</v>
      </c>
      <c r="X392" s="3" t="s">
        <v>192</v>
      </c>
      <c r="Y392" s="3" t="s">
        <v>665</v>
      </c>
      <c r="Z392" s="3" t="s">
        <v>666</v>
      </c>
      <c r="AA392" s="3" t="s">
        <v>666</v>
      </c>
      <c r="AB392" s="4">
        <v>16500000</v>
      </c>
      <c r="AC392" s="4">
        <v>0</v>
      </c>
      <c r="AD392" s="4">
        <v>0</v>
      </c>
      <c r="AE392" s="4">
        <v>16500000</v>
      </c>
      <c r="AF392" s="4">
        <v>0</v>
      </c>
      <c r="AG392" s="4">
        <v>0</v>
      </c>
      <c r="AH392" s="4">
        <v>0</v>
      </c>
      <c r="AI392" s="4">
        <v>0</v>
      </c>
      <c r="AJ392" s="4">
        <v>0</v>
      </c>
      <c r="AK392" s="4">
        <v>0</v>
      </c>
      <c r="AL392" s="4">
        <v>0</v>
      </c>
      <c r="AM392" s="4">
        <v>0</v>
      </c>
      <c r="AN392" s="4">
        <v>0</v>
      </c>
      <c r="AO392" s="4">
        <v>0</v>
      </c>
      <c r="AP392" s="4">
        <v>0</v>
      </c>
      <c r="AQ392" s="4">
        <v>16500000</v>
      </c>
      <c r="AR392" s="4">
        <v>9610320</v>
      </c>
      <c r="AS392" s="4">
        <v>9112320</v>
      </c>
      <c r="AT392" s="4">
        <v>0</v>
      </c>
      <c r="AU392" s="4">
        <v>0</v>
      </c>
      <c r="AV392" s="4">
        <v>0</v>
      </c>
      <c r="AW392" s="4">
        <v>0</v>
      </c>
      <c r="AX392" s="4">
        <v>6889680</v>
      </c>
      <c r="AY392" s="4">
        <v>7387680</v>
      </c>
    </row>
    <row r="393" spans="1:51">
      <c r="A393" s="3" t="s">
        <v>52</v>
      </c>
      <c r="B393" s="3" t="s">
        <v>53</v>
      </c>
      <c r="C393" s="3" t="s">
        <v>54</v>
      </c>
      <c r="D393" s="3" t="s">
        <v>55</v>
      </c>
      <c r="E393" s="3" t="s">
        <v>56</v>
      </c>
      <c r="F393" s="3" t="s">
        <v>57</v>
      </c>
      <c r="G393" s="3" t="s">
        <v>58</v>
      </c>
      <c r="H393" s="3" t="s">
        <v>59</v>
      </c>
      <c r="I393" s="3" t="s">
        <v>60</v>
      </c>
      <c r="J393" s="3" t="s">
        <v>61</v>
      </c>
      <c r="K393" s="3" t="s">
        <v>62</v>
      </c>
      <c r="L393" s="3" t="s">
        <v>63</v>
      </c>
      <c r="M393" s="3" t="s">
        <v>400</v>
      </c>
      <c r="N393" s="3" t="s">
        <v>401</v>
      </c>
      <c r="O393" s="3" t="s">
        <v>659</v>
      </c>
      <c r="P393" s="3" t="s">
        <v>660</v>
      </c>
      <c r="Q393" s="3" t="s">
        <v>661</v>
      </c>
      <c r="R393" s="3" t="s">
        <v>662</v>
      </c>
      <c r="S393" s="3" t="s">
        <v>206</v>
      </c>
      <c r="T393" s="3" t="s">
        <v>667</v>
      </c>
      <c r="U393" s="3" t="s">
        <v>54</v>
      </c>
      <c r="V393" s="3" t="s">
        <v>72</v>
      </c>
      <c r="W393" s="3" t="s">
        <v>73</v>
      </c>
      <c r="X393" s="3" t="s">
        <v>74</v>
      </c>
      <c r="Y393" s="3" t="s">
        <v>75</v>
      </c>
      <c r="Z393" s="3" t="s">
        <v>76</v>
      </c>
      <c r="AA393" s="3" t="s">
        <v>668</v>
      </c>
      <c r="AB393" s="4">
        <v>700000</v>
      </c>
      <c r="AC393" s="4">
        <v>0</v>
      </c>
      <c r="AD393" s="4">
        <v>0</v>
      </c>
      <c r="AE393" s="4">
        <v>700000</v>
      </c>
      <c r="AF393" s="4">
        <v>0</v>
      </c>
      <c r="AG393" s="4">
        <v>0</v>
      </c>
      <c r="AH393" s="4">
        <v>0</v>
      </c>
      <c r="AI393" s="4">
        <v>0</v>
      </c>
      <c r="AJ393" s="4">
        <v>0</v>
      </c>
      <c r="AK393" s="4">
        <v>0</v>
      </c>
      <c r="AL393" s="4">
        <v>0</v>
      </c>
      <c r="AM393" s="4">
        <v>0</v>
      </c>
      <c r="AN393" s="4">
        <v>0</v>
      </c>
      <c r="AO393" s="4">
        <v>0</v>
      </c>
      <c r="AP393" s="4">
        <v>0</v>
      </c>
      <c r="AQ393" s="4">
        <v>700000</v>
      </c>
      <c r="AR393" s="4">
        <v>951780</v>
      </c>
      <c r="AS393" s="4">
        <v>951780</v>
      </c>
      <c r="AT393" s="4">
        <v>0</v>
      </c>
      <c r="AU393" s="4">
        <v>0</v>
      </c>
      <c r="AV393" s="4">
        <v>0</v>
      </c>
      <c r="AW393" s="4">
        <v>0</v>
      </c>
      <c r="AX393" s="4">
        <v>-251780</v>
      </c>
      <c r="AY393" s="4">
        <v>-251780</v>
      </c>
    </row>
    <row r="394" spans="1:51">
      <c r="A394" s="3" t="s">
        <v>52</v>
      </c>
      <c r="B394" s="3" t="s">
        <v>53</v>
      </c>
      <c r="C394" s="3" t="s">
        <v>54</v>
      </c>
      <c r="D394" s="3" t="s">
        <v>55</v>
      </c>
      <c r="E394" s="3" t="s">
        <v>56</v>
      </c>
      <c r="F394" s="3" t="s">
        <v>57</v>
      </c>
      <c r="G394" s="3" t="s">
        <v>58</v>
      </c>
      <c r="H394" s="3" t="s">
        <v>59</v>
      </c>
      <c r="I394" s="3" t="s">
        <v>60</v>
      </c>
      <c r="J394" s="3" t="s">
        <v>61</v>
      </c>
      <c r="K394" s="3" t="s">
        <v>62</v>
      </c>
      <c r="L394" s="3" t="s">
        <v>63</v>
      </c>
      <c r="M394" s="3" t="s">
        <v>400</v>
      </c>
      <c r="N394" s="3" t="s">
        <v>401</v>
      </c>
      <c r="O394" s="3" t="s">
        <v>659</v>
      </c>
      <c r="P394" s="3" t="s">
        <v>660</v>
      </c>
      <c r="Q394" s="3" t="s">
        <v>661</v>
      </c>
      <c r="R394" s="3" t="s">
        <v>662</v>
      </c>
      <c r="S394" s="3" t="s">
        <v>206</v>
      </c>
      <c r="T394" s="3" t="s">
        <v>667</v>
      </c>
      <c r="U394" s="3" t="s">
        <v>54</v>
      </c>
      <c r="V394" s="3" t="s">
        <v>72</v>
      </c>
      <c r="W394" s="3" t="s">
        <v>73</v>
      </c>
      <c r="X394" s="3" t="s">
        <v>74</v>
      </c>
      <c r="Y394" s="3" t="s">
        <v>75</v>
      </c>
      <c r="Z394" s="3" t="s">
        <v>76</v>
      </c>
      <c r="AA394" s="3" t="s">
        <v>669</v>
      </c>
      <c r="AB394" s="4">
        <v>1200000</v>
      </c>
      <c r="AC394" s="4">
        <v>0</v>
      </c>
      <c r="AD394" s="4">
        <v>0</v>
      </c>
      <c r="AE394" s="4">
        <v>1200000</v>
      </c>
      <c r="AF394" s="4">
        <v>0</v>
      </c>
      <c r="AG394" s="4">
        <v>0</v>
      </c>
      <c r="AH394" s="4">
        <v>0</v>
      </c>
      <c r="AI394" s="4">
        <v>0</v>
      </c>
      <c r="AJ394" s="4">
        <v>0</v>
      </c>
      <c r="AK394" s="4">
        <v>0</v>
      </c>
      <c r="AL394" s="4">
        <v>0</v>
      </c>
      <c r="AM394" s="4">
        <v>0</v>
      </c>
      <c r="AN394" s="4">
        <v>0</v>
      </c>
      <c r="AO394" s="4">
        <v>0</v>
      </c>
      <c r="AP394" s="4">
        <v>0</v>
      </c>
      <c r="AQ394" s="4">
        <v>1200000</v>
      </c>
      <c r="AR394" s="4">
        <v>672250</v>
      </c>
      <c r="AS394" s="4">
        <v>409390</v>
      </c>
      <c r="AT394" s="4">
        <v>0</v>
      </c>
      <c r="AU394" s="4">
        <v>0</v>
      </c>
      <c r="AV394" s="4">
        <v>0</v>
      </c>
      <c r="AW394" s="4">
        <v>0</v>
      </c>
      <c r="AX394" s="4">
        <v>527750</v>
      </c>
      <c r="AY394" s="4">
        <v>790610</v>
      </c>
    </row>
    <row r="395" spans="1:51">
      <c r="A395" s="3" t="s">
        <v>52</v>
      </c>
      <c r="B395" s="3" t="s">
        <v>53</v>
      </c>
      <c r="C395" s="3" t="s">
        <v>54</v>
      </c>
      <c r="D395" s="3" t="s">
        <v>55</v>
      </c>
      <c r="E395" s="3" t="s">
        <v>56</v>
      </c>
      <c r="F395" s="3" t="s">
        <v>57</v>
      </c>
      <c r="G395" s="3" t="s">
        <v>58</v>
      </c>
      <c r="H395" s="3" t="s">
        <v>59</v>
      </c>
      <c r="I395" s="3" t="s">
        <v>60</v>
      </c>
      <c r="J395" s="3" t="s">
        <v>61</v>
      </c>
      <c r="K395" s="3" t="s">
        <v>62</v>
      </c>
      <c r="L395" s="3" t="s">
        <v>63</v>
      </c>
      <c r="M395" s="3" t="s">
        <v>400</v>
      </c>
      <c r="N395" s="3" t="s">
        <v>401</v>
      </c>
      <c r="O395" s="3" t="s">
        <v>659</v>
      </c>
      <c r="P395" s="3" t="s">
        <v>660</v>
      </c>
      <c r="Q395" s="3" t="s">
        <v>661</v>
      </c>
      <c r="R395" s="3" t="s">
        <v>662</v>
      </c>
      <c r="S395" s="3" t="s">
        <v>206</v>
      </c>
      <c r="T395" s="3" t="s">
        <v>667</v>
      </c>
      <c r="U395" s="3" t="s">
        <v>54</v>
      </c>
      <c r="V395" s="3" t="s">
        <v>72</v>
      </c>
      <c r="W395" s="3" t="s">
        <v>94</v>
      </c>
      <c r="X395" s="3" t="s">
        <v>95</v>
      </c>
      <c r="Y395" s="3" t="s">
        <v>96</v>
      </c>
      <c r="Z395" s="3" t="s">
        <v>95</v>
      </c>
      <c r="AA395" s="3" t="s">
        <v>670</v>
      </c>
      <c r="AB395" s="4">
        <v>4500000</v>
      </c>
      <c r="AC395" s="4">
        <v>0</v>
      </c>
      <c r="AD395" s="4">
        <v>0</v>
      </c>
      <c r="AE395" s="4">
        <v>4500000</v>
      </c>
      <c r="AF395" s="4">
        <v>0</v>
      </c>
      <c r="AG395" s="4">
        <v>0</v>
      </c>
      <c r="AH395" s="4">
        <v>0</v>
      </c>
      <c r="AI395" s="4">
        <v>0</v>
      </c>
      <c r="AJ395" s="4">
        <v>0</v>
      </c>
      <c r="AK395" s="4">
        <v>0</v>
      </c>
      <c r="AL395" s="4">
        <v>0</v>
      </c>
      <c r="AM395" s="4">
        <v>0</v>
      </c>
      <c r="AN395" s="4">
        <v>0</v>
      </c>
      <c r="AO395" s="4">
        <v>0</v>
      </c>
      <c r="AP395" s="4">
        <v>0</v>
      </c>
      <c r="AQ395" s="4">
        <v>4500000</v>
      </c>
      <c r="AR395" s="4">
        <v>4150000</v>
      </c>
      <c r="AS395" s="4">
        <v>4150000</v>
      </c>
      <c r="AT395" s="4">
        <v>0</v>
      </c>
      <c r="AU395" s="4">
        <v>0</v>
      </c>
      <c r="AV395" s="4">
        <v>0</v>
      </c>
      <c r="AW395" s="4">
        <v>0</v>
      </c>
      <c r="AX395" s="4">
        <v>350000</v>
      </c>
      <c r="AY395" s="4">
        <v>350000</v>
      </c>
    </row>
    <row r="396" spans="1:51">
      <c r="A396" s="3" t="s">
        <v>52</v>
      </c>
      <c r="B396" s="3" t="s">
        <v>53</v>
      </c>
      <c r="C396" s="3" t="s">
        <v>54</v>
      </c>
      <c r="D396" s="3" t="s">
        <v>55</v>
      </c>
      <c r="E396" s="3" t="s">
        <v>56</v>
      </c>
      <c r="F396" s="3" t="s">
        <v>57</v>
      </c>
      <c r="G396" s="3" t="s">
        <v>58</v>
      </c>
      <c r="H396" s="3" t="s">
        <v>59</v>
      </c>
      <c r="I396" s="3" t="s">
        <v>60</v>
      </c>
      <c r="J396" s="3" t="s">
        <v>61</v>
      </c>
      <c r="K396" s="3" t="s">
        <v>62</v>
      </c>
      <c r="L396" s="3" t="s">
        <v>63</v>
      </c>
      <c r="M396" s="3" t="s">
        <v>400</v>
      </c>
      <c r="N396" s="3" t="s">
        <v>401</v>
      </c>
      <c r="O396" s="3" t="s">
        <v>659</v>
      </c>
      <c r="P396" s="3" t="s">
        <v>660</v>
      </c>
      <c r="Q396" s="3" t="s">
        <v>661</v>
      </c>
      <c r="R396" s="3" t="s">
        <v>662</v>
      </c>
      <c r="S396" s="3" t="s">
        <v>206</v>
      </c>
      <c r="T396" s="3" t="s">
        <v>667</v>
      </c>
      <c r="U396" s="3" t="s">
        <v>54</v>
      </c>
      <c r="V396" s="3" t="s">
        <v>72</v>
      </c>
      <c r="W396" s="3" t="s">
        <v>94</v>
      </c>
      <c r="X396" s="3" t="s">
        <v>95</v>
      </c>
      <c r="Y396" s="3" t="s">
        <v>96</v>
      </c>
      <c r="Z396" s="3" t="s">
        <v>95</v>
      </c>
      <c r="AA396" s="3" t="s">
        <v>671</v>
      </c>
      <c r="AB396" s="4">
        <v>500000</v>
      </c>
      <c r="AC396" s="4">
        <v>0</v>
      </c>
      <c r="AD396" s="4">
        <v>0</v>
      </c>
      <c r="AE396" s="4">
        <v>500000</v>
      </c>
      <c r="AF396" s="4">
        <v>0</v>
      </c>
      <c r="AG396" s="4">
        <v>0</v>
      </c>
      <c r="AH396" s="4">
        <v>0</v>
      </c>
      <c r="AI396" s="4">
        <v>0</v>
      </c>
      <c r="AJ396" s="4">
        <v>0</v>
      </c>
      <c r="AK396" s="4">
        <v>0</v>
      </c>
      <c r="AL396" s="4">
        <v>0</v>
      </c>
      <c r="AM396" s="4">
        <v>0</v>
      </c>
      <c r="AN396" s="4">
        <v>0</v>
      </c>
      <c r="AO396" s="4">
        <v>0</v>
      </c>
      <c r="AP396" s="4">
        <v>0</v>
      </c>
      <c r="AQ396" s="4">
        <v>500000</v>
      </c>
      <c r="AR396" s="4">
        <v>252340</v>
      </c>
      <c r="AS396" s="4">
        <v>252340</v>
      </c>
      <c r="AT396" s="4">
        <v>0</v>
      </c>
      <c r="AU396" s="4">
        <v>0</v>
      </c>
      <c r="AV396" s="4">
        <v>0</v>
      </c>
      <c r="AW396" s="4">
        <v>0</v>
      </c>
      <c r="AX396" s="4">
        <v>247660</v>
      </c>
      <c r="AY396" s="4">
        <v>247660</v>
      </c>
    </row>
    <row r="397" spans="1:51">
      <c r="A397" s="3" t="s">
        <v>52</v>
      </c>
      <c r="B397" s="3" t="s">
        <v>53</v>
      </c>
      <c r="C397" s="3" t="s">
        <v>54</v>
      </c>
      <c r="D397" s="3" t="s">
        <v>55</v>
      </c>
      <c r="E397" s="3" t="s">
        <v>56</v>
      </c>
      <c r="F397" s="3" t="s">
        <v>57</v>
      </c>
      <c r="G397" s="3" t="s">
        <v>58</v>
      </c>
      <c r="H397" s="3" t="s">
        <v>59</v>
      </c>
      <c r="I397" s="3" t="s">
        <v>60</v>
      </c>
      <c r="J397" s="3" t="s">
        <v>61</v>
      </c>
      <c r="K397" s="3" t="s">
        <v>62</v>
      </c>
      <c r="L397" s="3" t="s">
        <v>63</v>
      </c>
      <c r="M397" s="3" t="s">
        <v>400</v>
      </c>
      <c r="N397" s="3" t="s">
        <v>401</v>
      </c>
      <c r="O397" s="3" t="s">
        <v>659</v>
      </c>
      <c r="P397" s="3" t="s">
        <v>660</v>
      </c>
      <c r="Q397" s="3" t="s">
        <v>661</v>
      </c>
      <c r="R397" s="3" t="s">
        <v>662</v>
      </c>
      <c r="S397" s="3" t="s">
        <v>206</v>
      </c>
      <c r="T397" s="3" t="s">
        <v>667</v>
      </c>
      <c r="U397" s="3" t="s">
        <v>86</v>
      </c>
      <c r="V397" s="3" t="s">
        <v>87</v>
      </c>
      <c r="W397" s="3" t="s">
        <v>88</v>
      </c>
      <c r="X397" s="3" t="s">
        <v>89</v>
      </c>
      <c r="Y397" s="3" t="s">
        <v>90</v>
      </c>
      <c r="Z397" s="3" t="s">
        <v>89</v>
      </c>
      <c r="AA397" s="3" t="s">
        <v>672</v>
      </c>
      <c r="AB397" s="4">
        <v>100000</v>
      </c>
      <c r="AC397" s="4">
        <v>0</v>
      </c>
      <c r="AD397" s="4">
        <v>0</v>
      </c>
      <c r="AE397" s="4">
        <v>100000</v>
      </c>
      <c r="AF397" s="4">
        <v>0</v>
      </c>
      <c r="AG397" s="4">
        <v>0</v>
      </c>
      <c r="AH397" s="4">
        <v>0</v>
      </c>
      <c r="AI397" s="4">
        <v>0</v>
      </c>
      <c r="AJ397" s="4">
        <v>0</v>
      </c>
      <c r="AK397" s="4">
        <v>0</v>
      </c>
      <c r="AL397" s="4">
        <v>0</v>
      </c>
      <c r="AM397" s="4">
        <v>0</v>
      </c>
      <c r="AN397" s="4">
        <v>0</v>
      </c>
      <c r="AO397" s="4">
        <v>0</v>
      </c>
      <c r="AP397" s="4">
        <v>0</v>
      </c>
      <c r="AQ397" s="4">
        <v>100000</v>
      </c>
      <c r="AR397" s="4">
        <v>65630</v>
      </c>
      <c r="AS397" s="4">
        <v>65630</v>
      </c>
      <c r="AT397" s="4">
        <v>0</v>
      </c>
      <c r="AU397" s="4">
        <v>0</v>
      </c>
      <c r="AV397" s="4">
        <v>0</v>
      </c>
      <c r="AW397" s="4">
        <v>0</v>
      </c>
      <c r="AX397" s="4">
        <v>34370</v>
      </c>
      <c r="AY397" s="4">
        <v>34370</v>
      </c>
    </row>
    <row r="398" spans="1:51">
      <c r="A398" s="3" t="s">
        <v>52</v>
      </c>
      <c r="B398" s="3" t="s">
        <v>53</v>
      </c>
      <c r="C398" s="3" t="s">
        <v>54</v>
      </c>
      <c r="D398" s="3" t="s">
        <v>55</v>
      </c>
      <c r="E398" s="3" t="s">
        <v>56</v>
      </c>
      <c r="F398" s="3" t="s">
        <v>57</v>
      </c>
      <c r="G398" s="3" t="s">
        <v>58</v>
      </c>
      <c r="H398" s="3" t="s">
        <v>59</v>
      </c>
      <c r="I398" s="3" t="s">
        <v>60</v>
      </c>
      <c r="J398" s="3" t="s">
        <v>61</v>
      </c>
      <c r="K398" s="3" t="s">
        <v>62</v>
      </c>
      <c r="L398" s="3" t="s">
        <v>63</v>
      </c>
      <c r="M398" s="3" t="s">
        <v>400</v>
      </c>
      <c r="N398" s="3" t="s">
        <v>401</v>
      </c>
      <c r="O398" s="3" t="s">
        <v>659</v>
      </c>
      <c r="P398" s="3" t="s">
        <v>660</v>
      </c>
      <c r="Q398" s="3" t="s">
        <v>661</v>
      </c>
      <c r="R398" s="3" t="s">
        <v>662</v>
      </c>
      <c r="S398" s="3" t="s">
        <v>206</v>
      </c>
      <c r="T398" s="3" t="s">
        <v>667</v>
      </c>
      <c r="U398" s="3" t="s">
        <v>191</v>
      </c>
      <c r="V398" s="3" t="s">
        <v>192</v>
      </c>
      <c r="W398" s="3" t="s">
        <v>193</v>
      </c>
      <c r="X398" s="3" t="s">
        <v>192</v>
      </c>
      <c r="Y398" s="3" t="s">
        <v>194</v>
      </c>
      <c r="Z398" s="3" t="s">
        <v>192</v>
      </c>
      <c r="AA398" s="3" t="s">
        <v>673</v>
      </c>
      <c r="AB398" s="4">
        <v>1800000</v>
      </c>
      <c r="AC398" s="4">
        <v>0</v>
      </c>
      <c r="AD398" s="4">
        <v>0</v>
      </c>
      <c r="AE398" s="4">
        <v>1800000</v>
      </c>
      <c r="AF398" s="4">
        <v>0</v>
      </c>
      <c r="AG398" s="4">
        <v>0</v>
      </c>
      <c r="AH398" s="4">
        <v>0</v>
      </c>
      <c r="AI398" s="4">
        <v>0</v>
      </c>
      <c r="AJ398" s="4">
        <v>0</v>
      </c>
      <c r="AK398" s="4">
        <v>0</v>
      </c>
      <c r="AL398" s="4">
        <v>0</v>
      </c>
      <c r="AM398" s="4">
        <v>0</v>
      </c>
      <c r="AN398" s="4">
        <v>0</v>
      </c>
      <c r="AO398" s="4">
        <v>0</v>
      </c>
      <c r="AP398" s="4">
        <v>0</v>
      </c>
      <c r="AQ398" s="4">
        <v>1800000</v>
      </c>
      <c r="AR398" s="4">
        <v>1414200</v>
      </c>
      <c r="AS398" s="4">
        <v>1414200</v>
      </c>
      <c r="AT398" s="4">
        <v>0</v>
      </c>
      <c r="AU398" s="4">
        <v>0</v>
      </c>
      <c r="AV398" s="4">
        <v>0</v>
      </c>
      <c r="AW398" s="4">
        <v>0</v>
      </c>
      <c r="AX398" s="4">
        <v>385800</v>
      </c>
      <c r="AY398" s="4">
        <v>385800</v>
      </c>
    </row>
    <row r="399" spans="1:51">
      <c r="A399" s="3" t="s">
        <v>52</v>
      </c>
      <c r="B399" s="3" t="s">
        <v>53</v>
      </c>
      <c r="C399" s="3" t="s">
        <v>54</v>
      </c>
      <c r="D399" s="3" t="s">
        <v>55</v>
      </c>
      <c r="E399" s="3" t="s">
        <v>56</v>
      </c>
      <c r="F399" s="3" t="s">
        <v>57</v>
      </c>
      <c r="G399" s="3" t="s">
        <v>58</v>
      </c>
      <c r="H399" s="3" t="s">
        <v>59</v>
      </c>
      <c r="I399" s="3" t="s">
        <v>60</v>
      </c>
      <c r="J399" s="3" t="s">
        <v>61</v>
      </c>
      <c r="K399" s="3" t="s">
        <v>62</v>
      </c>
      <c r="L399" s="3" t="s">
        <v>63</v>
      </c>
      <c r="M399" s="3" t="s">
        <v>400</v>
      </c>
      <c r="N399" s="3" t="s">
        <v>401</v>
      </c>
      <c r="O399" s="3" t="s">
        <v>659</v>
      </c>
      <c r="P399" s="3" t="s">
        <v>660</v>
      </c>
      <c r="Q399" s="3" t="s">
        <v>661</v>
      </c>
      <c r="R399" s="3" t="s">
        <v>662</v>
      </c>
      <c r="S399" s="3" t="s">
        <v>102</v>
      </c>
      <c r="T399" s="3" t="s">
        <v>674</v>
      </c>
      <c r="U399" s="3" t="s">
        <v>54</v>
      </c>
      <c r="V399" s="3" t="s">
        <v>72</v>
      </c>
      <c r="W399" s="3" t="s">
        <v>94</v>
      </c>
      <c r="X399" s="3" t="s">
        <v>95</v>
      </c>
      <c r="Y399" s="3" t="s">
        <v>96</v>
      </c>
      <c r="Z399" s="3" t="s">
        <v>95</v>
      </c>
      <c r="AA399" s="3" t="s">
        <v>675</v>
      </c>
      <c r="AB399" s="4">
        <v>0</v>
      </c>
      <c r="AC399" s="4">
        <v>300000</v>
      </c>
      <c r="AD399" s="4">
        <v>0</v>
      </c>
      <c r="AE399" s="4">
        <v>300000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0</v>
      </c>
      <c r="AL399" s="4">
        <v>0</v>
      </c>
      <c r="AM399" s="4">
        <v>0</v>
      </c>
      <c r="AN399" s="4">
        <v>0</v>
      </c>
      <c r="AO399" s="4">
        <v>0</v>
      </c>
      <c r="AP399" s="4">
        <v>0</v>
      </c>
      <c r="AQ399" s="4">
        <v>300000</v>
      </c>
      <c r="AR399" s="4">
        <v>0</v>
      </c>
      <c r="AS399" s="4">
        <v>0</v>
      </c>
      <c r="AT399" s="4">
        <v>0</v>
      </c>
      <c r="AU399" s="4">
        <v>0</v>
      </c>
      <c r="AV399" s="4">
        <v>0</v>
      </c>
      <c r="AW399" s="4">
        <v>0</v>
      </c>
      <c r="AX399" s="4">
        <v>300000</v>
      </c>
      <c r="AY399" s="4">
        <v>300000</v>
      </c>
    </row>
    <row r="400" spans="1:51">
      <c r="A400" s="3" t="s">
        <v>52</v>
      </c>
      <c r="B400" s="3" t="s">
        <v>53</v>
      </c>
      <c r="C400" s="3" t="s">
        <v>54</v>
      </c>
      <c r="D400" s="3" t="s">
        <v>55</v>
      </c>
      <c r="E400" s="3" t="s">
        <v>56</v>
      </c>
      <c r="F400" s="3" t="s">
        <v>57</v>
      </c>
      <c r="G400" s="3" t="s">
        <v>58</v>
      </c>
      <c r="H400" s="3" t="s">
        <v>59</v>
      </c>
      <c r="I400" s="3" t="s">
        <v>60</v>
      </c>
      <c r="J400" s="3" t="s">
        <v>61</v>
      </c>
      <c r="K400" s="3" t="s">
        <v>62</v>
      </c>
      <c r="L400" s="3" t="s">
        <v>63</v>
      </c>
      <c r="M400" s="3" t="s">
        <v>400</v>
      </c>
      <c r="N400" s="3" t="s">
        <v>401</v>
      </c>
      <c r="O400" s="3" t="s">
        <v>659</v>
      </c>
      <c r="P400" s="3" t="s">
        <v>660</v>
      </c>
      <c r="Q400" s="3" t="s">
        <v>661</v>
      </c>
      <c r="R400" s="3" t="s">
        <v>662</v>
      </c>
      <c r="S400" s="3" t="s">
        <v>102</v>
      </c>
      <c r="T400" s="3" t="s">
        <v>674</v>
      </c>
      <c r="U400" s="3" t="s">
        <v>54</v>
      </c>
      <c r="V400" s="3" t="s">
        <v>72</v>
      </c>
      <c r="W400" s="3" t="s">
        <v>94</v>
      </c>
      <c r="X400" s="3" t="s">
        <v>95</v>
      </c>
      <c r="Y400" s="3" t="s">
        <v>96</v>
      </c>
      <c r="Z400" s="3" t="s">
        <v>95</v>
      </c>
      <c r="AA400" s="3" t="s">
        <v>676</v>
      </c>
      <c r="AB400" s="4">
        <v>0</v>
      </c>
      <c r="AC400" s="4">
        <v>6000000</v>
      </c>
      <c r="AD400" s="4">
        <v>0</v>
      </c>
      <c r="AE400" s="4">
        <v>6000000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0</v>
      </c>
      <c r="AL400" s="4">
        <v>0</v>
      </c>
      <c r="AM400" s="4">
        <v>0</v>
      </c>
      <c r="AN400" s="4">
        <v>0</v>
      </c>
      <c r="AO400" s="4">
        <v>0</v>
      </c>
      <c r="AP400" s="4">
        <v>0</v>
      </c>
      <c r="AQ400" s="4">
        <v>6000000</v>
      </c>
      <c r="AR400" s="4">
        <v>0</v>
      </c>
      <c r="AS400" s="4">
        <v>0</v>
      </c>
      <c r="AT400" s="4">
        <v>0</v>
      </c>
      <c r="AU400" s="4">
        <v>0</v>
      </c>
      <c r="AV400" s="4">
        <v>0</v>
      </c>
      <c r="AW400" s="4">
        <v>0</v>
      </c>
      <c r="AX400" s="4">
        <v>6000000</v>
      </c>
      <c r="AY400" s="4">
        <v>6000000</v>
      </c>
    </row>
    <row r="401" spans="1:51">
      <c r="A401" s="3" t="s">
        <v>52</v>
      </c>
      <c r="B401" s="3" t="s">
        <v>53</v>
      </c>
      <c r="C401" s="3" t="s">
        <v>54</v>
      </c>
      <c r="D401" s="3" t="s">
        <v>55</v>
      </c>
      <c r="E401" s="3" t="s">
        <v>56</v>
      </c>
      <c r="F401" s="3" t="s">
        <v>57</v>
      </c>
      <c r="G401" s="3" t="s">
        <v>58</v>
      </c>
      <c r="H401" s="3" t="s">
        <v>59</v>
      </c>
      <c r="I401" s="3" t="s">
        <v>60</v>
      </c>
      <c r="J401" s="3" t="s">
        <v>61</v>
      </c>
      <c r="K401" s="3" t="s">
        <v>62</v>
      </c>
      <c r="L401" s="3" t="s">
        <v>63</v>
      </c>
      <c r="M401" s="3" t="s">
        <v>400</v>
      </c>
      <c r="N401" s="3" t="s">
        <v>401</v>
      </c>
      <c r="O401" s="3" t="s">
        <v>659</v>
      </c>
      <c r="P401" s="3" t="s">
        <v>660</v>
      </c>
      <c r="Q401" s="3" t="s">
        <v>661</v>
      </c>
      <c r="R401" s="3" t="s">
        <v>662</v>
      </c>
      <c r="S401" s="3" t="s">
        <v>102</v>
      </c>
      <c r="T401" s="3" t="s">
        <v>674</v>
      </c>
      <c r="U401" s="3" t="s">
        <v>54</v>
      </c>
      <c r="V401" s="3" t="s">
        <v>72</v>
      </c>
      <c r="W401" s="3" t="s">
        <v>94</v>
      </c>
      <c r="X401" s="3" t="s">
        <v>95</v>
      </c>
      <c r="Y401" s="3" t="s">
        <v>96</v>
      </c>
      <c r="Z401" s="3" t="s">
        <v>95</v>
      </c>
      <c r="AA401" s="3" t="s">
        <v>677</v>
      </c>
      <c r="AB401" s="4">
        <v>0</v>
      </c>
      <c r="AC401" s="4">
        <v>1000000</v>
      </c>
      <c r="AD401" s="4">
        <v>0</v>
      </c>
      <c r="AE401" s="4">
        <v>1000000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0</v>
      </c>
      <c r="AL401" s="4">
        <v>0</v>
      </c>
      <c r="AM401" s="4">
        <v>0</v>
      </c>
      <c r="AN401" s="4">
        <v>0</v>
      </c>
      <c r="AO401" s="4">
        <v>0</v>
      </c>
      <c r="AP401" s="4">
        <v>0</v>
      </c>
      <c r="AQ401" s="4">
        <v>1000000</v>
      </c>
      <c r="AR401" s="4">
        <v>498000</v>
      </c>
      <c r="AS401" s="4">
        <v>498000</v>
      </c>
      <c r="AT401" s="4">
        <v>0</v>
      </c>
      <c r="AU401" s="4">
        <v>0</v>
      </c>
      <c r="AV401" s="4">
        <v>0</v>
      </c>
      <c r="AW401" s="4">
        <v>0</v>
      </c>
      <c r="AX401" s="4">
        <v>502000</v>
      </c>
      <c r="AY401" s="4">
        <v>502000</v>
      </c>
    </row>
    <row r="402" spans="1:51">
      <c r="A402" s="3" t="s">
        <v>52</v>
      </c>
      <c r="B402" s="3" t="s">
        <v>53</v>
      </c>
      <c r="C402" s="3" t="s">
        <v>54</v>
      </c>
      <c r="D402" s="3" t="s">
        <v>55</v>
      </c>
      <c r="E402" s="3" t="s">
        <v>56</v>
      </c>
      <c r="F402" s="3" t="s">
        <v>57</v>
      </c>
      <c r="G402" s="3" t="s">
        <v>58</v>
      </c>
      <c r="H402" s="3" t="s">
        <v>59</v>
      </c>
      <c r="I402" s="3" t="s">
        <v>60</v>
      </c>
      <c r="J402" s="3" t="s">
        <v>61</v>
      </c>
      <c r="K402" s="3" t="s">
        <v>62</v>
      </c>
      <c r="L402" s="3" t="s">
        <v>63</v>
      </c>
      <c r="M402" s="3" t="s">
        <v>400</v>
      </c>
      <c r="N402" s="3" t="s">
        <v>401</v>
      </c>
      <c r="O402" s="3" t="s">
        <v>659</v>
      </c>
      <c r="P402" s="3" t="s">
        <v>660</v>
      </c>
      <c r="Q402" s="3" t="s">
        <v>661</v>
      </c>
      <c r="R402" s="3" t="s">
        <v>662</v>
      </c>
      <c r="S402" s="3" t="s">
        <v>128</v>
      </c>
      <c r="T402" s="3" t="s">
        <v>678</v>
      </c>
      <c r="U402" s="3" t="s">
        <v>191</v>
      </c>
      <c r="V402" s="3" t="s">
        <v>192</v>
      </c>
      <c r="W402" s="3" t="s">
        <v>193</v>
      </c>
      <c r="X402" s="3" t="s">
        <v>192</v>
      </c>
      <c r="Y402" s="3" t="s">
        <v>665</v>
      </c>
      <c r="Z402" s="3" t="s">
        <v>666</v>
      </c>
      <c r="AA402" s="3" t="s">
        <v>679</v>
      </c>
      <c r="AB402" s="4">
        <v>0</v>
      </c>
      <c r="AC402" s="4">
        <v>6808000</v>
      </c>
      <c r="AD402" s="4">
        <v>0</v>
      </c>
      <c r="AE402" s="4">
        <v>6808000</v>
      </c>
      <c r="AF402" s="4">
        <v>0</v>
      </c>
      <c r="AG402" s="4">
        <v>0</v>
      </c>
      <c r="AH402" s="4">
        <v>0</v>
      </c>
      <c r="AI402" s="4">
        <v>0</v>
      </c>
      <c r="AJ402" s="4">
        <v>0</v>
      </c>
      <c r="AK402" s="4">
        <v>0</v>
      </c>
      <c r="AL402" s="4">
        <v>0</v>
      </c>
      <c r="AM402" s="4">
        <v>0</v>
      </c>
      <c r="AN402" s="4">
        <v>0</v>
      </c>
      <c r="AO402" s="4">
        <v>0</v>
      </c>
      <c r="AP402" s="4">
        <v>0</v>
      </c>
      <c r="AQ402" s="4">
        <v>6808000</v>
      </c>
      <c r="AR402" s="4">
        <v>6808000</v>
      </c>
      <c r="AS402" s="4">
        <v>6808000</v>
      </c>
      <c r="AT402" s="4">
        <v>0</v>
      </c>
      <c r="AU402" s="4">
        <v>0</v>
      </c>
      <c r="AV402" s="4">
        <v>0</v>
      </c>
      <c r="AW402" s="4">
        <v>0</v>
      </c>
      <c r="AX402" s="4">
        <v>0</v>
      </c>
      <c r="AY402" s="4">
        <v>0</v>
      </c>
    </row>
    <row r="403" spans="1:51">
      <c r="A403" s="3" t="s">
        <v>52</v>
      </c>
      <c r="B403" s="3" t="s">
        <v>53</v>
      </c>
      <c r="C403" s="3" t="s">
        <v>54</v>
      </c>
      <c r="D403" s="3" t="s">
        <v>55</v>
      </c>
      <c r="E403" s="3" t="s">
        <v>56</v>
      </c>
      <c r="F403" s="3" t="s">
        <v>57</v>
      </c>
      <c r="G403" s="3" t="s">
        <v>58</v>
      </c>
      <c r="H403" s="3" t="s">
        <v>59</v>
      </c>
      <c r="I403" s="3" t="s">
        <v>60</v>
      </c>
      <c r="J403" s="3" t="s">
        <v>61</v>
      </c>
      <c r="K403" s="3" t="s">
        <v>62</v>
      </c>
      <c r="L403" s="3" t="s">
        <v>63</v>
      </c>
      <c r="M403" s="3" t="s">
        <v>400</v>
      </c>
      <c r="N403" s="3" t="s">
        <v>401</v>
      </c>
      <c r="O403" s="3" t="s">
        <v>659</v>
      </c>
      <c r="P403" s="3" t="s">
        <v>660</v>
      </c>
      <c r="Q403" s="3" t="s">
        <v>661</v>
      </c>
      <c r="R403" s="3" t="s">
        <v>662</v>
      </c>
      <c r="S403" s="3" t="s">
        <v>128</v>
      </c>
      <c r="T403" s="3" t="s">
        <v>678</v>
      </c>
      <c r="U403" s="3" t="s">
        <v>191</v>
      </c>
      <c r="V403" s="3" t="s">
        <v>192</v>
      </c>
      <c r="W403" s="3" t="s">
        <v>193</v>
      </c>
      <c r="X403" s="3" t="s">
        <v>192</v>
      </c>
      <c r="Y403" s="3" t="s">
        <v>665</v>
      </c>
      <c r="Z403" s="3" t="s">
        <v>666</v>
      </c>
      <c r="AA403" s="3" t="s">
        <v>680</v>
      </c>
      <c r="AB403" s="4">
        <v>0</v>
      </c>
      <c r="AC403" s="4">
        <v>1192000</v>
      </c>
      <c r="AD403" s="4">
        <v>0</v>
      </c>
      <c r="AE403" s="4">
        <v>1192000</v>
      </c>
      <c r="AF403" s="4">
        <v>0</v>
      </c>
      <c r="AG403" s="4">
        <v>0</v>
      </c>
      <c r="AH403" s="4">
        <v>0</v>
      </c>
      <c r="AI403" s="4">
        <v>0</v>
      </c>
      <c r="AJ403" s="4">
        <v>0</v>
      </c>
      <c r="AK403" s="4">
        <v>0</v>
      </c>
      <c r="AL403" s="4">
        <v>0</v>
      </c>
      <c r="AM403" s="4">
        <v>0</v>
      </c>
      <c r="AN403" s="4">
        <v>0</v>
      </c>
      <c r="AO403" s="4">
        <v>0</v>
      </c>
      <c r="AP403" s="4">
        <v>0</v>
      </c>
      <c r="AQ403" s="4">
        <v>1192000</v>
      </c>
      <c r="AR403" s="4">
        <v>1192000</v>
      </c>
      <c r="AS403" s="4">
        <v>1192000</v>
      </c>
      <c r="AT403" s="4">
        <v>0</v>
      </c>
      <c r="AU403" s="4">
        <v>0</v>
      </c>
      <c r="AV403" s="4">
        <v>0</v>
      </c>
      <c r="AW403" s="4">
        <v>0</v>
      </c>
      <c r="AX403" s="4">
        <v>0</v>
      </c>
      <c r="AY403" s="4">
        <v>0</v>
      </c>
    </row>
    <row r="404" spans="1:51">
      <c r="A404" s="3" t="s">
        <v>52</v>
      </c>
      <c r="B404" s="3" t="s">
        <v>53</v>
      </c>
      <c r="C404" s="3" t="s">
        <v>54</v>
      </c>
      <c r="D404" s="3" t="s">
        <v>55</v>
      </c>
      <c r="E404" s="3" t="s">
        <v>56</v>
      </c>
      <c r="F404" s="3" t="s">
        <v>57</v>
      </c>
      <c r="G404" s="3" t="s">
        <v>58</v>
      </c>
      <c r="H404" s="3" t="s">
        <v>59</v>
      </c>
      <c r="I404" s="3" t="s">
        <v>60</v>
      </c>
      <c r="J404" s="3" t="s">
        <v>61</v>
      </c>
      <c r="K404" s="3" t="s">
        <v>62</v>
      </c>
      <c r="L404" s="3" t="s">
        <v>63</v>
      </c>
      <c r="M404" s="3" t="s">
        <v>681</v>
      </c>
      <c r="N404" s="3" t="s">
        <v>682</v>
      </c>
      <c r="O404" s="3" t="s">
        <v>683</v>
      </c>
      <c r="P404" s="3" t="s">
        <v>684</v>
      </c>
      <c r="Q404" s="3" t="s">
        <v>685</v>
      </c>
      <c r="R404" s="3" t="s">
        <v>686</v>
      </c>
      <c r="S404" s="3" t="s">
        <v>150</v>
      </c>
      <c r="T404" s="3" t="s">
        <v>686</v>
      </c>
      <c r="U404" s="3" t="s">
        <v>54</v>
      </c>
      <c r="V404" s="3" t="s">
        <v>72</v>
      </c>
      <c r="W404" s="3" t="s">
        <v>73</v>
      </c>
      <c r="X404" s="3" t="s">
        <v>74</v>
      </c>
      <c r="Y404" s="3" t="s">
        <v>75</v>
      </c>
      <c r="Z404" s="3" t="s">
        <v>76</v>
      </c>
      <c r="AA404" s="3" t="s">
        <v>687</v>
      </c>
      <c r="AB404" s="4">
        <v>1000000</v>
      </c>
      <c r="AC404" s="4">
        <v>0</v>
      </c>
      <c r="AD404" s="4">
        <v>0</v>
      </c>
      <c r="AE404" s="4">
        <v>1000000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4">
        <v>0</v>
      </c>
      <c r="AM404" s="4">
        <v>0</v>
      </c>
      <c r="AN404" s="4">
        <v>0</v>
      </c>
      <c r="AO404" s="4">
        <v>0</v>
      </c>
      <c r="AP404" s="4">
        <v>0</v>
      </c>
      <c r="AQ404" s="4">
        <v>1000000</v>
      </c>
      <c r="AR404" s="4">
        <v>580000</v>
      </c>
      <c r="AS404" s="4">
        <v>580000</v>
      </c>
      <c r="AT404" s="4">
        <v>0</v>
      </c>
      <c r="AU404" s="4">
        <v>0</v>
      </c>
      <c r="AV404" s="4">
        <v>0</v>
      </c>
      <c r="AW404" s="4">
        <v>0</v>
      </c>
      <c r="AX404" s="4">
        <v>420000</v>
      </c>
      <c r="AY404" s="4">
        <v>420000</v>
      </c>
    </row>
    <row r="405" spans="1:51">
      <c r="A405" s="3" t="s">
        <v>52</v>
      </c>
      <c r="B405" s="3" t="s">
        <v>53</v>
      </c>
      <c r="C405" s="3" t="s">
        <v>54</v>
      </c>
      <c r="D405" s="3" t="s">
        <v>55</v>
      </c>
      <c r="E405" s="3" t="s">
        <v>56</v>
      </c>
      <c r="F405" s="3" t="s">
        <v>57</v>
      </c>
      <c r="G405" s="3" t="s">
        <v>58</v>
      </c>
      <c r="H405" s="3" t="s">
        <v>59</v>
      </c>
      <c r="I405" s="3" t="s">
        <v>60</v>
      </c>
      <c r="J405" s="3" t="s">
        <v>61</v>
      </c>
      <c r="K405" s="3" t="s">
        <v>62</v>
      </c>
      <c r="L405" s="3" t="s">
        <v>63</v>
      </c>
      <c r="M405" s="3" t="s">
        <v>681</v>
      </c>
      <c r="N405" s="3" t="s">
        <v>682</v>
      </c>
      <c r="O405" s="3" t="s">
        <v>683</v>
      </c>
      <c r="P405" s="3" t="s">
        <v>684</v>
      </c>
      <c r="Q405" s="3" t="s">
        <v>685</v>
      </c>
      <c r="R405" s="3" t="s">
        <v>686</v>
      </c>
      <c r="S405" s="3" t="s">
        <v>150</v>
      </c>
      <c r="T405" s="3" t="s">
        <v>686</v>
      </c>
      <c r="U405" s="3" t="s">
        <v>54</v>
      </c>
      <c r="V405" s="3" t="s">
        <v>72</v>
      </c>
      <c r="W405" s="3" t="s">
        <v>73</v>
      </c>
      <c r="X405" s="3" t="s">
        <v>74</v>
      </c>
      <c r="Y405" s="3" t="s">
        <v>75</v>
      </c>
      <c r="Z405" s="3" t="s">
        <v>76</v>
      </c>
      <c r="AA405" s="3" t="s">
        <v>688</v>
      </c>
      <c r="AB405" s="4">
        <v>1500000</v>
      </c>
      <c r="AC405" s="4">
        <v>0</v>
      </c>
      <c r="AD405" s="4">
        <v>0</v>
      </c>
      <c r="AE405" s="4">
        <v>1500000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0</v>
      </c>
      <c r="AL405" s="4">
        <v>0</v>
      </c>
      <c r="AM405" s="4">
        <v>0</v>
      </c>
      <c r="AN405" s="4">
        <v>0</v>
      </c>
      <c r="AO405" s="4">
        <v>0</v>
      </c>
      <c r="AP405" s="4">
        <v>0</v>
      </c>
      <c r="AQ405" s="4">
        <v>1500000</v>
      </c>
      <c r="AR405" s="4">
        <v>586930</v>
      </c>
      <c r="AS405" s="4">
        <v>586930</v>
      </c>
      <c r="AT405" s="4">
        <v>0</v>
      </c>
      <c r="AU405" s="4">
        <v>0</v>
      </c>
      <c r="AV405" s="4">
        <v>0</v>
      </c>
      <c r="AW405" s="4">
        <v>0</v>
      </c>
      <c r="AX405" s="4">
        <v>913070</v>
      </c>
      <c r="AY405" s="4">
        <v>913070</v>
      </c>
    </row>
    <row r="406" spans="1:51">
      <c r="A406" s="3" t="s">
        <v>52</v>
      </c>
      <c r="B406" s="3" t="s">
        <v>53</v>
      </c>
      <c r="C406" s="3" t="s">
        <v>54</v>
      </c>
      <c r="D406" s="3" t="s">
        <v>55</v>
      </c>
      <c r="E406" s="3" t="s">
        <v>56</v>
      </c>
      <c r="F406" s="3" t="s">
        <v>57</v>
      </c>
      <c r="G406" s="3" t="s">
        <v>58</v>
      </c>
      <c r="H406" s="3" t="s">
        <v>59</v>
      </c>
      <c r="I406" s="3" t="s">
        <v>60</v>
      </c>
      <c r="J406" s="3" t="s">
        <v>61</v>
      </c>
      <c r="K406" s="3" t="s">
        <v>62</v>
      </c>
      <c r="L406" s="3" t="s">
        <v>63</v>
      </c>
      <c r="M406" s="3" t="s">
        <v>681</v>
      </c>
      <c r="N406" s="3" t="s">
        <v>682</v>
      </c>
      <c r="O406" s="3" t="s">
        <v>683</v>
      </c>
      <c r="P406" s="3" t="s">
        <v>684</v>
      </c>
      <c r="Q406" s="3" t="s">
        <v>685</v>
      </c>
      <c r="R406" s="3" t="s">
        <v>686</v>
      </c>
      <c r="S406" s="3" t="s">
        <v>150</v>
      </c>
      <c r="T406" s="3" t="s">
        <v>686</v>
      </c>
      <c r="U406" s="3" t="s">
        <v>54</v>
      </c>
      <c r="V406" s="3" t="s">
        <v>72</v>
      </c>
      <c r="W406" s="3" t="s">
        <v>73</v>
      </c>
      <c r="X406" s="3" t="s">
        <v>74</v>
      </c>
      <c r="Y406" s="3" t="s">
        <v>75</v>
      </c>
      <c r="Z406" s="3" t="s">
        <v>76</v>
      </c>
      <c r="AA406" s="3" t="s">
        <v>689</v>
      </c>
      <c r="AB406" s="4">
        <v>1188000</v>
      </c>
      <c r="AC406" s="4">
        <v>0</v>
      </c>
      <c r="AD406" s="4">
        <v>0</v>
      </c>
      <c r="AE406" s="4">
        <v>1188000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4">
        <v>0</v>
      </c>
      <c r="AM406" s="4">
        <v>0</v>
      </c>
      <c r="AN406" s="4">
        <v>0</v>
      </c>
      <c r="AO406" s="4">
        <v>0</v>
      </c>
      <c r="AP406" s="4">
        <v>0</v>
      </c>
      <c r="AQ406" s="4">
        <v>1188000</v>
      </c>
      <c r="AR406" s="4">
        <v>1188000</v>
      </c>
      <c r="AS406" s="4">
        <v>1188000</v>
      </c>
      <c r="AT406" s="4">
        <v>0</v>
      </c>
      <c r="AU406" s="4">
        <v>0</v>
      </c>
      <c r="AV406" s="4">
        <v>0</v>
      </c>
      <c r="AW406" s="4">
        <v>0</v>
      </c>
      <c r="AX406" s="4">
        <v>0</v>
      </c>
      <c r="AY406" s="4">
        <v>0</v>
      </c>
    </row>
    <row r="407" spans="1:51">
      <c r="A407" s="3" t="s">
        <v>52</v>
      </c>
      <c r="B407" s="3" t="s">
        <v>53</v>
      </c>
      <c r="C407" s="3" t="s">
        <v>54</v>
      </c>
      <c r="D407" s="3" t="s">
        <v>55</v>
      </c>
      <c r="E407" s="3" t="s">
        <v>56</v>
      </c>
      <c r="F407" s="3" t="s">
        <v>57</v>
      </c>
      <c r="G407" s="3" t="s">
        <v>58</v>
      </c>
      <c r="H407" s="3" t="s">
        <v>59</v>
      </c>
      <c r="I407" s="3" t="s">
        <v>60</v>
      </c>
      <c r="J407" s="3" t="s">
        <v>61</v>
      </c>
      <c r="K407" s="3" t="s">
        <v>62</v>
      </c>
      <c r="L407" s="3" t="s">
        <v>63</v>
      </c>
      <c r="M407" s="3" t="s">
        <v>681</v>
      </c>
      <c r="N407" s="3" t="s">
        <v>682</v>
      </c>
      <c r="O407" s="3" t="s">
        <v>683</v>
      </c>
      <c r="P407" s="3" t="s">
        <v>684</v>
      </c>
      <c r="Q407" s="3" t="s">
        <v>685</v>
      </c>
      <c r="R407" s="3" t="s">
        <v>686</v>
      </c>
      <c r="S407" s="3" t="s">
        <v>150</v>
      </c>
      <c r="T407" s="3" t="s">
        <v>686</v>
      </c>
      <c r="U407" s="3" t="s">
        <v>54</v>
      </c>
      <c r="V407" s="3" t="s">
        <v>72</v>
      </c>
      <c r="W407" s="3" t="s">
        <v>73</v>
      </c>
      <c r="X407" s="3" t="s">
        <v>74</v>
      </c>
      <c r="Y407" s="3" t="s">
        <v>75</v>
      </c>
      <c r="Z407" s="3" t="s">
        <v>76</v>
      </c>
      <c r="AA407" s="3" t="s">
        <v>690</v>
      </c>
      <c r="AB407" s="4">
        <v>3000000</v>
      </c>
      <c r="AC407" s="4">
        <v>0</v>
      </c>
      <c r="AD407" s="4">
        <v>0</v>
      </c>
      <c r="AE407" s="4">
        <v>3000000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4">
        <v>0</v>
      </c>
      <c r="AM407" s="4">
        <v>0</v>
      </c>
      <c r="AN407" s="4">
        <v>0</v>
      </c>
      <c r="AO407" s="4">
        <v>0</v>
      </c>
      <c r="AP407" s="4">
        <v>0</v>
      </c>
      <c r="AQ407" s="4">
        <v>3000000</v>
      </c>
      <c r="AR407" s="4">
        <v>1344000</v>
      </c>
      <c r="AS407" s="4">
        <v>1344000</v>
      </c>
      <c r="AT407" s="4">
        <v>0</v>
      </c>
      <c r="AU407" s="4">
        <v>0</v>
      </c>
      <c r="AV407" s="4">
        <v>0</v>
      </c>
      <c r="AW407" s="4">
        <v>0</v>
      </c>
      <c r="AX407" s="4">
        <v>1656000</v>
      </c>
      <c r="AY407" s="4">
        <v>1656000</v>
      </c>
    </row>
    <row r="408" spans="1:51">
      <c r="A408" s="3" t="s">
        <v>52</v>
      </c>
      <c r="B408" s="3" t="s">
        <v>53</v>
      </c>
      <c r="C408" s="3" t="s">
        <v>54</v>
      </c>
      <c r="D408" s="3" t="s">
        <v>55</v>
      </c>
      <c r="E408" s="3" t="s">
        <v>56</v>
      </c>
      <c r="F408" s="3" t="s">
        <v>57</v>
      </c>
      <c r="G408" s="3" t="s">
        <v>58</v>
      </c>
      <c r="H408" s="3" t="s">
        <v>59</v>
      </c>
      <c r="I408" s="3" t="s">
        <v>60</v>
      </c>
      <c r="J408" s="3" t="s">
        <v>61</v>
      </c>
      <c r="K408" s="3" t="s">
        <v>62</v>
      </c>
      <c r="L408" s="3" t="s">
        <v>63</v>
      </c>
      <c r="M408" s="3" t="s">
        <v>681</v>
      </c>
      <c r="N408" s="3" t="s">
        <v>682</v>
      </c>
      <c r="O408" s="3" t="s">
        <v>683</v>
      </c>
      <c r="P408" s="3" t="s">
        <v>684</v>
      </c>
      <c r="Q408" s="3" t="s">
        <v>685</v>
      </c>
      <c r="R408" s="3" t="s">
        <v>686</v>
      </c>
      <c r="S408" s="3" t="s">
        <v>150</v>
      </c>
      <c r="T408" s="3" t="s">
        <v>686</v>
      </c>
      <c r="U408" s="3" t="s">
        <v>54</v>
      </c>
      <c r="V408" s="3" t="s">
        <v>72</v>
      </c>
      <c r="W408" s="3" t="s">
        <v>73</v>
      </c>
      <c r="X408" s="3" t="s">
        <v>74</v>
      </c>
      <c r="Y408" s="3" t="s">
        <v>75</v>
      </c>
      <c r="Z408" s="3" t="s">
        <v>76</v>
      </c>
      <c r="AA408" s="3" t="s">
        <v>691</v>
      </c>
      <c r="AB408" s="4">
        <v>1050000</v>
      </c>
      <c r="AC408" s="4">
        <v>600000</v>
      </c>
      <c r="AD408" s="4">
        <v>0</v>
      </c>
      <c r="AE408" s="4">
        <v>1650000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4">
        <v>0</v>
      </c>
      <c r="AM408" s="4">
        <v>0</v>
      </c>
      <c r="AN408" s="4">
        <v>0</v>
      </c>
      <c r="AO408" s="4">
        <v>0</v>
      </c>
      <c r="AP408" s="4">
        <v>0</v>
      </c>
      <c r="AQ408" s="4">
        <v>1650000</v>
      </c>
      <c r="AR408" s="4">
        <v>1619790</v>
      </c>
      <c r="AS408" s="4">
        <v>1619790</v>
      </c>
      <c r="AT408" s="4">
        <v>0</v>
      </c>
      <c r="AU408" s="4">
        <v>0</v>
      </c>
      <c r="AV408" s="4">
        <v>0</v>
      </c>
      <c r="AW408" s="4">
        <v>0</v>
      </c>
      <c r="AX408" s="4">
        <v>30210</v>
      </c>
      <c r="AY408" s="4">
        <v>30210</v>
      </c>
    </row>
    <row r="409" spans="1:51">
      <c r="A409" s="3" t="s">
        <v>52</v>
      </c>
      <c r="B409" s="3" t="s">
        <v>53</v>
      </c>
      <c r="C409" s="3" t="s">
        <v>54</v>
      </c>
      <c r="D409" s="3" t="s">
        <v>55</v>
      </c>
      <c r="E409" s="3" t="s">
        <v>56</v>
      </c>
      <c r="F409" s="3" t="s">
        <v>57</v>
      </c>
      <c r="G409" s="3" t="s">
        <v>58</v>
      </c>
      <c r="H409" s="3" t="s">
        <v>59</v>
      </c>
      <c r="I409" s="3" t="s">
        <v>60</v>
      </c>
      <c r="J409" s="3" t="s">
        <v>61</v>
      </c>
      <c r="K409" s="3" t="s">
        <v>62</v>
      </c>
      <c r="L409" s="3" t="s">
        <v>63</v>
      </c>
      <c r="M409" s="3" t="s">
        <v>681</v>
      </c>
      <c r="N409" s="3" t="s">
        <v>682</v>
      </c>
      <c r="O409" s="3" t="s">
        <v>683</v>
      </c>
      <c r="P409" s="3" t="s">
        <v>684</v>
      </c>
      <c r="Q409" s="3" t="s">
        <v>685</v>
      </c>
      <c r="R409" s="3" t="s">
        <v>686</v>
      </c>
      <c r="S409" s="3" t="s">
        <v>150</v>
      </c>
      <c r="T409" s="3" t="s">
        <v>686</v>
      </c>
      <c r="U409" s="3" t="s">
        <v>54</v>
      </c>
      <c r="V409" s="3" t="s">
        <v>72</v>
      </c>
      <c r="W409" s="3" t="s">
        <v>73</v>
      </c>
      <c r="X409" s="3" t="s">
        <v>74</v>
      </c>
      <c r="Y409" s="3" t="s">
        <v>75</v>
      </c>
      <c r="Z409" s="3" t="s">
        <v>76</v>
      </c>
      <c r="AA409" s="3" t="s">
        <v>692</v>
      </c>
      <c r="AB409" s="4">
        <v>1000000</v>
      </c>
      <c r="AC409" s="4">
        <v>0</v>
      </c>
      <c r="AD409" s="4">
        <v>0</v>
      </c>
      <c r="AE409" s="4">
        <v>1000000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4">
        <v>0</v>
      </c>
      <c r="AM409" s="4">
        <v>0</v>
      </c>
      <c r="AN409" s="4">
        <v>0</v>
      </c>
      <c r="AO409" s="4">
        <v>0</v>
      </c>
      <c r="AP409" s="4">
        <v>0</v>
      </c>
      <c r="AQ409" s="4">
        <v>1000000</v>
      </c>
      <c r="AR409" s="4">
        <v>0</v>
      </c>
      <c r="AS409" s="4">
        <v>0</v>
      </c>
      <c r="AT409" s="4">
        <v>0</v>
      </c>
      <c r="AU409" s="4">
        <v>0</v>
      </c>
      <c r="AV409" s="4">
        <v>0</v>
      </c>
      <c r="AW409" s="4">
        <v>0</v>
      </c>
      <c r="AX409" s="4">
        <v>1000000</v>
      </c>
      <c r="AY409" s="4">
        <v>1000000</v>
      </c>
    </row>
    <row r="410" spans="1:51">
      <c r="A410" s="3" t="s">
        <v>52</v>
      </c>
      <c r="B410" s="3" t="s">
        <v>53</v>
      </c>
      <c r="C410" s="3" t="s">
        <v>54</v>
      </c>
      <c r="D410" s="3" t="s">
        <v>55</v>
      </c>
      <c r="E410" s="3" t="s">
        <v>56</v>
      </c>
      <c r="F410" s="3" t="s">
        <v>57</v>
      </c>
      <c r="G410" s="3" t="s">
        <v>58</v>
      </c>
      <c r="H410" s="3" t="s">
        <v>59</v>
      </c>
      <c r="I410" s="3" t="s">
        <v>60</v>
      </c>
      <c r="J410" s="3" t="s">
        <v>61</v>
      </c>
      <c r="K410" s="3" t="s">
        <v>62</v>
      </c>
      <c r="L410" s="3" t="s">
        <v>63</v>
      </c>
      <c r="M410" s="3" t="s">
        <v>681</v>
      </c>
      <c r="N410" s="3" t="s">
        <v>682</v>
      </c>
      <c r="O410" s="3" t="s">
        <v>683</v>
      </c>
      <c r="P410" s="3" t="s">
        <v>684</v>
      </c>
      <c r="Q410" s="3" t="s">
        <v>685</v>
      </c>
      <c r="R410" s="3" t="s">
        <v>686</v>
      </c>
      <c r="S410" s="3" t="s">
        <v>150</v>
      </c>
      <c r="T410" s="3" t="s">
        <v>686</v>
      </c>
      <c r="U410" s="3" t="s">
        <v>54</v>
      </c>
      <c r="V410" s="3" t="s">
        <v>72</v>
      </c>
      <c r="W410" s="3" t="s">
        <v>73</v>
      </c>
      <c r="X410" s="3" t="s">
        <v>74</v>
      </c>
      <c r="Y410" s="3" t="s">
        <v>75</v>
      </c>
      <c r="Z410" s="3" t="s">
        <v>76</v>
      </c>
      <c r="AA410" s="3" t="s">
        <v>693</v>
      </c>
      <c r="AB410" s="4">
        <v>300000</v>
      </c>
      <c r="AC410" s="4">
        <v>0</v>
      </c>
      <c r="AD410" s="4">
        <v>0</v>
      </c>
      <c r="AE410" s="4">
        <v>300000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4">
        <v>0</v>
      </c>
      <c r="AM410" s="4">
        <v>0</v>
      </c>
      <c r="AN410" s="4">
        <v>0</v>
      </c>
      <c r="AO410" s="4">
        <v>0</v>
      </c>
      <c r="AP410" s="4">
        <v>0</v>
      </c>
      <c r="AQ410" s="4">
        <v>300000</v>
      </c>
      <c r="AR410" s="4">
        <v>120000</v>
      </c>
      <c r="AS410" s="4">
        <v>120000</v>
      </c>
      <c r="AT410" s="4">
        <v>0</v>
      </c>
      <c r="AU410" s="4">
        <v>0</v>
      </c>
      <c r="AV410" s="4">
        <v>0</v>
      </c>
      <c r="AW410" s="4">
        <v>0</v>
      </c>
      <c r="AX410" s="4">
        <v>180000</v>
      </c>
      <c r="AY410" s="4">
        <v>180000</v>
      </c>
    </row>
    <row r="411" spans="1:51">
      <c r="A411" s="3" t="s">
        <v>52</v>
      </c>
      <c r="B411" s="3" t="s">
        <v>53</v>
      </c>
      <c r="C411" s="3" t="s">
        <v>54</v>
      </c>
      <c r="D411" s="3" t="s">
        <v>55</v>
      </c>
      <c r="E411" s="3" t="s">
        <v>56</v>
      </c>
      <c r="F411" s="3" t="s">
        <v>57</v>
      </c>
      <c r="G411" s="3" t="s">
        <v>58</v>
      </c>
      <c r="H411" s="3" t="s">
        <v>59</v>
      </c>
      <c r="I411" s="3" t="s">
        <v>60</v>
      </c>
      <c r="J411" s="3" t="s">
        <v>61</v>
      </c>
      <c r="K411" s="3" t="s">
        <v>62</v>
      </c>
      <c r="L411" s="3" t="s">
        <v>63</v>
      </c>
      <c r="M411" s="3" t="s">
        <v>681</v>
      </c>
      <c r="N411" s="3" t="s">
        <v>682</v>
      </c>
      <c r="O411" s="3" t="s">
        <v>683</v>
      </c>
      <c r="P411" s="3" t="s">
        <v>684</v>
      </c>
      <c r="Q411" s="3" t="s">
        <v>685</v>
      </c>
      <c r="R411" s="3" t="s">
        <v>686</v>
      </c>
      <c r="S411" s="3" t="s">
        <v>150</v>
      </c>
      <c r="T411" s="3" t="s">
        <v>686</v>
      </c>
      <c r="U411" s="3" t="s">
        <v>54</v>
      </c>
      <c r="V411" s="3" t="s">
        <v>72</v>
      </c>
      <c r="W411" s="3" t="s">
        <v>73</v>
      </c>
      <c r="X411" s="3" t="s">
        <v>74</v>
      </c>
      <c r="Y411" s="3" t="s">
        <v>75</v>
      </c>
      <c r="Z411" s="3" t="s">
        <v>76</v>
      </c>
      <c r="AA411" s="3" t="s">
        <v>694</v>
      </c>
      <c r="AB411" s="4">
        <v>1000000</v>
      </c>
      <c r="AC411" s="4">
        <v>0</v>
      </c>
      <c r="AD411" s="4">
        <v>0</v>
      </c>
      <c r="AE411" s="4">
        <v>1000000</v>
      </c>
      <c r="AF411" s="4">
        <v>0</v>
      </c>
      <c r="AG411" s="4">
        <v>0</v>
      </c>
      <c r="AH411" s="4">
        <v>0</v>
      </c>
      <c r="AI411" s="4">
        <v>0</v>
      </c>
      <c r="AJ411" s="4">
        <v>0</v>
      </c>
      <c r="AK411" s="4">
        <v>0</v>
      </c>
      <c r="AL411" s="4">
        <v>0</v>
      </c>
      <c r="AM411" s="4">
        <v>0</v>
      </c>
      <c r="AN411" s="4">
        <v>0</v>
      </c>
      <c r="AO411" s="4">
        <v>0</v>
      </c>
      <c r="AP411" s="4">
        <v>0</v>
      </c>
      <c r="AQ411" s="4">
        <v>1000000</v>
      </c>
      <c r="AR411" s="4">
        <v>0</v>
      </c>
      <c r="AS411" s="4">
        <v>0</v>
      </c>
      <c r="AT411" s="4">
        <v>0</v>
      </c>
      <c r="AU411" s="4">
        <v>0</v>
      </c>
      <c r="AV411" s="4">
        <v>0</v>
      </c>
      <c r="AW411" s="4">
        <v>0</v>
      </c>
      <c r="AX411" s="4">
        <v>1000000</v>
      </c>
      <c r="AY411" s="4">
        <v>1000000</v>
      </c>
    </row>
    <row r="412" spans="1:51">
      <c r="A412" s="3" t="s">
        <v>52</v>
      </c>
      <c r="B412" s="3" t="s">
        <v>53</v>
      </c>
      <c r="C412" s="3" t="s">
        <v>54</v>
      </c>
      <c r="D412" s="3" t="s">
        <v>55</v>
      </c>
      <c r="E412" s="3" t="s">
        <v>56</v>
      </c>
      <c r="F412" s="3" t="s">
        <v>57</v>
      </c>
      <c r="G412" s="3" t="s">
        <v>58</v>
      </c>
      <c r="H412" s="3" t="s">
        <v>59</v>
      </c>
      <c r="I412" s="3" t="s">
        <v>60</v>
      </c>
      <c r="J412" s="3" t="s">
        <v>61</v>
      </c>
      <c r="K412" s="3" t="s">
        <v>62</v>
      </c>
      <c r="L412" s="3" t="s">
        <v>63</v>
      </c>
      <c r="M412" s="3" t="s">
        <v>681</v>
      </c>
      <c r="N412" s="3" t="s">
        <v>682</v>
      </c>
      <c r="O412" s="3" t="s">
        <v>683</v>
      </c>
      <c r="P412" s="3" t="s">
        <v>684</v>
      </c>
      <c r="Q412" s="3" t="s">
        <v>685</v>
      </c>
      <c r="R412" s="3" t="s">
        <v>686</v>
      </c>
      <c r="S412" s="3" t="s">
        <v>150</v>
      </c>
      <c r="T412" s="3" t="s">
        <v>686</v>
      </c>
      <c r="U412" s="3" t="s">
        <v>54</v>
      </c>
      <c r="V412" s="3" t="s">
        <v>72</v>
      </c>
      <c r="W412" s="3" t="s">
        <v>73</v>
      </c>
      <c r="X412" s="3" t="s">
        <v>74</v>
      </c>
      <c r="Y412" s="3" t="s">
        <v>75</v>
      </c>
      <c r="Z412" s="3" t="s">
        <v>76</v>
      </c>
      <c r="AA412" s="3" t="s">
        <v>695</v>
      </c>
      <c r="AB412" s="4">
        <v>500000</v>
      </c>
      <c r="AC412" s="4">
        <v>0</v>
      </c>
      <c r="AD412" s="4">
        <v>0</v>
      </c>
      <c r="AE412" s="4">
        <v>500000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0</v>
      </c>
      <c r="AL412" s="4">
        <v>0</v>
      </c>
      <c r="AM412" s="4">
        <v>0</v>
      </c>
      <c r="AN412" s="4">
        <v>0</v>
      </c>
      <c r="AO412" s="4">
        <v>0</v>
      </c>
      <c r="AP412" s="4">
        <v>0</v>
      </c>
      <c r="AQ412" s="4">
        <v>500000</v>
      </c>
      <c r="AR412" s="4">
        <v>0</v>
      </c>
      <c r="AS412" s="4">
        <v>0</v>
      </c>
      <c r="AT412" s="4">
        <v>0</v>
      </c>
      <c r="AU412" s="4">
        <v>0</v>
      </c>
      <c r="AV412" s="4">
        <v>0</v>
      </c>
      <c r="AW412" s="4">
        <v>0</v>
      </c>
      <c r="AX412" s="4">
        <v>500000</v>
      </c>
      <c r="AY412" s="4">
        <v>500000</v>
      </c>
    </row>
    <row r="413" spans="1:51">
      <c r="A413" s="3" t="s">
        <v>52</v>
      </c>
      <c r="B413" s="3" t="s">
        <v>53</v>
      </c>
      <c r="C413" s="3" t="s">
        <v>54</v>
      </c>
      <c r="D413" s="3" t="s">
        <v>55</v>
      </c>
      <c r="E413" s="3" t="s">
        <v>56</v>
      </c>
      <c r="F413" s="3" t="s">
        <v>57</v>
      </c>
      <c r="G413" s="3" t="s">
        <v>58</v>
      </c>
      <c r="H413" s="3" t="s">
        <v>59</v>
      </c>
      <c r="I413" s="3" t="s">
        <v>60</v>
      </c>
      <c r="J413" s="3" t="s">
        <v>61</v>
      </c>
      <c r="K413" s="3" t="s">
        <v>62</v>
      </c>
      <c r="L413" s="3" t="s">
        <v>63</v>
      </c>
      <c r="M413" s="3" t="s">
        <v>681</v>
      </c>
      <c r="N413" s="3" t="s">
        <v>682</v>
      </c>
      <c r="O413" s="3" t="s">
        <v>683</v>
      </c>
      <c r="P413" s="3" t="s">
        <v>684</v>
      </c>
      <c r="Q413" s="3" t="s">
        <v>685</v>
      </c>
      <c r="R413" s="3" t="s">
        <v>686</v>
      </c>
      <c r="S413" s="3" t="s">
        <v>150</v>
      </c>
      <c r="T413" s="3" t="s">
        <v>686</v>
      </c>
      <c r="U413" s="3" t="s">
        <v>54</v>
      </c>
      <c r="V413" s="3" t="s">
        <v>72</v>
      </c>
      <c r="W413" s="3" t="s">
        <v>73</v>
      </c>
      <c r="X413" s="3" t="s">
        <v>74</v>
      </c>
      <c r="Y413" s="3" t="s">
        <v>75</v>
      </c>
      <c r="Z413" s="3" t="s">
        <v>76</v>
      </c>
      <c r="AA413" s="3" t="s">
        <v>696</v>
      </c>
      <c r="AB413" s="4">
        <v>700000</v>
      </c>
      <c r="AC413" s="4">
        <v>0</v>
      </c>
      <c r="AD413" s="4">
        <v>0</v>
      </c>
      <c r="AE413" s="4">
        <v>700000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0</v>
      </c>
      <c r="AL413" s="4">
        <v>0</v>
      </c>
      <c r="AM413" s="4">
        <v>0</v>
      </c>
      <c r="AN413" s="4">
        <v>0</v>
      </c>
      <c r="AO413" s="4">
        <v>0</v>
      </c>
      <c r="AP413" s="4">
        <v>0</v>
      </c>
      <c r="AQ413" s="4">
        <v>700000</v>
      </c>
      <c r="AR413" s="4">
        <v>500000</v>
      </c>
      <c r="AS413" s="4">
        <v>500000</v>
      </c>
      <c r="AT413" s="4">
        <v>0</v>
      </c>
      <c r="AU413" s="4">
        <v>0</v>
      </c>
      <c r="AV413" s="4">
        <v>0</v>
      </c>
      <c r="AW413" s="4">
        <v>0</v>
      </c>
      <c r="AX413" s="4">
        <v>200000</v>
      </c>
      <c r="AY413" s="4">
        <v>200000</v>
      </c>
    </row>
    <row r="414" spans="1:51">
      <c r="A414" s="3" t="s">
        <v>52</v>
      </c>
      <c r="B414" s="3" t="s">
        <v>53</v>
      </c>
      <c r="C414" s="3" t="s">
        <v>54</v>
      </c>
      <c r="D414" s="3" t="s">
        <v>55</v>
      </c>
      <c r="E414" s="3" t="s">
        <v>56</v>
      </c>
      <c r="F414" s="3" t="s">
        <v>57</v>
      </c>
      <c r="G414" s="3" t="s">
        <v>58</v>
      </c>
      <c r="H414" s="3" t="s">
        <v>59</v>
      </c>
      <c r="I414" s="3" t="s">
        <v>60</v>
      </c>
      <c r="J414" s="3" t="s">
        <v>61</v>
      </c>
      <c r="K414" s="3" t="s">
        <v>62</v>
      </c>
      <c r="L414" s="3" t="s">
        <v>63</v>
      </c>
      <c r="M414" s="3" t="s">
        <v>681</v>
      </c>
      <c r="N414" s="3" t="s">
        <v>682</v>
      </c>
      <c r="O414" s="3" t="s">
        <v>683</v>
      </c>
      <c r="P414" s="3" t="s">
        <v>684</v>
      </c>
      <c r="Q414" s="3" t="s">
        <v>685</v>
      </c>
      <c r="R414" s="3" t="s">
        <v>686</v>
      </c>
      <c r="S414" s="3" t="s">
        <v>150</v>
      </c>
      <c r="T414" s="3" t="s">
        <v>686</v>
      </c>
      <c r="U414" s="3" t="s">
        <v>54</v>
      </c>
      <c r="V414" s="3" t="s">
        <v>72</v>
      </c>
      <c r="W414" s="3" t="s">
        <v>73</v>
      </c>
      <c r="X414" s="3" t="s">
        <v>74</v>
      </c>
      <c r="Y414" s="3" t="s">
        <v>78</v>
      </c>
      <c r="Z414" s="3" t="s">
        <v>79</v>
      </c>
      <c r="AA414" s="3" t="s">
        <v>697</v>
      </c>
      <c r="AB414" s="4">
        <v>2000000</v>
      </c>
      <c r="AC414" s="4">
        <v>0</v>
      </c>
      <c r="AD414" s="4">
        <v>0</v>
      </c>
      <c r="AE414" s="4">
        <v>2000000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0</v>
      </c>
      <c r="AL414" s="4">
        <v>0</v>
      </c>
      <c r="AM414" s="4">
        <v>0</v>
      </c>
      <c r="AN414" s="4">
        <v>0</v>
      </c>
      <c r="AO414" s="4">
        <v>0</v>
      </c>
      <c r="AP414" s="4">
        <v>0</v>
      </c>
      <c r="AQ414" s="4">
        <v>2000000</v>
      </c>
      <c r="AR414" s="4">
        <v>480000</v>
      </c>
      <c r="AS414" s="4">
        <v>480000</v>
      </c>
      <c r="AT414" s="4">
        <v>0</v>
      </c>
      <c r="AU414" s="4">
        <v>0</v>
      </c>
      <c r="AV414" s="4">
        <v>0</v>
      </c>
      <c r="AW414" s="4">
        <v>0</v>
      </c>
      <c r="AX414" s="4">
        <v>1520000</v>
      </c>
      <c r="AY414" s="4">
        <v>1520000</v>
      </c>
    </row>
    <row r="415" spans="1:51">
      <c r="A415" s="3" t="s">
        <v>52</v>
      </c>
      <c r="B415" s="3" t="s">
        <v>53</v>
      </c>
      <c r="C415" s="3" t="s">
        <v>54</v>
      </c>
      <c r="D415" s="3" t="s">
        <v>55</v>
      </c>
      <c r="E415" s="3" t="s">
        <v>56</v>
      </c>
      <c r="F415" s="3" t="s">
        <v>57</v>
      </c>
      <c r="G415" s="3" t="s">
        <v>58</v>
      </c>
      <c r="H415" s="3" t="s">
        <v>59</v>
      </c>
      <c r="I415" s="3" t="s">
        <v>60</v>
      </c>
      <c r="J415" s="3" t="s">
        <v>61</v>
      </c>
      <c r="K415" s="3" t="s">
        <v>62</v>
      </c>
      <c r="L415" s="3" t="s">
        <v>63</v>
      </c>
      <c r="M415" s="3" t="s">
        <v>681</v>
      </c>
      <c r="N415" s="3" t="s">
        <v>682</v>
      </c>
      <c r="O415" s="3" t="s">
        <v>683</v>
      </c>
      <c r="P415" s="3" t="s">
        <v>684</v>
      </c>
      <c r="Q415" s="3" t="s">
        <v>685</v>
      </c>
      <c r="R415" s="3" t="s">
        <v>686</v>
      </c>
      <c r="S415" s="3" t="s">
        <v>150</v>
      </c>
      <c r="T415" s="3" t="s">
        <v>686</v>
      </c>
      <c r="U415" s="3" t="s">
        <v>54</v>
      </c>
      <c r="V415" s="3" t="s">
        <v>72</v>
      </c>
      <c r="W415" s="3" t="s">
        <v>73</v>
      </c>
      <c r="X415" s="3" t="s">
        <v>74</v>
      </c>
      <c r="Y415" s="3" t="s">
        <v>78</v>
      </c>
      <c r="Z415" s="3" t="s">
        <v>79</v>
      </c>
      <c r="AA415" s="3" t="s">
        <v>698</v>
      </c>
      <c r="AB415" s="4">
        <v>4350000</v>
      </c>
      <c r="AC415" s="4">
        <v>0</v>
      </c>
      <c r="AD415" s="4">
        <v>0</v>
      </c>
      <c r="AE415" s="4">
        <v>4350000</v>
      </c>
      <c r="AF415" s="4">
        <v>0</v>
      </c>
      <c r="AG415" s="4">
        <v>0</v>
      </c>
      <c r="AH415" s="4">
        <v>0</v>
      </c>
      <c r="AI415" s="4">
        <v>0</v>
      </c>
      <c r="AJ415" s="4">
        <v>0</v>
      </c>
      <c r="AK415" s="4">
        <v>0</v>
      </c>
      <c r="AL415" s="4">
        <v>0</v>
      </c>
      <c r="AM415" s="4">
        <v>0</v>
      </c>
      <c r="AN415" s="4">
        <v>0</v>
      </c>
      <c r="AO415" s="4">
        <v>0</v>
      </c>
      <c r="AP415" s="4">
        <v>0</v>
      </c>
      <c r="AQ415" s="4">
        <v>4350000</v>
      </c>
      <c r="AR415" s="4">
        <v>2655000</v>
      </c>
      <c r="AS415" s="4">
        <v>2655000</v>
      </c>
      <c r="AT415" s="4">
        <v>0</v>
      </c>
      <c r="AU415" s="4">
        <v>0</v>
      </c>
      <c r="AV415" s="4">
        <v>0</v>
      </c>
      <c r="AW415" s="4">
        <v>0</v>
      </c>
      <c r="AX415" s="4">
        <v>1695000</v>
      </c>
      <c r="AY415" s="4">
        <v>1695000</v>
      </c>
    </row>
    <row r="416" spans="1:51">
      <c r="A416" s="3" t="s">
        <v>52</v>
      </c>
      <c r="B416" s="3" t="s">
        <v>53</v>
      </c>
      <c r="C416" s="3" t="s">
        <v>54</v>
      </c>
      <c r="D416" s="3" t="s">
        <v>55</v>
      </c>
      <c r="E416" s="3" t="s">
        <v>56</v>
      </c>
      <c r="F416" s="3" t="s">
        <v>57</v>
      </c>
      <c r="G416" s="3" t="s">
        <v>58</v>
      </c>
      <c r="H416" s="3" t="s">
        <v>59</v>
      </c>
      <c r="I416" s="3" t="s">
        <v>60</v>
      </c>
      <c r="J416" s="3" t="s">
        <v>61</v>
      </c>
      <c r="K416" s="3" t="s">
        <v>62</v>
      </c>
      <c r="L416" s="3" t="s">
        <v>63</v>
      </c>
      <c r="M416" s="3" t="s">
        <v>681</v>
      </c>
      <c r="N416" s="3" t="s">
        <v>682</v>
      </c>
      <c r="O416" s="3" t="s">
        <v>683</v>
      </c>
      <c r="P416" s="3" t="s">
        <v>684</v>
      </c>
      <c r="Q416" s="3" t="s">
        <v>685</v>
      </c>
      <c r="R416" s="3" t="s">
        <v>686</v>
      </c>
      <c r="S416" s="3" t="s">
        <v>150</v>
      </c>
      <c r="T416" s="3" t="s">
        <v>686</v>
      </c>
      <c r="U416" s="3" t="s">
        <v>54</v>
      </c>
      <c r="V416" s="3" t="s">
        <v>72</v>
      </c>
      <c r="W416" s="3" t="s">
        <v>94</v>
      </c>
      <c r="X416" s="3" t="s">
        <v>95</v>
      </c>
      <c r="Y416" s="3" t="s">
        <v>96</v>
      </c>
      <c r="Z416" s="3" t="s">
        <v>95</v>
      </c>
      <c r="AA416" s="3" t="s">
        <v>699</v>
      </c>
      <c r="AB416" s="4">
        <v>1500000</v>
      </c>
      <c r="AC416" s="4">
        <v>0</v>
      </c>
      <c r="AD416" s="4">
        <v>0</v>
      </c>
      <c r="AE416" s="4">
        <v>1500000</v>
      </c>
      <c r="AF416" s="4">
        <v>0</v>
      </c>
      <c r="AG416" s="4">
        <v>0</v>
      </c>
      <c r="AH416" s="4">
        <v>0</v>
      </c>
      <c r="AI416" s="4">
        <v>0</v>
      </c>
      <c r="AJ416" s="4">
        <v>0</v>
      </c>
      <c r="AK416" s="4">
        <v>0</v>
      </c>
      <c r="AL416" s="4">
        <v>0</v>
      </c>
      <c r="AM416" s="4">
        <v>0</v>
      </c>
      <c r="AN416" s="4">
        <v>0</v>
      </c>
      <c r="AO416" s="4">
        <v>0</v>
      </c>
      <c r="AP416" s="4">
        <v>0</v>
      </c>
      <c r="AQ416" s="4">
        <v>1500000</v>
      </c>
      <c r="AR416" s="4">
        <v>520200</v>
      </c>
      <c r="AS416" s="4">
        <v>520200</v>
      </c>
      <c r="AT416" s="4">
        <v>0</v>
      </c>
      <c r="AU416" s="4">
        <v>0</v>
      </c>
      <c r="AV416" s="4">
        <v>0</v>
      </c>
      <c r="AW416" s="4">
        <v>0</v>
      </c>
      <c r="AX416" s="4">
        <v>979800</v>
      </c>
      <c r="AY416" s="4">
        <v>979800</v>
      </c>
    </row>
    <row r="417" spans="1:51">
      <c r="A417" s="3" t="s">
        <v>52</v>
      </c>
      <c r="B417" s="3" t="s">
        <v>53</v>
      </c>
      <c r="C417" s="3" t="s">
        <v>54</v>
      </c>
      <c r="D417" s="3" t="s">
        <v>55</v>
      </c>
      <c r="E417" s="3" t="s">
        <v>56</v>
      </c>
      <c r="F417" s="3" t="s">
        <v>57</v>
      </c>
      <c r="G417" s="3" t="s">
        <v>58</v>
      </c>
      <c r="H417" s="3" t="s">
        <v>59</v>
      </c>
      <c r="I417" s="3" t="s">
        <v>60</v>
      </c>
      <c r="J417" s="3" t="s">
        <v>61</v>
      </c>
      <c r="K417" s="3" t="s">
        <v>62</v>
      </c>
      <c r="L417" s="3" t="s">
        <v>63</v>
      </c>
      <c r="M417" s="3" t="s">
        <v>681</v>
      </c>
      <c r="N417" s="3" t="s">
        <v>682</v>
      </c>
      <c r="O417" s="3" t="s">
        <v>683</v>
      </c>
      <c r="P417" s="3" t="s">
        <v>684</v>
      </c>
      <c r="Q417" s="3" t="s">
        <v>685</v>
      </c>
      <c r="R417" s="3" t="s">
        <v>686</v>
      </c>
      <c r="S417" s="3" t="s">
        <v>150</v>
      </c>
      <c r="T417" s="3" t="s">
        <v>686</v>
      </c>
      <c r="U417" s="3" t="s">
        <v>86</v>
      </c>
      <c r="V417" s="3" t="s">
        <v>87</v>
      </c>
      <c r="W417" s="3" t="s">
        <v>88</v>
      </c>
      <c r="X417" s="3" t="s">
        <v>89</v>
      </c>
      <c r="Y417" s="3" t="s">
        <v>90</v>
      </c>
      <c r="Z417" s="3" t="s">
        <v>89</v>
      </c>
      <c r="AA417" s="3" t="s">
        <v>700</v>
      </c>
      <c r="AB417" s="4">
        <v>1280000</v>
      </c>
      <c r="AC417" s="4">
        <v>0</v>
      </c>
      <c r="AD417" s="4">
        <v>0</v>
      </c>
      <c r="AE417" s="4">
        <v>1280000</v>
      </c>
      <c r="AF417" s="4">
        <v>0</v>
      </c>
      <c r="AG417" s="4">
        <v>0</v>
      </c>
      <c r="AH417" s="4">
        <v>0</v>
      </c>
      <c r="AI417" s="4">
        <v>0</v>
      </c>
      <c r="AJ417" s="4">
        <v>0</v>
      </c>
      <c r="AK417" s="4">
        <v>0</v>
      </c>
      <c r="AL417" s="4">
        <v>0</v>
      </c>
      <c r="AM417" s="4">
        <v>0</v>
      </c>
      <c r="AN417" s="4">
        <v>0</v>
      </c>
      <c r="AO417" s="4">
        <v>0</v>
      </c>
      <c r="AP417" s="4">
        <v>0</v>
      </c>
      <c r="AQ417" s="4">
        <v>1280000</v>
      </c>
      <c r="AR417" s="4">
        <v>484000</v>
      </c>
      <c r="AS417" s="4">
        <v>484000</v>
      </c>
      <c r="AT417" s="4">
        <v>0</v>
      </c>
      <c r="AU417" s="4">
        <v>0</v>
      </c>
      <c r="AV417" s="4">
        <v>0</v>
      </c>
      <c r="AW417" s="4">
        <v>0</v>
      </c>
      <c r="AX417" s="4">
        <v>796000</v>
      </c>
      <c r="AY417" s="4">
        <v>796000</v>
      </c>
    </row>
    <row r="418" spans="1:51">
      <c r="A418" s="3" t="s">
        <v>52</v>
      </c>
      <c r="B418" s="3" t="s">
        <v>53</v>
      </c>
      <c r="C418" s="3" t="s">
        <v>54</v>
      </c>
      <c r="D418" s="3" t="s">
        <v>55</v>
      </c>
      <c r="E418" s="3" t="s">
        <v>56</v>
      </c>
      <c r="F418" s="3" t="s">
        <v>57</v>
      </c>
      <c r="G418" s="3" t="s">
        <v>58</v>
      </c>
      <c r="H418" s="3" t="s">
        <v>59</v>
      </c>
      <c r="I418" s="3" t="s">
        <v>60</v>
      </c>
      <c r="J418" s="3" t="s">
        <v>61</v>
      </c>
      <c r="K418" s="3" t="s">
        <v>62</v>
      </c>
      <c r="L418" s="3" t="s">
        <v>63</v>
      </c>
      <c r="M418" s="3" t="s">
        <v>681</v>
      </c>
      <c r="N418" s="3" t="s">
        <v>682</v>
      </c>
      <c r="O418" s="3" t="s">
        <v>683</v>
      </c>
      <c r="P418" s="3" t="s">
        <v>684</v>
      </c>
      <c r="Q418" s="3" t="s">
        <v>685</v>
      </c>
      <c r="R418" s="3" t="s">
        <v>686</v>
      </c>
      <c r="S418" s="3" t="s">
        <v>150</v>
      </c>
      <c r="T418" s="3" t="s">
        <v>686</v>
      </c>
      <c r="U418" s="3" t="s">
        <v>86</v>
      </c>
      <c r="V418" s="3" t="s">
        <v>87</v>
      </c>
      <c r="W418" s="3" t="s">
        <v>88</v>
      </c>
      <c r="X418" s="3" t="s">
        <v>89</v>
      </c>
      <c r="Y418" s="3" t="s">
        <v>90</v>
      </c>
      <c r="Z418" s="3" t="s">
        <v>89</v>
      </c>
      <c r="AA418" s="3" t="s">
        <v>701</v>
      </c>
      <c r="AB418" s="4">
        <v>360000</v>
      </c>
      <c r="AC418" s="4">
        <v>0</v>
      </c>
      <c r="AD418" s="4">
        <v>0</v>
      </c>
      <c r="AE418" s="4">
        <v>360000</v>
      </c>
      <c r="AF418" s="4">
        <v>0</v>
      </c>
      <c r="AG418" s="4">
        <v>0</v>
      </c>
      <c r="AH418" s="4">
        <v>0</v>
      </c>
      <c r="AI418" s="4">
        <v>0</v>
      </c>
      <c r="AJ418" s="4">
        <v>0</v>
      </c>
      <c r="AK418" s="4">
        <v>0</v>
      </c>
      <c r="AL418" s="4">
        <v>0</v>
      </c>
      <c r="AM418" s="4">
        <v>0</v>
      </c>
      <c r="AN418" s="4">
        <v>0</v>
      </c>
      <c r="AO418" s="4">
        <v>0</v>
      </c>
      <c r="AP418" s="4">
        <v>0</v>
      </c>
      <c r="AQ418" s="4">
        <v>360000</v>
      </c>
      <c r="AR418" s="4">
        <v>0</v>
      </c>
      <c r="AS418" s="4">
        <v>0</v>
      </c>
      <c r="AT418" s="4">
        <v>0</v>
      </c>
      <c r="AU418" s="4">
        <v>0</v>
      </c>
      <c r="AV418" s="4">
        <v>0</v>
      </c>
      <c r="AW418" s="4">
        <v>0</v>
      </c>
      <c r="AX418" s="4">
        <v>360000</v>
      </c>
      <c r="AY418" s="4">
        <v>360000</v>
      </c>
    </row>
    <row r="419" spans="1:51">
      <c r="A419" s="3" t="s">
        <v>52</v>
      </c>
      <c r="B419" s="3" t="s">
        <v>53</v>
      </c>
      <c r="C419" s="3" t="s">
        <v>54</v>
      </c>
      <c r="D419" s="3" t="s">
        <v>55</v>
      </c>
      <c r="E419" s="3" t="s">
        <v>56</v>
      </c>
      <c r="F419" s="3" t="s">
        <v>57</v>
      </c>
      <c r="G419" s="3" t="s">
        <v>58</v>
      </c>
      <c r="H419" s="3" t="s">
        <v>59</v>
      </c>
      <c r="I419" s="3" t="s">
        <v>60</v>
      </c>
      <c r="J419" s="3" t="s">
        <v>61</v>
      </c>
      <c r="K419" s="3" t="s">
        <v>62</v>
      </c>
      <c r="L419" s="3" t="s">
        <v>63</v>
      </c>
      <c r="M419" s="3" t="s">
        <v>681</v>
      </c>
      <c r="N419" s="3" t="s">
        <v>682</v>
      </c>
      <c r="O419" s="3" t="s">
        <v>683</v>
      </c>
      <c r="P419" s="3" t="s">
        <v>684</v>
      </c>
      <c r="Q419" s="3" t="s">
        <v>685</v>
      </c>
      <c r="R419" s="3" t="s">
        <v>686</v>
      </c>
      <c r="S419" s="3" t="s">
        <v>150</v>
      </c>
      <c r="T419" s="3" t="s">
        <v>686</v>
      </c>
      <c r="U419" s="3" t="s">
        <v>86</v>
      </c>
      <c r="V419" s="3" t="s">
        <v>87</v>
      </c>
      <c r="W419" s="3" t="s">
        <v>88</v>
      </c>
      <c r="X419" s="3" t="s">
        <v>89</v>
      </c>
      <c r="Y419" s="3" t="s">
        <v>90</v>
      </c>
      <c r="Z419" s="3" t="s">
        <v>89</v>
      </c>
      <c r="AA419" s="3" t="s">
        <v>702</v>
      </c>
      <c r="AB419" s="4">
        <v>1200000</v>
      </c>
      <c r="AC419" s="4">
        <v>0</v>
      </c>
      <c r="AD419" s="4">
        <v>0</v>
      </c>
      <c r="AE419" s="4">
        <v>1200000</v>
      </c>
      <c r="AF419" s="4">
        <v>0</v>
      </c>
      <c r="AG419" s="4">
        <v>0</v>
      </c>
      <c r="AH419" s="4">
        <v>0</v>
      </c>
      <c r="AI419" s="4">
        <v>0</v>
      </c>
      <c r="AJ419" s="4">
        <v>0</v>
      </c>
      <c r="AK419" s="4">
        <v>0</v>
      </c>
      <c r="AL419" s="4">
        <v>0</v>
      </c>
      <c r="AM419" s="4">
        <v>0</v>
      </c>
      <c r="AN419" s="4">
        <v>0</v>
      </c>
      <c r="AO419" s="4">
        <v>0</v>
      </c>
      <c r="AP419" s="4">
        <v>0</v>
      </c>
      <c r="AQ419" s="4">
        <v>1200000</v>
      </c>
      <c r="AR419" s="4">
        <v>221780</v>
      </c>
      <c r="AS419" s="4">
        <v>87290</v>
      </c>
      <c r="AT419" s="4">
        <v>0</v>
      </c>
      <c r="AU419" s="4">
        <v>0</v>
      </c>
      <c r="AV419" s="4">
        <v>0</v>
      </c>
      <c r="AW419" s="4">
        <v>0</v>
      </c>
      <c r="AX419" s="4">
        <v>978220</v>
      </c>
      <c r="AY419" s="4">
        <v>1112710</v>
      </c>
    </row>
    <row r="420" spans="1:51">
      <c r="A420" s="3" t="s">
        <v>52</v>
      </c>
      <c r="B420" s="3" t="s">
        <v>53</v>
      </c>
      <c r="C420" s="3" t="s">
        <v>54</v>
      </c>
      <c r="D420" s="3" t="s">
        <v>55</v>
      </c>
      <c r="E420" s="3" t="s">
        <v>56</v>
      </c>
      <c r="F420" s="3" t="s">
        <v>57</v>
      </c>
      <c r="G420" s="3" t="s">
        <v>58</v>
      </c>
      <c r="H420" s="3" t="s">
        <v>59</v>
      </c>
      <c r="I420" s="3" t="s">
        <v>60</v>
      </c>
      <c r="J420" s="3" t="s">
        <v>61</v>
      </c>
      <c r="K420" s="3" t="s">
        <v>62</v>
      </c>
      <c r="L420" s="3" t="s">
        <v>63</v>
      </c>
      <c r="M420" s="3" t="s">
        <v>681</v>
      </c>
      <c r="N420" s="3" t="s">
        <v>682</v>
      </c>
      <c r="O420" s="3" t="s">
        <v>683</v>
      </c>
      <c r="P420" s="3" t="s">
        <v>684</v>
      </c>
      <c r="Q420" s="3" t="s">
        <v>685</v>
      </c>
      <c r="R420" s="3" t="s">
        <v>686</v>
      </c>
      <c r="S420" s="3" t="s">
        <v>150</v>
      </c>
      <c r="T420" s="3" t="s">
        <v>686</v>
      </c>
      <c r="U420" s="3" t="s">
        <v>86</v>
      </c>
      <c r="V420" s="3" t="s">
        <v>87</v>
      </c>
      <c r="W420" s="3" t="s">
        <v>88</v>
      </c>
      <c r="X420" s="3" t="s">
        <v>89</v>
      </c>
      <c r="Y420" s="3" t="s">
        <v>90</v>
      </c>
      <c r="Z420" s="3" t="s">
        <v>89</v>
      </c>
      <c r="AA420" s="3" t="s">
        <v>703</v>
      </c>
      <c r="AB420" s="4">
        <v>600000</v>
      </c>
      <c r="AC420" s="4">
        <v>0</v>
      </c>
      <c r="AD420" s="4">
        <v>0</v>
      </c>
      <c r="AE420" s="4">
        <v>600000</v>
      </c>
      <c r="AF420" s="4">
        <v>0</v>
      </c>
      <c r="AG420" s="4">
        <v>0</v>
      </c>
      <c r="AH420" s="4">
        <v>0</v>
      </c>
      <c r="AI420" s="4">
        <v>0</v>
      </c>
      <c r="AJ420" s="4">
        <v>0</v>
      </c>
      <c r="AK420" s="4">
        <v>0</v>
      </c>
      <c r="AL420" s="4">
        <v>0</v>
      </c>
      <c r="AM420" s="4">
        <v>0</v>
      </c>
      <c r="AN420" s="4">
        <v>0</v>
      </c>
      <c r="AO420" s="4">
        <v>0</v>
      </c>
      <c r="AP420" s="4">
        <v>0</v>
      </c>
      <c r="AQ420" s="4">
        <v>600000</v>
      </c>
      <c r="AR420" s="4">
        <v>280000</v>
      </c>
      <c r="AS420" s="4">
        <v>280000</v>
      </c>
      <c r="AT420" s="4">
        <v>0</v>
      </c>
      <c r="AU420" s="4">
        <v>0</v>
      </c>
      <c r="AV420" s="4">
        <v>0</v>
      </c>
      <c r="AW420" s="4">
        <v>0</v>
      </c>
      <c r="AX420" s="4">
        <v>320000</v>
      </c>
      <c r="AY420" s="4">
        <v>320000</v>
      </c>
    </row>
    <row r="421" spans="1:51">
      <c r="A421" s="3" t="s">
        <v>52</v>
      </c>
      <c r="B421" s="3" t="s">
        <v>53</v>
      </c>
      <c r="C421" s="3" t="s">
        <v>54</v>
      </c>
      <c r="D421" s="3" t="s">
        <v>55</v>
      </c>
      <c r="E421" s="3" t="s">
        <v>56</v>
      </c>
      <c r="F421" s="3" t="s">
        <v>57</v>
      </c>
      <c r="G421" s="3" t="s">
        <v>58</v>
      </c>
      <c r="H421" s="3" t="s">
        <v>59</v>
      </c>
      <c r="I421" s="3" t="s">
        <v>60</v>
      </c>
      <c r="J421" s="3" t="s">
        <v>61</v>
      </c>
      <c r="K421" s="3" t="s">
        <v>62</v>
      </c>
      <c r="L421" s="3" t="s">
        <v>63</v>
      </c>
      <c r="M421" s="3" t="s">
        <v>681</v>
      </c>
      <c r="N421" s="3" t="s">
        <v>682</v>
      </c>
      <c r="O421" s="3" t="s">
        <v>683</v>
      </c>
      <c r="P421" s="3" t="s">
        <v>684</v>
      </c>
      <c r="Q421" s="3" t="s">
        <v>685</v>
      </c>
      <c r="R421" s="3" t="s">
        <v>686</v>
      </c>
      <c r="S421" s="3" t="s">
        <v>150</v>
      </c>
      <c r="T421" s="3" t="s">
        <v>686</v>
      </c>
      <c r="U421" s="3" t="s">
        <v>86</v>
      </c>
      <c r="V421" s="3" t="s">
        <v>87</v>
      </c>
      <c r="W421" s="3" t="s">
        <v>88</v>
      </c>
      <c r="X421" s="3" t="s">
        <v>89</v>
      </c>
      <c r="Y421" s="3" t="s">
        <v>90</v>
      </c>
      <c r="Z421" s="3" t="s">
        <v>89</v>
      </c>
      <c r="AA421" s="3" t="s">
        <v>704</v>
      </c>
      <c r="AB421" s="4">
        <v>4000000</v>
      </c>
      <c r="AC421" s="4">
        <v>0</v>
      </c>
      <c r="AD421" s="4">
        <v>0</v>
      </c>
      <c r="AE421" s="4">
        <v>4000000</v>
      </c>
      <c r="AF421" s="4">
        <v>0</v>
      </c>
      <c r="AG421" s="4">
        <v>0</v>
      </c>
      <c r="AH421" s="4">
        <v>0</v>
      </c>
      <c r="AI421" s="4">
        <v>0</v>
      </c>
      <c r="AJ421" s="4">
        <v>0</v>
      </c>
      <c r="AK421" s="4">
        <v>0</v>
      </c>
      <c r="AL421" s="4">
        <v>0</v>
      </c>
      <c r="AM421" s="4">
        <v>0</v>
      </c>
      <c r="AN421" s="4">
        <v>0</v>
      </c>
      <c r="AO421" s="4">
        <v>0</v>
      </c>
      <c r="AP421" s="4">
        <v>0</v>
      </c>
      <c r="AQ421" s="4">
        <v>4000000</v>
      </c>
      <c r="AR421" s="4">
        <v>1504140</v>
      </c>
      <c r="AS421" s="4">
        <v>1504140</v>
      </c>
      <c r="AT421" s="4">
        <v>0</v>
      </c>
      <c r="AU421" s="4">
        <v>0</v>
      </c>
      <c r="AV421" s="4">
        <v>0</v>
      </c>
      <c r="AW421" s="4">
        <v>0</v>
      </c>
      <c r="AX421" s="4">
        <v>2495860</v>
      </c>
      <c r="AY421" s="4">
        <v>2495860</v>
      </c>
    </row>
    <row r="422" spans="1:51">
      <c r="A422" s="3" t="s">
        <v>52</v>
      </c>
      <c r="B422" s="3" t="s">
        <v>53</v>
      </c>
      <c r="C422" s="3" t="s">
        <v>54</v>
      </c>
      <c r="D422" s="3" t="s">
        <v>55</v>
      </c>
      <c r="E422" s="3" t="s">
        <v>56</v>
      </c>
      <c r="F422" s="3" t="s">
        <v>57</v>
      </c>
      <c r="G422" s="3" t="s">
        <v>58</v>
      </c>
      <c r="H422" s="3" t="s">
        <v>59</v>
      </c>
      <c r="I422" s="3" t="s">
        <v>60</v>
      </c>
      <c r="J422" s="3" t="s">
        <v>61</v>
      </c>
      <c r="K422" s="3" t="s">
        <v>62</v>
      </c>
      <c r="L422" s="3" t="s">
        <v>63</v>
      </c>
      <c r="M422" s="3" t="s">
        <v>681</v>
      </c>
      <c r="N422" s="3" t="s">
        <v>682</v>
      </c>
      <c r="O422" s="3" t="s">
        <v>683</v>
      </c>
      <c r="P422" s="3" t="s">
        <v>684</v>
      </c>
      <c r="Q422" s="3" t="s">
        <v>685</v>
      </c>
      <c r="R422" s="3" t="s">
        <v>686</v>
      </c>
      <c r="S422" s="3" t="s">
        <v>70</v>
      </c>
      <c r="T422" s="3" t="s">
        <v>705</v>
      </c>
      <c r="U422" s="3" t="s">
        <v>54</v>
      </c>
      <c r="V422" s="3" t="s">
        <v>72</v>
      </c>
      <c r="W422" s="3" t="s">
        <v>94</v>
      </c>
      <c r="X422" s="3" t="s">
        <v>95</v>
      </c>
      <c r="Y422" s="3" t="s">
        <v>96</v>
      </c>
      <c r="Z422" s="3" t="s">
        <v>95</v>
      </c>
      <c r="AA422" s="3" t="s">
        <v>706</v>
      </c>
      <c r="AB422" s="4">
        <v>2000000</v>
      </c>
      <c r="AC422" s="4">
        <v>0</v>
      </c>
      <c r="AD422" s="4">
        <v>0</v>
      </c>
      <c r="AE422" s="4">
        <v>2000000</v>
      </c>
      <c r="AF422" s="4">
        <v>0</v>
      </c>
      <c r="AG422" s="4">
        <v>0</v>
      </c>
      <c r="AH422" s="4">
        <v>0</v>
      </c>
      <c r="AI422" s="4">
        <v>0</v>
      </c>
      <c r="AJ422" s="4">
        <v>0</v>
      </c>
      <c r="AK422" s="4">
        <v>0</v>
      </c>
      <c r="AL422" s="4">
        <v>0</v>
      </c>
      <c r="AM422" s="4">
        <v>0</v>
      </c>
      <c r="AN422" s="4">
        <v>0</v>
      </c>
      <c r="AO422" s="4">
        <v>0</v>
      </c>
      <c r="AP422" s="4">
        <v>0</v>
      </c>
      <c r="AQ422" s="4">
        <v>2000000</v>
      </c>
      <c r="AR422" s="4">
        <v>0</v>
      </c>
      <c r="AS422" s="4">
        <v>0</v>
      </c>
      <c r="AT422" s="4">
        <v>0</v>
      </c>
      <c r="AU422" s="4">
        <v>0</v>
      </c>
      <c r="AV422" s="4">
        <v>0</v>
      </c>
      <c r="AW422" s="4">
        <v>0</v>
      </c>
      <c r="AX422" s="4">
        <v>2000000</v>
      </c>
      <c r="AY422" s="4">
        <v>2000000</v>
      </c>
    </row>
    <row r="423" spans="1:51">
      <c r="A423" s="3" t="s">
        <v>52</v>
      </c>
      <c r="B423" s="3" t="s">
        <v>53</v>
      </c>
      <c r="C423" s="3" t="s">
        <v>54</v>
      </c>
      <c r="D423" s="3" t="s">
        <v>55</v>
      </c>
      <c r="E423" s="3" t="s">
        <v>56</v>
      </c>
      <c r="F423" s="3" t="s">
        <v>57</v>
      </c>
      <c r="G423" s="3" t="s">
        <v>58</v>
      </c>
      <c r="H423" s="3" t="s">
        <v>59</v>
      </c>
      <c r="I423" s="3" t="s">
        <v>60</v>
      </c>
      <c r="J423" s="3" t="s">
        <v>61</v>
      </c>
      <c r="K423" s="3" t="s">
        <v>62</v>
      </c>
      <c r="L423" s="3" t="s">
        <v>63</v>
      </c>
      <c r="M423" s="3" t="s">
        <v>681</v>
      </c>
      <c r="N423" s="3" t="s">
        <v>682</v>
      </c>
      <c r="O423" s="3" t="s">
        <v>683</v>
      </c>
      <c r="P423" s="3" t="s">
        <v>684</v>
      </c>
      <c r="Q423" s="3" t="s">
        <v>685</v>
      </c>
      <c r="R423" s="3" t="s">
        <v>686</v>
      </c>
      <c r="S423" s="3" t="s">
        <v>70</v>
      </c>
      <c r="T423" s="3" t="s">
        <v>705</v>
      </c>
      <c r="U423" s="3" t="s">
        <v>54</v>
      </c>
      <c r="V423" s="3" t="s">
        <v>72</v>
      </c>
      <c r="W423" s="3" t="s">
        <v>94</v>
      </c>
      <c r="X423" s="3" t="s">
        <v>95</v>
      </c>
      <c r="Y423" s="3" t="s">
        <v>96</v>
      </c>
      <c r="Z423" s="3" t="s">
        <v>95</v>
      </c>
      <c r="AA423" s="3" t="s">
        <v>707</v>
      </c>
      <c r="AB423" s="4">
        <v>2900000</v>
      </c>
      <c r="AC423" s="4">
        <v>0</v>
      </c>
      <c r="AD423" s="4">
        <v>0</v>
      </c>
      <c r="AE423" s="4">
        <v>2900000</v>
      </c>
      <c r="AF423" s="4">
        <v>0</v>
      </c>
      <c r="AG423" s="4">
        <v>0</v>
      </c>
      <c r="AH423" s="4">
        <v>0</v>
      </c>
      <c r="AI423" s="4">
        <v>0</v>
      </c>
      <c r="AJ423" s="4">
        <v>0</v>
      </c>
      <c r="AK423" s="4">
        <v>0</v>
      </c>
      <c r="AL423" s="4">
        <v>0</v>
      </c>
      <c r="AM423" s="4">
        <v>0</v>
      </c>
      <c r="AN423" s="4">
        <v>0</v>
      </c>
      <c r="AO423" s="4">
        <v>0</v>
      </c>
      <c r="AP423" s="4">
        <v>0</v>
      </c>
      <c r="AQ423" s="4">
        <v>2900000</v>
      </c>
      <c r="AR423" s="4">
        <v>0</v>
      </c>
      <c r="AS423" s="4">
        <v>0</v>
      </c>
      <c r="AT423" s="4">
        <v>0</v>
      </c>
      <c r="AU423" s="4">
        <v>0</v>
      </c>
      <c r="AV423" s="4">
        <v>0</v>
      </c>
      <c r="AW423" s="4">
        <v>0</v>
      </c>
      <c r="AX423" s="4">
        <v>2900000</v>
      </c>
      <c r="AY423" s="4">
        <v>2900000</v>
      </c>
    </row>
    <row r="424" spans="1:51">
      <c r="A424" s="3" t="s">
        <v>52</v>
      </c>
      <c r="B424" s="3" t="s">
        <v>53</v>
      </c>
      <c r="C424" s="3" t="s">
        <v>54</v>
      </c>
      <c r="D424" s="3" t="s">
        <v>55</v>
      </c>
      <c r="E424" s="3" t="s">
        <v>56</v>
      </c>
      <c r="F424" s="3" t="s">
        <v>57</v>
      </c>
      <c r="G424" s="3" t="s">
        <v>58</v>
      </c>
      <c r="H424" s="3" t="s">
        <v>59</v>
      </c>
      <c r="I424" s="3" t="s">
        <v>60</v>
      </c>
      <c r="J424" s="3" t="s">
        <v>61</v>
      </c>
      <c r="K424" s="3" t="s">
        <v>62</v>
      </c>
      <c r="L424" s="3" t="s">
        <v>63</v>
      </c>
      <c r="M424" s="3" t="s">
        <v>681</v>
      </c>
      <c r="N424" s="3" t="s">
        <v>682</v>
      </c>
      <c r="O424" s="3" t="s">
        <v>683</v>
      </c>
      <c r="P424" s="3" t="s">
        <v>684</v>
      </c>
      <c r="Q424" s="3" t="s">
        <v>685</v>
      </c>
      <c r="R424" s="3" t="s">
        <v>686</v>
      </c>
      <c r="S424" s="3" t="s">
        <v>102</v>
      </c>
      <c r="T424" s="3" t="s">
        <v>708</v>
      </c>
      <c r="U424" s="3" t="s">
        <v>54</v>
      </c>
      <c r="V424" s="3" t="s">
        <v>72</v>
      </c>
      <c r="W424" s="3" t="s">
        <v>73</v>
      </c>
      <c r="X424" s="3" t="s">
        <v>74</v>
      </c>
      <c r="Y424" s="3" t="s">
        <v>78</v>
      </c>
      <c r="Z424" s="3" t="s">
        <v>79</v>
      </c>
      <c r="AA424" s="3" t="s">
        <v>709</v>
      </c>
      <c r="AB424" s="4">
        <v>0</v>
      </c>
      <c r="AC424" s="4">
        <v>3780000</v>
      </c>
      <c r="AD424" s="4">
        <v>0</v>
      </c>
      <c r="AE424" s="4">
        <v>3780000</v>
      </c>
      <c r="AF424" s="4">
        <v>0</v>
      </c>
      <c r="AG424" s="4">
        <v>0</v>
      </c>
      <c r="AH424" s="4">
        <v>0</v>
      </c>
      <c r="AI424" s="4">
        <v>0</v>
      </c>
      <c r="AJ424" s="4">
        <v>0</v>
      </c>
      <c r="AK424" s="4">
        <v>0</v>
      </c>
      <c r="AL424" s="4">
        <v>0</v>
      </c>
      <c r="AM424" s="4">
        <v>0</v>
      </c>
      <c r="AN424" s="4">
        <v>0</v>
      </c>
      <c r="AO424" s="4">
        <v>0</v>
      </c>
      <c r="AP424" s="4">
        <v>0</v>
      </c>
      <c r="AQ424" s="4">
        <v>3780000</v>
      </c>
      <c r="AR424" s="4">
        <v>840000</v>
      </c>
      <c r="AS424" s="4">
        <v>840000</v>
      </c>
      <c r="AT424" s="4">
        <v>0</v>
      </c>
      <c r="AU424" s="4">
        <v>0</v>
      </c>
      <c r="AV424" s="4">
        <v>0</v>
      </c>
      <c r="AW424" s="4">
        <v>0</v>
      </c>
      <c r="AX424" s="4">
        <v>2940000</v>
      </c>
      <c r="AY424" s="4">
        <v>2940000</v>
      </c>
    </row>
    <row r="425" spans="1:51">
      <c r="A425" s="3" t="s">
        <v>52</v>
      </c>
      <c r="B425" s="3" t="s">
        <v>53</v>
      </c>
      <c r="C425" s="3" t="s">
        <v>54</v>
      </c>
      <c r="D425" s="3" t="s">
        <v>55</v>
      </c>
      <c r="E425" s="3" t="s">
        <v>56</v>
      </c>
      <c r="F425" s="3" t="s">
        <v>57</v>
      </c>
      <c r="G425" s="3" t="s">
        <v>58</v>
      </c>
      <c r="H425" s="3" t="s">
        <v>59</v>
      </c>
      <c r="I425" s="3" t="s">
        <v>60</v>
      </c>
      <c r="J425" s="3" t="s">
        <v>61</v>
      </c>
      <c r="K425" s="3" t="s">
        <v>62</v>
      </c>
      <c r="L425" s="3" t="s">
        <v>63</v>
      </c>
      <c r="M425" s="3" t="s">
        <v>681</v>
      </c>
      <c r="N425" s="3" t="s">
        <v>682</v>
      </c>
      <c r="O425" s="3" t="s">
        <v>683</v>
      </c>
      <c r="P425" s="3" t="s">
        <v>684</v>
      </c>
      <c r="Q425" s="3" t="s">
        <v>685</v>
      </c>
      <c r="R425" s="3" t="s">
        <v>686</v>
      </c>
      <c r="S425" s="3" t="s">
        <v>102</v>
      </c>
      <c r="T425" s="3" t="s">
        <v>708</v>
      </c>
      <c r="U425" s="3" t="s">
        <v>54</v>
      </c>
      <c r="V425" s="3" t="s">
        <v>72</v>
      </c>
      <c r="W425" s="3" t="s">
        <v>94</v>
      </c>
      <c r="X425" s="3" t="s">
        <v>95</v>
      </c>
      <c r="Y425" s="3" t="s">
        <v>96</v>
      </c>
      <c r="Z425" s="3" t="s">
        <v>95</v>
      </c>
      <c r="AA425" s="3" t="s">
        <v>710</v>
      </c>
      <c r="AB425" s="4">
        <v>0</v>
      </c>
      <c r="AC425" s="4">
        <v>900000</v>
      </c>
      <c r="AD425" s="4">
        <v>0</v>
      </c>
      <c r="AE425" s="4">
        <v>900000</v>
      </c>
      <c r="AF425" s="4">
        <v>0</v>
      </c>
      <c r="AG425" s="4">
        <v>0</v>
      </c>
      <c r="AH425" s="4">
        <v>0</v>
      </c>
      <c r="AI425" s="4">
        <v>0</v>
      </c>
      <c r="AJ425" s="4">
        <v>0</v>
      </c>
      <c r="AK425" s="4">
        <v>0</v>
      </c>
      <c r="AL425" s="4">
        <v>0</v>
      </c>
      <c r="AM425" s="4">
        <v>0</v>
      </c>
      <c r="AN425" s="4">
        <v>0</v>
      </c>
      <c r="AO425" s="4">
        <v>0</v>
      </c>
      <c r="AP425" s="4">
        <v>0</v>
      </c>
      <c r="AQ425" s="4">
        <v>900000</v>
      </c>
      <c r="AR425" s="4">
        <v>900000</v>
      </c>
      <c r="AS425" s="4">
        <v>900000</v>
      </c>
      <c r="AT425" s="4">
        <v>0</v>
      </c>
      <c r="AU425" s="4">
        <v>0</v>
      </c>
      <c r="AV425" s="4">
        <v>0</v>
      </c>
      <c r="AW425" s="4">
        <v>0</v>
      </c>
      <c r="AX425" s="4">
        <v>0</v>
      </c>
      <c r="AY425" s="4">
        <v>0</v>
      </c>
    </row>
    <row r="426" spans="1:51">
      <c r="A426" s="3" t="s">
        <v>52</v>
      </c>
      <c r="B426" s="3" t="s">
        <v>53</v>
      </c>
      <c r="C426" s="3" t="s">
        <v>54</v>
      </c>
      <c r="D426" s="3" t="s">
        <v>55</v>
      </c>
      <c r="E426" s="3" t="s">
        <v>56</v>
      </c>
      <c r="F426" s="3" t="s">
        <v>57</v>
      </c>
      <c r="G426" s="3" t="s">
        <v>58</v>
      </c>
      <c r="H426" s="3" t="s">
        <v>59</v>
      </c>
      <c r="I426" s="3" t="s">
        <v>60</v>
      </c>
      <c r="J426" s="3" t="s">
        <v>61</v>
      </c>
      <c r="K426" s="3" t="s">
        <v>62</v>
      </c>
      <c r="L426" s="3" t="s">
        <v>63</v>
      </c>
      <c r="M426" s="3" t="s">
        <v>681</v>
      </c>
      <c r="N426" s="3" t="s">
        <v>682</v>
      </c>
      <c r="O426" s="3" t="s">
        <v>683</v>
      </c>
      <c r="P426" s="3" t="s">
        <v>684</v>
      </c>
      <c r="Q426" s="3" t="s">
        <v>685</v>
      </c>
      <c r="R426" s="3" t="s">
        <v>686</v>
      </c>
      <c r="S426" s="3" t="s">
        <v>128</v>
      </c>
      <c r="T426" s="3" t="s">
        <v>711</v>
      </c>
      <c r="U426" s="3" t="s">
        <v>54</v>
      </c>
      <c r="V426" s="3" t="s">
        <v>72</v>
      </c>
      <c r="W426" s="3" t="s">
        <v>73</v>
      </c>
      <c r="X426" s="3" t="s">
        <v>74</v>
      </c>
      <c r="Y426" s="3" t="s">
        <v>78</v>
      </c>
      <c r="Z426" s="3" t="s">
        <v>79</v>
      </c>
      <c r="AA426" s="3" t="s">
        <v>712</v>
      </c>
      <c r="AB426" s="4">
        <v>0</v>
      </c>
      <c r="AC426" s="4">
        <v>4320000</v>
      </c>
      <c r="AD426" s="4">
        <v>0</v>
      </c>
      <c r="AE426" s="4">
        <v>4320000</v>
      </c>
      <c r="AF426" s="4">
        <v>0</v>
      </c>
      <c r="AG426" s="4">
        <v>0</v>
      </c>
      <c r="AH426" s="4">
        <v>0</v>
      </c>
      <c r="AI426" s="4">
        <v>0</v>
      </c>
      <c r="AJ426" s="4">
        <v>0</v>
      </c>
      <c r="AK426" s="4">
        <v>0</v>
      </c>
      <c r="AL426" s="4">
        <v>0</v>
      </c>
      <c r="AM426" s="4">
        <v>0</v>
      </c>
      <c r="AN426" s="4">
        <v>0</v>
      </c>
      <c r="AO426" s="4">
        <v>0</v>
      </c>
      <c r="AP426" s="4">
        <v>0</v>
      </c>
      <c r="AQ426" s="4">
        <v>4320000</v>
      </c>
      <c r="AR426" s="4">
        <v>0</v>
      </c>
      <c r="AS426" s="4">
        <v>0</v>
      </c>
      <c r="AT426" s="4">
        <v>0</v>
      </c>
      <c r="AU426" s="4">
        <v>0</v>
      </c>
      <c r="AV426" s="4">
        <v>0</v>
      </c>
      <c r="AW426" s="4">
        <v>0</v>
      </c>
      <c r="AX426" s="4">
        <v>4320000</v>
      </c>
      <c r="AY426" s="4">
        <v>4320000</v>
      </c>
    </row>
    <row r="427" spans="1:51">
      <c r="A427" s="3" t="s">
        <v>52</v>
      </c>
      <c r="B427" s="3" t="s">
        <v>53</v>
      </c>
      <c r="C427" s="3" t="s">
        <v>54</v>
      </c>
      <c r="D427" s="3" t="s">
        <v>55</v>
      </c>
      <c r="E427" s="3" t="s">
        <v>56</v>
      </c>
      <c r="F427" s="3" t="s">
        <v>57</v>
      </c>
      <c r="G427" s="3" t="s">
        <v>58</v>
      </c>
      <c r="H427" s="3" t="s">
        <v>59</v>
      </c>
      <c r="I427" s="3" t="s">
        <v>60</v>
      </c>
      <c r="J427" s="3" t="s">
        <v>61</v>
      </c>
      <c r="K427" s="3" t="s">
        <v>62</v>
      </c>
      <c r="L427" s="3" t="s">
        <v>63</v>
      </c>
      <c r="M427" s="3" t="s">
        <v>681</v>
      </c>
      <c r="N427" s="3" t="s">
        <v>682</v>
      </c>
      <c r="O427" s="3" t="s">
        <v>713</v>
      </c>
      <c r="P427" s="3" t="s">
        <v>714</v>
      </c>
      <c r="Q427" s="3" t="s">
        <v>715</v>
      </c>
      <c r="R427" s="3" t="s">
        <v>716</v>
      </c>
      <c r="S427" s="3" t="s">
        <v>102</v>
      </c>
      <c r="T427" s="3" t="s">
        <v>717</v>
      </c>
      <c r="U427" s="3" t="s">
        <v>54</v>
      </c>
      <c r="V427" s="3" t="s">
        <v>72</v>
      </c>
      <c r="W427" s="3" t="s">
        <v>73</v>
      </c>
      <c r="X427" s="3" t="s">
        <v>74</v>
      </c>
      <c r="Y427" s="3" t="s">
        <v>75</v>
      </c>
      <c r="Z427" s="3" t="s">
        <v>76</v>
      </c>
      <c r="AA427" s="3" t="s">
        <v>718</v>
      </c>
      <c r="AB427" s="4">
        <v>0</v>
      </c>
      <c r="AC427" s="4">
        <v>3600000</v>
      </c>
      <c r="AD427" s="4">
        <v>0</v>
      </c>
      <c r="AE427" s="4">
        <v>3600000</v>
      </c>
      <c r="AF427" s="4">
        <v>0</v>
      </c>
      <c r="AG427" s="4">
        <v>0</v>
      </c>
      <c r="AH427" s="4">
        <v>0</v>
      </c>
      <c r="AI427" s="4">
        <v>0</v>
      </c>
      <c r="AJ427" s="4">
        <v>0</v>
      </c>
      <c r="AK427" s="4">
        <v>0</v>
      </c>
      <c r="AL427" s="4">
        <v>0</v>
      </c>
      <c r="AM427" s="4">
        <v>0</v>
      </c>
      <c r="AN427" s="4">
        <v>0</v>
      </c>
      <c r="AO427" s="4">
        <v>0</v>
      </c>
      <c r="AP427" s="4">
        <v>0</v>
      </c>
      <c r="AQ427" s="4">
        <v>3600000</v>
      </c>
      <c r="AR427" s="4">
        <v>0</v>
      </c>
      <c r="AS427" s="4">
        <v>0</v>
      </c>
      <c r="AT427" s="4">
        <v>0</v>
      </c>
      <c r="AU427" s="4">
        <v>0</v>
      </c>
      <c r="AV427" s="4">
        <v>0</v>
      </c>
      <c r="AW427" s="4">
        <v>0</v>
      </c>
      <c r="AX427" s="4">
        <v>3600000</v>
      </c>
      <c r="AY427" s="4">
        <v>3600000</v>
      </c>
    </row>
    <row r="428" spans="1:51">
      <c r="A428" s="3" t="s">
        <v>52</v>
      </c>
      <c r="B428" s="3" t="s">
        <v>53</v>
      </c>
      <c r="C428" s="3" t="s">
        <v>54</v>
      </c>
      <c r="D428" s="3" t="s">
        <v>55</v>
      </c>
      <c r="E428" s="3" t="s">
        <v>56</v>
      </c>
      <c r="F428" s="3" t="s">
        <v>57</v>
      </c>
      <c r="G428" s="3" t="s">
        <v>58</v>
      </c>
      <c r="H428" s="3" t="s">
        <v>59</v>
      </c>
      <c r="I428" s="3" t="s">
        <v>60</v>
      </c>
      <c r="J428" s="3" t="s">
        <v>61</v>
      </c>
      <c r="K428" s="3" t="s">
        <v>62</v>
      </c>
      <c r="L428" s="3" t="s">
        <v>63</v>
      </c>
      <c r="M428" s="3" t="s">
        <v>681</v>
      </c>
      <c r="N428" s="3" t="s">
        <v>682</v>
      </c>
      <c r="O428" s="3" t="s">
        <v>713</v>
      </c>
      <c r="P428" s="3" t="s">
        <v>714</v>
      </c>
      <c r="Q428" s="3" t="s">
        <v>715</v>
      </c>
      <c r="R428" s="3" t="s">
        <v>716</v>
      </c>
      <c r="S428" s="3" t="s">
        <v>102</v>
      </c>
      <c r="T428" s="3" t="s">
        <v>717</v>
      </c>
      <c r="U428" s="3" t="s">
        <v>54</v>
      </c>
      <c r="V428" s="3" t="s">
        <v>72</v>
      </c>
      <c r="W428" s="3" t="s">
        <v>73</v>
      </c>
      <c r="X428" s="3" t="s">
        <v>74</v>
      </c>
      <c r="Y428" s="3" t="s">
        <v>78</v>
      </c>
      <c r="Z428" s="3" t="s">
        <v>79</v>
      </c>
      <c r="AA428" s="3" t="s">
        <v>719</v>
      </c>
      <c r="AB428" s="4">
        <v>10800000</v>
      </c>
      <c r="AC428" s="4">
        <v>160000</v>
      </c>
      <c r="AD428" s="4">
        <v>0</v>
      </c>
      <c r="AE428" s="4">
        <v>10960000</v>
      </c>
      <c r="AF428" s="4">
        <v>0</v>
      </c>
      <c r="AG428" s="4">
        <v>0</v>
      </c>
      <c r="AH428" s="4">
        <v>0</v>
      </c>
      <c r="AI428" s="4">
        <v>0</v>
      </c>
      <c r="AJ428" s="4">
        <v>0</v>
      </c>
      <c r="AK428" s="4">
        <v>0</v>
      </c>
      <c r="AL428" s="4">
        <v>0</v>
      </c>
      <c r="AM428" s="4">
        <v>0</v>
      </c>
      <c r="AN428" s="4">
        <v>0</v>
      </c>
      <c r="AO428" s="4">
        <v>0</v>
      </c>
      <c r="AP428" s="4">
        <v>0</v>
      </c>
      <c r="AQ428" s="4">
        <v>10960000</v>
      </c>
      <c r="AR428" s="4">
        <v>5166000</v>
      </c>
      <c r="AS428" s="4">
        <v>5166000</v>
      </c>
      <c r="AT428" s="4">
        <v>0</v>
      </c>
      <c r="AU428" s="4">
        <v>0</v>
      </c>
      <c r="AV428" s="4">
        <v>0</v>
      </c>
      <c r="AW428" s="4">
        <v>0</v>
      </c>
      <c r="AX428" s="4">
        <v>5794000</v>
      </c>
      <c r="AY428" s="4">
        <v>5794000</v>
      </c>
    </row>
    <row r="429" spans="1:51">
      <c r="A429" s="3" t="s">
        <v>52</v>
      </c>
      <c r="B429" s="3" t="s">
        <v>53</v>
      </c>
      <c r="C429" s="3" t="s">
        <v>54</v>
      </c>
      <c r="D429" s="3" t="s">
        <v>55</v>
      </c>
      <c r="E429" s="3" t="s">
        <v>56</v>
      </c>
      <c r="F429" s="3" t="s">
        <v>57</v>
      </c>
      <c r="G429" s="3" t="s">
        <v>58</v>
      </c>
      <c r="H429" s="3" t="s">
        <v>59</v>
      </c>
      <c r="I429" s="3" t="s">
        <v>60</v>
      </c>
      <c r="J429" s="3" t="s">
        <v>61</v>
      </c>
      <c r="K429" s="3" t="s">
        <v>62</v>
      </c>
      <c r="L429" s="3" t="s">
        <v>63</v>
      </c>
      <c r="M429" s="3" t="s">
        <v>681</v>
      </c>
      <c r="N429" s="3" t="s">
        <v>682</v>
      </c>
      <c r="O429" s="3" t="s">
        <v>713</v>
      </c>
      <c r="P429" s="3" t="s">
        <v>714</v>
      </c>
      <c r="Q429" s="3" t="s">
        <v>715</v>
      </c>
      <c r="R429" s="3" t="s">
        <v>716</v>
      </c>
      <c r="S429" s="3" t="s">
        <v>102</v>
      </c>
      <c r="T429" s="3" t="s">
        <v>717</v>
      </c>
      <c r="U429" s="3" t="s">
        <v>54</v>
      </c>
      <c r="V429" s="3" t="s">
        <v>72</v>
      </c>
      <c r="W429" s="3" t="s">
        <v>73</v>
      </c>
      <c r="X429" s="3" t="s">
        <v>74</v>
      </c>
      <c r="Y429" s="3" t="s">
        <v>78</v>
      </c>
      <c r="Z429" s="3" t="s">
        <v>79</v>
      </c>
      <c r="AA429" s="3" t="s">
        <v>720</v>
      </c>
      <c r="AB429" s="4">
        <v>9750000</v>
      </c>
      <c r="AC429" s="4">
        <v>2405000</v>
      </c>
      <c r="AD429" s="4">
        <v>0</v>
      </c>
      <c r="AE429" s="4">
        <v>12155000</v>
      </c>
      <c r="AF429" s="4">
        <v>0</v>
      </c>
      <c r="AG429" s="4">
        <v>0</v>
      </c>
      <c r="AH429" s="4">
        <v>0</v>
      </c>
      <c r="AI429" s="4">
        <v>0</v>
      </c>
      <c r="AJ429" s="4">
        <v>0</v>
      </c>
      <c r="AK429" s="4">
        <v>0</v>
      </c>
      <c r="AL429" s="4">
        <v>0</v>
      </c>
      <c r="AM429" s="4">
        <v>0</v>
      </c>
      <c r="AN429" s="4">
        <v>0</v>
      </c>
      <c r="AO429" s="4">
        <v>0</v>
      </c>
      <c r="AP429" s="4">
        <v>0</v>
      </c>
      <c r="AQ429" s="4">
        <v>12155000</v>
      </c>
      <c r="AR429" s="4">
        <v>5397000</v>
      </c>
      <c r="AS429" s="4">
        <v>5397000</v>
      </c>
      <c r="AT429" s="4">
        <v>0</v>
      </c>
      <c r="AU429" s="4">
        <v>0</v>
      </c>
      <c r="AV429" s="4">
        <v>0</v>
      </c>
      <c r="AW429" s="4">
        <v>0</v>
      </c>
      <c r="AX429" s="4">
        <v>6758000</v>
      </c>
      <c r="AY429" s="4">
        <v>6758000</v>
      </c>
    </row>
    <row r="430" spans="1:51">
      <c r="A430" s="3" t="s">
        <v>52</v>
      </c>
      <c r="B430" s="3" t="s">
        <v>53</v>
      </c>
      <c r="C430" s="3" t="s">
        <v>54</v>
      </c>
      <c r="D430" s="3" t="s">
        <v>55</v>
      </c>
      <c r="E430" s="3" t="s">
        <v>56</v>
      </c>
      <c r="F430" s="3" t="s">
        <v>57</v>
      </c>
      <c r="G430" s="3" t="s">
        <v>58</v>
      </c>
      <c r="H430" s="3" t="s">
        <v>59</v>
      </c>
      <c r="I430" s="3" t="s">
        <v>60</v>
      </c>
      <c r="J430" s="3" t="s">
        <v>61</v>
      </c>
      <c r="K430" s="3" t="s">
        <v>62</v>
      </c>
      <c r="L430" s="3" t="s">
        <v>63</v>
      </c>
      <c r="M430" s="3" t="s">
        <v>681</v>
      </c>
      <c r="N430" s="3" t="s">
        <v>682</v>
      </c>
      <c r="O430" s="3" t="s">
        <v>713</v>
      </c>
      <c r="P430" s="3" t="s">
        <v>714</v>
      </c>
      <c r="Q430" s="3" t="s">
        <v>715</v>
      </c>
      <c r="R430" s="3" t="s">
        <v>716</v>
      </c>
      <c r="S430" s="3" t="s">
        <v>102</v>
      </c>
      <c r="T430" s="3" t="s">
        <v>717</v>
      </c>
      <c r="U430" s="3" t="s">
        <v>54</v>
      </c>
      <c r="V430" s="3" t="s">
        <v>72</v>
      </c>
      <c r="W430" s="3" t="s">
        <v>94</v>
      </c>
      <c r="X430" s="3" t="s">
        <v>95</v>
      </c>
      <c r="Y430" s="3" t="s">
        <v>96</v>
      </c>
      <c r="Z430" s="3" t="s">
        <v>95</v>
      </c>
      <c r="AA430" s="3" t="s">
        <v>721</v>
      </c>
      <c r="AB430" s="4">
        <v>1500000</v>
      </c>
      <c r="AC430" s="4">
        <v>0</v>
      </c>
      <c r="AD430" s="4">
        <v>0</v>
      </c>
      <c r="AE430" s="4">
        <v>1500000</v>
      </c>
      <c r="AF430" s="4">
        <v>0</v>
      </c>
      <c r="AG430" s="4">
        <v>0</v>
      </c>
      <c r="AH430" s="4">
        <v>0</v>
      </c>
      <c r="AI430" s="4">
        <v>0</v>
      </c>
      <c r="AJ430" s="4">
        <v>0</v>
      </c>
      <c r="AK430" s="4">
        <v>0</v>
      </c>
      <c r="AL430" s="4">
        <v>0</v>
      </c>
      <c r="AM430" s="4">
        <v>0</v>
      </c>
      <c r="AN430" s="4">
        <v>0</v>
      </c>
      <c r="AO430" s="4">
        <v>0</v>
      </c>
      <c r="AP430" s="4">
        <v>0</v>
      </c>
      <c r="AQ430" s="4">
        <v>1500000</v>
      </c>
      <c r="AR430" s="4">
        <v>417870</v>
      </c>
      <c r="AS430" s="4">
        <v>417870</v>
      </c>
      <c r="AT430" s="4">
        <v>0</v>
      </c>
      <c r="AU430" s="4">
        <v>0</v>
      </c>
      <c r="AV430" s="4">
        <v>0</v>
      </c>
      <c r="AW430" s="4">
        <v>0</v>
      </c>
      <c r="AX430" s="4">
        <v>1082130</v>
      </c>
      <c r="AY430" s="4">
        <v>1082130</v>
      </c>
    </row>
    <row r="431" spans="1:51">
      <c r="A431" s="3" t="s">
        <v>52</v>
      </c>
      <c r="B431" s="3" t="s">
        <v>53</v>
      </c>
      <c r="C431" s="3" t="s">
        <v>54</v>
      </c>
      <c r="D431" s="3" t="s">
        <v>55</v>
      </c>
      <c r="E431" s="3" t="s">
        <v>56</v>
      </c>
      <c r="F431" s="3" t="s">
        <v>57</v>
      </c>
      <c r="G431" s="3" t="s">
        <v>58</v>
      </c>
      <c r="H431" s="3" t="s">
        <v>59</v>
      </c>
      <c r="I431" s="3" t="s">
        <v>60</v>
      </c>
      <c r="J431" s="3" t="s">
        <v>61</v>
      </c>
      <c r="K431" s="3" t="s">
        <v>62</v>
      </c>
      <c r="L431" s="3" t="s">
        <v>63</v>
      </c>
      <c r="M431" s="3" t="s">
        <v>681</v>
      </c>
      <c r="N431" s="3" t="s">
        <v>682</v>
      </c>
      <c r="O431" s="3" t="s">
        <v>713</v>
      </c>
      <c r="P431" s="3" t="s">
        <v>714</v>
      </c>
      <c r="Q431" s="3" t="s">
        <v>715</v>
      </c>
      <c r="R431" s="3" t="s">
        <v>716</v>
      </c>
      <c r="S431" s="3" t="s">
        <v>102</v>
      </c>
      <c r="T431" s="3" t="s">
        <v>717</v>
      </c>
      <c r="U431" s="3" t="s">
        <v>54</v>
      </c>
      <c r="V431" s="3" t="s">
        <v>72</v>
      </c>
      <c r="W431" s="3" t="s">
        <v>94</v>
      </c>
      <c r="X431" s="3" t="s">
        <v>95</v>
      </c>
      <c r="Y431" s="3" t="s">
        <v>96</v>
      </c>
      <c r="Z431" s="3" t="s">
        <v>95</v>
      </c>
      <c r="AA431" s="3" t="s">
        <v>722</v>
      </c>
      <c r="AB431" s="4">
        <v>4000000</v>
      </c>
      <c r="AC431" s="4">
        <v>0</v>
      </c>
      <c r="AD431" s="4">
        <v>0</v>
      </c>
      <c r="AE431" s="4">
        <v>4000000</v>
      </c>
      <c r="AF431" s="4">
        <v>0</v>
      </c>
      <c r="AG431" s="4">
        <v>0</v>
      </c>
      <c r="AH431" s="4">
        <v>0</v>
      </c>
      <c r="AI431" s="4">
        <v>0</v>
      </c>
      <c r="AJ431" s="4">
        <v>0</v>
      </c>
      <c r="AK431" s="4">
        <v>0</v>
      </c>
      <c r="AL431" s="4">
        <v>0</v>
      </c>
      <c r="AM431" s="4">
        <v>0</v>
      </c>
      <c r="AN431" s="4">
        <v>0</v>
      </c>
      <c r="AO431" s="4">
        <v>0</v>
      </c>
      <c r="AP431" s="4">
        <v>0</v>
      </c>
      <c r="AQ431" s="4">
        <v>4000000</v>
      </c>
      <c r="AR431" s="4">
        <v>1612820</v>
      </c>
      <c r="AS431" s="4">
        <v>1612820</v>
      </c>
      <c r="AT431" s="4">
        <v>0</v>
      </c>
      <c r="AU431" s="4">
        <v>0</v>
      </c>
      <c r="AV431" s="4">
        <v>0</v>
      </c>
      <c r="AW431" s="4">
        <v>0</v>
      </c>
      <c r="AX431" s="4">
        <v>2387180</v>
      </c>
      <c r="AY431" s="4">
        <v>2387180</v>
      </c>
    </row>
    <row r="432" spans="1:51">
      <c r="A432" s="3" t="s">
        <v>52</v>
      </c>
      <c r="B432" s="3" t="s">
        <v>53</v>
      </c>
      <c r="C432" s="3" t="s">
        <v>54</v>
      </c>
      <c r="D432" s="3" t="s">
        <v>55</v>
      </c>
      <c r="E432" s="3" t="s">
        <v>56</v>
      </c>
      <c r="F432" s="3" t="s">
        <v>57</v>
      </c>
      <c r="G432" s="3" t="s">
        <v>58</v>
      </c>
      <c r="H432" s="3" t="s">
        <v>59</v>
      </c>
      <c r="I432" s="3" t="s">
        <v>60</v>
      </c>
      <c r="J432" s="3" t="s">
        <v>61</v>
      </c>
      <c r="K432" s="3" t="s">
        <v>62</v>
      </c>
      <c r="L432" s="3" t="s">
        <v>63</v>
      </c>
      <c r="M432" s="3" t="s">
        <v>681</v>
      </c>
      <c r="N432" s="3" t="s">
        <v>682</v>
      </c>
      <c r="O432" s="3" t="s">
        <v>713</v>
      </c>
      <c r="P432" s="3" t="s">
        <v>714</v>
      </c>
      <c r="Q432" s="3" t="s">
        <v>715</v>
      </c>
      <c r="R432" s="3" t="s">
        <v>716</v>
      </c>
      <c r="S432" s="3" t="s">
        <v>102</v>
      </c>
      <c r="T432" s="3" t="s">
        <v>717</v>
      </c>
      <c r="U432" s="3" t="s">
        <v>54</v>
      </c>
      <c r="V432" s="3" t="s">
        <v>72</v>
      </c>
      <c r="W432" s="3" t="s">
        <v>94</v>
      </c>
      <c r="X432" s="3" t="s">
        <v>95</v>
      </c>
      <c r="Y432" s="3" t="s">
        <v>96</v>
      </c>
      <c r="Z432" s="3" t="s">
        <v>95</v>
      </c>
      <c r="AA432" s="3" t="s">
        <v>723</v>
      </c>
      <c r="AB432" s="4">
        <v>3000000</v>
      </c>
      <c r="AC432" s="4">
        <v>-3000000</v>
      </c>
      <c r="AD432" s="4">
        <v>0</v>
      </c>
      <c r="AE432" s="4">
        <v>0</v>
      </c>
      <c r="AF432" s="4">
        <v>0</v>
      </c>
      <c r="AG432" s="4">
        <v>0</v>
      </c>
      <c r="AH432" s="4">
        <v>0</v>
      </c>
      <c r="AI432" s="4">
        <v>0</v>
      </c>
      <c r="AJ432" s="4">
        <v>0</v>
      </c>
      <c r="AK432" s="4">
        <v>0</v>
      </c>
      <c r="AL432" s="4">
        <v>0</v>
      </c>
      <c r="AM432" s="4">
        <v>0</v>
      </c>
      <c r="AN432" s="4">
        <v>0</v>
      </c>
      <c r="AO432" s="4">
        <v>0</v>
      </c>
      <c r="AP432" s="4">
        <v>0</v>
      </c>
      <c r="AQ432" s="4">
        <v>0</v>
      </c>
      <c r="AR432" s="4">
        <v>0</v>
      </c>
      <c r="AS432" s="4">
        <v>0</v>
      </c>
      <c r="AT432" s="4">
        <v>0</v>
      </c>
      <c r="AU432" s="4">
        <v>0</v>
      </c>
      <c r="AV432" s="4">
        <v>0</v>
      </c>
      <c r="AW432" s="4">
        <v>0</v>
      </c>
      <c r="AX432" s="4">
        <v>0</v>
      </c>
      <c r="AY432" s="4">
        <v>0</v>
      </c>
    </row>
    <row r="433" spans="1:51">
      <c r="A433" s="3" t="s">
        <v>52</v>
      </c>
      <c r="B433" s="3" t="s">
        <v>53</v>
      </c>
      <c r="C433" s="3" t="s">
        <v>54</v>
      </c>
      <c r="D433" s="3" t="s">
        <v>55</v>
      </c>
      <c r="E433" s="3" t="s">
        <v>56</v>
      </c>
      <c r="F433" s="3" t="s">
        <v>57</v>
      </c>
      <c r="G433" s="3" t="s">
        <v>58</v>
      </c>
      <c r="H433" s="3" t="s">
        <v>59</v>
      </c>
      <c r="I433" s="3" t="s">
        <v>60</v>
      </c>
      <c r="J433" s="3" t="s">
        <v>61</v>
      </c>
      <c r="K433" s="3" t="s">
        <v>62</v>
      </c>
      <c r="L433" s="3" t="s">
        <v>63</v>
      </c>
      <c r="M433" s="3" t="s">
        <v>681</v>
      </c>
      <c r="N433" s="3" t="s">
        <v>682</v>
      </c>
      <c r="O433" s="3" t="s">
        <v>713</v>
      </c>
      <c r="P433" s="3" t="s">
        <v>714</v>
      </c>
      <c r="Q433" s="3" t="s">
        <v>715</v>
      </c>
      <c r="R433" s="3" t="s">
        <v>716</v>
      </c>
      <c r="S433" s="3" t="s">
        <v>102</v>
      </c>
      <c r="T433" s="3" t="s">
        <v>717</v>
      </c>
      <c r="U433" s="3" t="s">
        <v>54</v>
      </c>
      <c r="V433" s="3" t="s">
        <v>72</v>
      </c>
      <c r="W433" s="3" t="s">
        <v>94</v>
      </c>
      <c r="X433" s="3" t="s">
        <v>95</v>
      </c>
      <c r="Y433" s="3" t="s">
        <v>96</v>
      </c>
      <c r="Z433" s="3" t="s">
        <v>95</v>
      </c>
      <c r="AA433" s="3" t="s">
        <v>724</v>
      </c>
      <c r="AB433" s="4">
        <v>6000000</v>
      </c>
      <c r="AC433" s="4">
        <v>-2700000</v>
      </c>
      <c r="AD433" s="4">
        <v>0</v>
      </c>
      <c r="AE433" s="4">
        <v>3300000</v>
      </c>
      <c r="AF433" s="4">
        <v>0</v>
      </c>
      <c r="AG433" s="4">
        <v>0</v>
      </c>
      <c r="AH433" s="4">
        <v>0</v>
      </c>
      <c r="AI433" s="4">
        <v>0</v>
      </c>
      <c r="AJ433" s="4">
        <v>0</v>
      </c>
      <c r="AK433" s="4">
        <v>0</v>
      </c>
      <c r="AL433" s="4">
        <v>0</v>
      </c>
      <c r="AM433" s="4">
        <v>0</v>
      </c>
      <c r="AN433" s="4">
        <v>0</v>
      </c>
      <c r="AO433" s="4">
        <v>0</v>
      </c>
      <c r="AP433" s="4">
        <v>0</v>
      </c>
      <c r="AQ433" s="4">
        <v>3300000</v>
      </c>
      <c r="AR433" s="4">
        <v>767000</v>
      </c>
      <c r="AS433" s="4">
        <v>767000</v>
      </c>
      <c r="AT433" s="4">
        <v>0</v>
      </c>
      <c r="AU433" s="4">
        <v>0</v>
      </c>
      <c r="AV433" s="4">
        <v>0</v>
      </c>
      <c r="AW433" s="4">
        <v>0</v>
      </c>
      <c r="AX433" s="4">
        <v>2533000</v>
      </c>
      <c r="AY433" s="4">
        <v>2533000</v>
      </c>
    </row>
    <row r="434" spans="1:51">
      <c r="A434" s="3" t="s">
        <v>52</v>
      </c>
      <c r="B434" s="3" t="s">
        <v>53</v>
      </c>
      <c r="C434" s="3" t="s">
        <v>54</v>
      </c>
      <c r="D434" s="3" t="s">
        <v>55</v>
      </c>
      <c r="E434" s="3" t="s">
        <v>56</v>
      </c>
      <c r="F434" s="3" t="s">
        <v>57</v>
      </c>
      <c r="G434" s="3" t="s">
        <v>58</v>
      </c>
      <c r="H434" s="3" t="s">
        <v>59</v>
      </c>
      <c r="I434" s="3" t="s">
        <v>60</v>
      </c>
      <c r="J434" s="3" t="s">
        <v>61</v>
      </c>
      <c r="K434" s="3" t="s">
        <v>62</v>
      </c>
      <c r="L434" s="3" t="s">
        <v>63</v>
      </c>
      <c r="M434" s="3" t="s">
        <v>681</v>
      </c>
      <c r="N434" s="3" t="s">
        <v>682</v>
      </c>
      <c r="O434" s="3" t="s">
        <v>713</v>
      </c>
      <c r="P434" s="3" t="s">
        <v>714</v>
      </c>
      <c r="Q434" s="3" t="s">
        <v>715</v>
      </c>
      <c r="R434" s="3" t="s">
        <v>716</v>
      </c>
      <c r="S434" s="3" t="s">
        <v>128</v>
      </c>
      <c r="T434" s="3" t="s">
        <v>725</v>
      </c>
      <c r="U434" s="3" t="s">
        <v>54</v>
      </c>
      <c r="V434" s="3" t="s">
        <v>72</v>
      </c>
      <c r="W434" s="3" t="s">
        <v>73</v>
      </c>
      <c r="X434" s="3" t="s">
        <v>74</v>
      </c>
      <c r="Y434" s="3" t="s">
        <v>75</v>
      </c>
      <c r="Z434" s="3" t="s">
        <v>76</v>
      </c>
      <c r="AA434" s="3" t="s">
        <v>726</v>
      </c>
      <c r="AB434" s="4">
        <v>1000000</v>
      </c>
      <c r="AC434" s="4">
        <v>0</v>
      </c>
      <c r="AD434" s="4">
        <v>0</v>
      </c>
      <c r="AE434" s="4">
        <v>1000000</v>
      </c>
      <c r="AF434" s="4">
        <v>0</v>
      </c>
      <c r="AG434" s="4">
        <v>0</v>
      </c>
      <c r="AH434" s="4">
        <v>0</v>
      </c>
      <c r="AI434" s="4">
        <v>0</v>
      </c>
      <c r="AJ434" s="4">
        <v>0</v>
      </c>
      <c r="AK434" s="4">
        <v>0</v>
      </c>
      <c r="AL434" s="4">
        <v>0</v>
      </c>
      <c r="AM434" s="4">
        <v>0</v>
      </c>
      <c r="AN434" s="4">
        <v>0</v>
      </c>
      <c r="AO434" s="4">
        <v>0</v>
      </c>
      <c r="AP434" s="4">
        <v>0</v>
      </c>
      <c r="AQ434" s="4">
        <v>1000000</v>
      </c>
      <c r="AR434" s="4">
        <v>672400</v>
      </c>
      <c r="AS434" s="4">
        <v>672400</v>
      </c>
      <c r="AT434" s="4">
        <v>0</v>
      </c>
      <c r="AU434" s="4">
        <v>0</v>
      </c>
      <c r="AV434" s="4">
        <v>0</v>
      </c>
      <c r="AW434" s="4">
        <v>0</v>
      </c>
      <c r="AX434" s="4">
        <v>327600</v>
      </c>
      <c r="AY434" s="4">
        <v>327600</v>
      </c>
    </row>
    <row r="435" spans="1:51">
      <c r="A435" s="3" t="s">
        <v>52</v>
      </c>
      <c r="B435" s="3" t="s">
        <v>53</v>
      </c>
      <c r="C435" s="3" t="s">
        <v>54</v>
      </c>
      <c r="D435" s="3" t="s">
        <v>55</v>
      </c>
      <c r="E435" s="3" t="s">
        <v>56</v>
      </c>
      <c r="F435" s="3" t="s">
        <v>57</v>
      </c>
      <c r="G435" s="3" t="s">
        <v>58</v>
      </c>
      <c r="H435" s="3" t="s">
        <v>59</v>
      </c>
      <c r="I435" s="3" t="s">
        <v>60</v>
      </c>
      <c r="J435" s="3" t="s">
        <v>61</v>
      </c>
      <c r="K435" s="3" t="s">
        <v>62</v>
      </c>
      <c r="L435" s="3" t="s">
        <v>63</v>
      </c>
      <c r="M435" s="3" t="s">
        <v>681</v>
      </c>
      <c r="N435" s="3" t="s">
        <v>682</v>
      </c>
      <c r="O435" s="3" t="s">
        <v>713</v>
      </c>
      <c r="P435" s="3" t="s">
        <v>714</v>
      </c>
      <c r="Q435" s="3" t="s">
        <v>715</v>
      </c>
      <c r="R435" s="3" t="s">
        <v>716</v>
      </c>
      <c r="S435" s="3" t="s">
        <v>128</v>
      </c>
      <c r="T435" s="3" t="s">
        <v>725</v>
      </c>
      <c r="U435" s="3" t="s">
        <v>54</v>
      </c>
      <c r="V435" s="3" t="s">
        <v>72</v>
      </c>
      <c r="W435" s="3" t="s">
        <v>73</v>
      </c>
      <c r="X435" s="3" t="s">
        <v>74</v>
      </c>
      <c r="Y435" s="3" t="s">
        <v>75</v>
      </c>
      <c r="Z435" s="3" t="s">
        <v>76</v>
      </c>
      <c r="AA435" s="3" t="s">
        <v>727</v>
      </c>
      <c r="AB435" s="4">
        <v>4490000</v>
      </c>
      <c r="AC435" s="4">
        <v>-465000</v>
      </c>
      <c r="AD435" s="4">
        <v>0</v>
      </c>
      <c r="AE435" s="4">
        <v>4025000</v>
      </c>
      <c r="AF435" s="4">
        <v>0</v>
      </c>
      <c r="AG435" s="4">
        <v>0</v>
      </c>
      <c r="AH435" s="4">
        <v>0</v>
      </c>
      <c r="AI435" s="4">
        <v>0</v>
      </c>
      <c r="AJ435" s="4">
        <v>0</v>
      </c>
      <c r="AK435" s="4">
        <v>0</v>
      </c>
      <c r="AL435" s="4">
        <v>0</v>
      </c>
      <c r="AM435" s="4">
        <v>0</v>
      </c>
      <c r="AN435" s="4">
        <v>0</v>
      </c>
      <c r="AO435" s="4">
        <v>0</v>
      </c>
      <c r="AP435" s="4">
        <v>0</v>
      </c>
      <c r="AQ435" s="4">
        <v>4025000</v>
      </c>
      <c r="AR435" s="4">
        <v>2200000</v>
      </c>
      <c r="AS435" s="4">
        <v>2200000</v>
      </c>
      <c r="AT435" s="4">
        <v>0</v>
      </c>
      <c r="AU435" s="4">
        <v>0</v>
      </c>
      <c r="AV435" s="4">
        <v>0</v>
      </c>
      <c r="AW435" s="4">
        <v>0</v>
      </c>
      <c r="AX435" s="4">
        <v>1825000</v>
      </c>
      <c r="AY435" s="4">
        <v>1825000</v>
      </c>
    </row>
    <row r="436" spans="1:51">
      <c r="A436" s="3" t="s">
        <v>52</v>
      </c>
      <c r="B436" s="3" t="s">
        <v>53</v>
      </c>
      <c r="C436" s="3" t="s">
        <v>54</v>
      </c>
      <c r="D436" s="3" t="s">
        <v>55</v>
      </c>
      <c r="E436" s="3" t="s">
        <v>56</v>
      </c>
      <c r="F436" s="3" t="s">
        <v>57</v>
      </c>
      <c r="G436" s="3" t="s">
        <v>58</v>
      </c>
      <c r="H436" s="3" t="s">
        <v>59</v>
      </c>
      <c r="I436" s="3" t="s">
        <v>60</v>
      </c>
      <c r="J436" s="3" t="s">
        <v>61</v>
      </c>
      <c r="K436" s="3" t="s">
        <v>62</v>
      </c>
      <c r="L436" s="3" t="s">
        <v>63</v>
      </c>
      <c r="M436" s="3" t="s">
        <v>681</v>
      </c>
      <c r="N436" s="3" t="s">
        <v>682</v>
      </c>
      <c r="O436" s="3" t="s">
        <v>713</v>
      </c>
      <c r="P436" s="3" t="s">
        <v>714</v>
      </c>
      <c r="Q436" s="3" t="s">
        <v>715</v>
      </c>
      <c r="R436" s="3" t="s">
        <v>716</v>
      </c>
      <c r="S436" s="3" t="s">
        <v>128</v>
      </c>
      <c r="T436" s="3" t="s">
        <v>725</v>
      </c>
      <c r="U436" s="3" t="s">
        <v>54</v>
      </c>
      <c r="V436" s="3" t="s">
        <v>72</v>
      </c>
      <c r="W436" s="3" t="s">
        <v>94</v>
      </c>
      <c r="X436" s="3" t="s">
        <v>95</v>
      </c>
      <c r="Y436" s="3" t="s">
        <v>96</v>
      </c>
      <c r="Z436" s="3" t="s">
        <v>95</v>
      </c>
      <c r="AA436" s="3" t="s">
        <v>728</v>
      </c>
      <c r="AB436" s="4">
        <v>500000</v>
      </c>
      <c r="AC436" s="4">
        <v>0</v>
      </c>
      <c r="AD436" s="4">
        <v>0</v>
      </c>
      <c r="AE436" s="4">
        <v>500000</v>
      </c>
      <c r="AF436" s="4">
        <v>0</v>
      </c>
      <c r="AG436" s="4">
        <v>0</v>
      </c>
      <c r="AH436" s="4">
        <v>0</v>
      </c>
      <c r="AI436" s="4">
        <v>0</v>
      </c>
      <c r="AJ436" s="4">
        <v>0</v>
      </c>
      <c r="AK436" s="4">
        <v>0</v>
      </c>
      <c r="AL436" s="4">
        <v>0</v>
      </c>
      <c r="AM436" s="4">
        <v>0</v>
      </c>
      <c r="AN436" s="4">
        <v>0</v>
      </c>
      <c r="AO436" s="4">
        <v>0</v>
      </c>
      <c r="AP436" s="4">
        <v>0</v>
      </c>
      <c r="AQ436" s="4">
        <v>500000</v>
      </c>
      <c r="AR436" s="4">
        <v>496640</v>
      </c>
      <c r="AS436" s="4">
        <v>496640</v>
      </c>
      <c r="AT436" s="4">
        <v>0</v>
      </c>
      <c r="AU436" s="4">
        <v>0</v>
      </c>
      <c r="AV436" s="4">
        <v>0</v>
      </c>
      <c r="AW436" s="4">
        <v>0</v>
      </c>
      <c r="AX436" s="4">
        <v>3360</v>
      </c>
      <c r="AY436" s="4">
        <v>3360</v>
      </c>
    </row>
    <row r="437" spans="1:51">
      <c r="A437" s="3" t="s">
        <v>52</v>
      </c>
      <c r="B437" s="3" t="s">
        <v>53</v>
      </c>
      <c r="C437" s="3" t="s">
        <v>54</v>
      </c>
      <c r="D437" s="3" t="s">
        <v>55</v>
      </c>
      <c r="E437" s="3" t="s">
        <v>56</v>
      </c>
      <c r="F437" s="3" t="s">
        <v>57</v>
      </c>
      <c r="G437" s="3" t="s">
        <v>58</v>
      </c>
      <c r="H437" s="3" t="s">
        <v>59</v>
      </c>
      <c r="I437" s="3" t="s">
        <v>60</v>
      </c>
      <c r="J437" s="3" t="s">
        <v>61</v>
      </c>
      <c r="K437" s="3" t="s">
        <v>62</v>
      </c>
      <c r="L437" s="3" t="s">
        <v>63</v>
      </c>
      <c r="M437" s="3" t="s">
        <v>681</v>
      </c>
      <c r="N437" s="3" t="s">
        <v>682</v>
      </c>
      <c r="O437" s="3" t="s">
        <v>713</v>
      </c>
      <c r="P437" s="3" t="s">
        <v>714</v>
      </c>
      <c r="Q437" s="3" t="s">
        <v>715</v>
      </c>
      <c r="R437" s="3" t="s">
        <v>716</v>
      </c>
      <c r="S437" s="3" t="s">
        <v>140</v>
      </c>
      <c r="T437" s="3" t="s">
        <v>729</v>
      </c>
      <c r="U437" s="3" t="s">
        <v>54</v>
      </c>
      <c r="V437" s="3" t="s">
        <v>72</v>
      </c>
      <c r="W437" s="3" t="s">
        <v>73</v>
      </c>
      <c r="X437" s="3" t="s">
        <v>74</v>
      </c>
      <c r="Y437" s="3" t="s">
        <v>78</v>
      </c>
      <c r="Z437" s="3" t="s">
        <v>79</v>
      </c>
      <c r="AA437" s="3" t="s">
        <v>730</v>
      </c>
      <c r="AB437" s="4">
        <v>520000</v>
      </c>
      <c r="AC437" s="4">
        <v>0</v>
      </c>
      <c r="AD437" s="4">
        <v>0</v>
      </c>
      <c r="AE437" s="4">
        <v>520000</v>
      </c>
      <c r="AF437" s="4">
        <v>0</v>
      </c>
      <c r="AG437" s="4">
        <v>0</v>
      </c>
      <c r="AH437" s="4">
        <v>0</v>
      </c>
      <c r="AI437" s="4">
        <v>0</v>
      </c>
      <c r="AJ437" s="4">
        <v>0</v>
      </c>
      <c r="AK437" s="4">
        <v>0</v>
      </c>
      <c r="AL437" s="4">
        <v>0</v>
      </c>
      <c r="AM437" s="4">
        <v>0</v>
      </c>
      <c r="AN437" s="4">
        <v>0</v>
      </c>
      <c r="AO437" s="4">
        <v>0</v>
      </c>
      <c r="AP437" s="4">
        <v>0</v>
      </c>
      <c r="AQ437" s="4">
        <v>520000</v>
      </c>
      <c r="AR437" s="4">
        <v>0</v>
      </c>
      <c r="AS437" s="4">
        <v>0</v>
      </c>
      <c r="AT437" s="4">
        <v>0</v>
      </c>
      <c r="AU437" s="4">
        <v>0</v>
      </c>
      <c r="AV437" s="4">
        <v>0</v>
      </c>
      <c r="AW437" s="4">
        <v>0</v>
      </c>
      <c r="AX437" s="4">
        <v>520000</v>
      </c>
      <c r="AY437" s="4">
        <v>520000</v>
      </c>
    </row>
    <row r="438" spans="1:51">
      <c r="A438" s="3" t="s">
        <v>52</v>
      </c>
      <c r="B438" s="3" t="s">
        <v>53</v>
      </c>
      <c r="C438" s="3" t="s">
        <v>54</v>
      </c>
      <c r="D438" s="3" t="s">
        <v>55</v>
      </c>
      <c r="E438" s="3" t="s">
        <v>56</v>
      </c>
      <c r="F438" s="3" t="s">
        <v>57</v>
      </c>
      <c r="G438" s="3" t="s">
        <v>58</v>
      </c>
      <c r="H438" s="3" t="s">
        <v>59</v>
      </c>
      <c r="I438" s="3" t="s">
        <v>60</v>
      </c>
      <c r="J438" s="3" t="s">
        <v>61</v>
      </c>
      <c r="K438" s="3" t="s">
        <v>62</v>
      </c>
      <c r="L438" s="3" t="s">
        <v>63</v>
      </c>
      <c r="M438" s="3" t="s">
        <v>681</v>
      </c>
      <c r="N438" s="3" t="s">
        <v>682</v>
      </c>
      <c r="O438" s="3" t="s">
        <v>713</v>
      </c>
      <c r="P438" s="3" t="s">
        <v>714</v>
      </c>
      <c r="Q438" s="3" t="s">
        <v>715</v>
      </c>
      <c r="R438" s="3" t="s">
        <v>716</v>
      </c>
      <c r="S438" s="3" t="s">
        <v>140</v>
      </c>
      <c r="T438" s="3" t="s">
        <v>729</v>
      </c>
      <c r="U438" s="3" t="s">
        <v>54</v>
      </c>
      <c r="V438" s="3" t="s">
        <v>72</v>
      </c>
      <c r="W438" s="3" t="s">
        <v>94</v>
      </c>
      <c r="X438" s="3" t="s">
        <v>95</v>
      </c>
      <c r="Y438" s="3" t="s">
        <v>96</v>
      </c>
      <c r="Z438" s="3" t="s">
        <v>95</v>
      </c>
      <c r="AA438" s="3" t="s">
        <v>731</v>
      </c>
      <c r="AB438" s="4">
        <v>1000000</v>
      </c>
      <c r="AC438" s="4">
        <v>0</v>
      </c>
      <c r="AD438" s="4">
        <v>0</v>
      </c>
      <c r="AE438" s="4">
        <v>1000000</v>
      </c>
      <c r="AF438" s="4">
        <v>0</v>
      </c>
      <c r="AG438" s="4">
        <v>0</v>
      </c>
      <c r="AH438" s="4">
        <v>0</v>
      </c>
      <c r="AI438" s="4">
        <v>0</v>
      </c>
      <c r="AJ438" s="4">
        <v>0</v>
      </c>
      <c r="AK438" s="4">
        <v>0</v>
      </c>
      <c r="AL438" s="4">
        <v>0</v>
      </c>
      <c r="AM438" s="4">
        <v>0</v>
      </c>
      <c r="AN438" s="4">
        <v>0</v>
      </c>
      <c r="AO438" s="4">
        <v>0</v>
      </c>
      <c r="AP438" s="4">
        <v>0</v>
      </c>
      <c r="AQ438" s="4">
        <v>1000000</v>
      </c>
      <c r="AR438" s="4">
        <v>500000</v>
      </c>
      <c r="AS438" s="4">
        <v>500000</v>
      </c>
      <c r="AT438" s="4">
        <v>0</v>
      </c>
      <c r="AU438" s="4">
        <v>0</v>
      </c>
      <c r="AV438" s="4">
        <v>0</v>
      </c>
      <c r="AW438" s="4">
        <v>0</v>
      </c>
      <c r="AX438" s="4">
        <v>500000</v>
      </c>
      <c r="AY438" s="4">
        <v>500000</v>
      </c>
    </row>
    <row r="439" spans="1:51">
      <c r="A439" s="3" t="s">
        <v>52</v>
      </c>
      <c r="B439" s="3" t="s">
        <v>53</v>
      </c>
      <c r="C439" s="3" t="s">
        <v>54</v>
      </c>
      <c r="D439" s="3" t="s">
        <v>55</v>
      </c>
      <c r="E439" s="3" t="s">
        <v>56</v>
      </c>
      <c r="F439" s="3" t="s">
        <v>57</v>
      </c>
      <c r="G439" s="3" t="s">
        <v>58</v>
      </c>
      <c r="H439" s="3" t="s">
        <v>59</v>
      </c>
      <c r="I439" s="3" t="s">
        <v>60</v>
      </c>
      <c r="J439" s="3" t="s">
        <v>61</v>
      </c>
      <c r="K439" s="3" t="s">
        <v>62</v>
      </c>
      <c r="L439" s="3" t="s">
        <v>63</v>
      </c>
      <c r="M439" s="3" t="s">
        <v>681</v>
      </c>
      <c r="N439" s="3" t="s">
        <v>682</v>
      </c>
      <c r="O439" s="3" t="s">
        <v>713</v>
      </c>
      <c r="P439" s="3" t="s">
        <v>714</v>
      </c>
      <c r="Q439" s="3" t="s">
        <v>715</v>
      </c>
      <c r="R439" s="3" t="s">
        <v>716</v>
      </c>
      <c r="S439" s="3" t="s">
        <v>140</v>
      </c>
      <c r="T439" s="3" t="s">
        <v>729</v>
      </c>
      <c r="U439" s="3" t="s">
        <v>54</v>
      </c>
      <c r="V439" s="3" t="s">
        <v>72</v>
      </c>
      <c r="W439" s="3" t="s">
        <v>94</v>
      </c>
      <c r="X439" s="3" t="s">
        <v>95</v>
      </c>
      <c r="Y439" s="3" t="s">
        <v>96</v>
      </c>
      <c r="Z439" s="3" t="s">
        <v>95</v>
      </c>
      <c r="AA439" s="3" t="s">
        <v>732</v>
      </c>
      <c r="AB439" s="4">
        <v>4000000</v>
      </c>
      <c r="AC439" s="4">
        <v>0</v>
      </c>
      <c r="AD439" s="4">
        <v>0</v>
      </c>
      <c r="AE439" s="4">
        <v>4000000</v>
      </c>
      <c r="AF439" s="4">
        <v>0</v>
      </c>
      <c r="AG439" s="4">
        <v>0</v>
      </c>
      <c r="AH439" s="4">
        <v>0</v>
      </c>
      <c r="AI439" s="4">
        <v>0</v>
      </c>
      <c r="AJ439" s="4">
        <v>0</v>
      </c>
      <c r="AK439" s="4">
        <v>0</v>
      </c>
      <c r="AL439" s="4">
        <v>0</v>
      </c>
      <c r="AM439" s="4">
        <v>0</v>
      </c>
      <c r="AN439" s="4">
        <v>0</v>
      </c>
      <c r="AO439" s="4">
        <v>0</v>
      </c>
      <c r="AP439" s="4">
        <v>0</v>
      </c>
      <c r="AQ439" s="4">
        <v>4000000</v>
      </c>
      <c r="AR439" s="4">
        <v>2787500</v>
      </c>
      <c r="AS439" s="4">
        <v>2787500</v>
      </c>
      <c r="AT439" s="4">
        <v>0</v>
      </c>
      <c r="AU439" s="4">
        <v>0</v>
      </c>
      <c r="AV439" s="4">
        <v>0</v>
      </c>
      <c r="AW439" s="4">
        <v>0</v>
      </c>
      <c r="AX439" s="4">
        <v>1212500</v>
      </c>
      <c r="AY439" s="4">
        <v>1212500</v>
      </c>
    </row>
    <row r="440" spans="1:51">
      <c r="A440" s="3" t="s">
        <v>52</v>
      </c>
      <c r="B440" s="3" t="s">
        <v>53</v>
      </c>
      <c r="C440" s="3" t="s">
        <v>54</v>
      </c>
      <c r="D440" s="3" t="s">
        <v>55</v>
      </c>
      <c r="E440" s="3" t="s">
        <v>56</v>
      </c>
      <c r="F440" s="3" t="s">
        <v>57</v>
      </c>
      <c r="G440" s="3" t="s">
        <v>58</v>
      </c>
      <c r="H440" s="3" t="s">
        <v>59</v>
      </c>
      <c r="I440" s="3" t="s">
        <v>60</v>
      </c>
      <c r="J440" s="3" t="s">
        <v>61</v>
      </c>
      <c r="K440" s="3" t="s">
        <v>62</v>
      </c>
      <c r="L440" s="3" t="s">
        <v>63</v>
      </c>
      <c r="M440" s="3" t="s">
        <v>681</v>
      </c>
      <c r="N440" s="3" t="s">
        <v>682</v>
      </c>
      <c r="O440" s="3" t="s">
        <v>713</v>
      </c>
      <c r="P440" s="3" t="s">
        <v>714</v>
      </c>
      <c r="Q440" s="3" t="s">
        <v>715</v>
      </c>
      <c r="R440" s="3" t="s">
        <v>716</v>
      </c>
      <c r="S440" s="3" t="s">
        <v>146</v>
      </c>
      <c r="T440" s="3" t="s">
        <v>733</v>
      </c>
      <c r="U440" s="3" t="s">
        <v>86</v>
      </c>
      <c r="V440" s="3" t="s">
        <v>87</v>
      </c>
      <c r="W440" s="3" t="s">
        <v>88</v>
      </c>
      <c r="X440" s="3" t="s">
        <v>89</v>
      </c>
      <c r="Y440" s="3" t="s">
        <v>90</v>
      </c>
      <c r="Z440" s="3" t="s">
        <v>89</v>
      </c>
      <c r="AA440" s="3" t="s">
        <v>734</v>
      </c>
      <c r="AB440" s="4">
        <v>210000</v>
      </c>
      <c r="AC440" s="4">
        <v>0</v>
      </c>
      <c r="AD440" s="4">
        <v>0</v>
      </c>
      <c r="AE440" s="4">
        <v>210000</v>
      </c>
      <c r="AF440" s="4">
        <v>0</v>
      </c>
      <c r="AG440" s="4">
        <v>0</v>
      </c>
      <c r="AH440" s="4">
        <v>0</v>
      </c>
      <c r="AI440" s="4">
        <v>0</v>
      </c>
      <c r="AJ440" s="4">
        <v>0</v>
      </c>
      <c r="AK440" s="4">
        <v>0</v>
      </c>
      <c r="AL440" s="4">
        <v>0</v>
      </c>
      <c r="AM440" s="4">
        <v>0</v>
      </c>
      <c r="AN440" s="4">
        <v>0</v>
      </c>
      <c r="AO440" s="4">
        <v>0</v>
      </c>
      <c r="AP440" s="4">
        <v>0</v>
      </c>
      <c r="AQ440" s="4">
        <v>210000</v>
      </c>
      <c r="AR440" s="4">
        <v>30000</v>
      </c>
      <c r="AS440" s="4">
        <v>30000</v>
      </c>
      <c r="AT440" s="4">
        <v>0</v>
      </c>
      <c r="AU440" s="4">
        <v>0</v>
      </c>
      <c r="AV440" s="4">
        <v>0</v>
      </c>
      <c r="AW440" s="4">
        <v>0</v>
      </c>
      <c r="AX440" s="4">
        <v>180000</v>
      </c>
      <c r="AY440" s="4">
        <v>180000</v>
      </c>
    </row>
    <row r="441" spans="1:51">
      <c r="A441" s="3" t="s">
        <v>52</v>
      </c>
      <c r="B441" s="3" t="s">
        <v>53</v>
      </c>
      <c r="C441" s="3" t="s">
        <v>54</v>
      </c>
      <c r="D441" s="3" t="s">
        <v>55</v>
      </c>
      <c r="E441" s="3" t="s">
        <v>56</v>
      </c>
      <c r="F441" s="3" t="s">
        <v>57</v>
      </c>
      <c r="G441" s="3" t="s">
        <v>58</v>
      </c>
      <c r="H441" s="3" t="s">
        <v>59</v>
      </c>
      <c r="I441" s="3" t="s">
        <v>60</v>
      </c>
      <c r="J441" s="3" t="s">
        <v>61</v>
      </c>
      <c r="K441" s="3" t="s">
        <v>62</v>
      </c>
      <c r="L441" s="3" t="s">
        <v>63</v>
      </c>
      <c r="M441" s="3" t="s">
        <v>681</v>
      </c>
      <c r="N441" s="3" t="s">
        <v>682</v>
      </c>
      <c r="O441" s="3" t="s">
        <v>713</v>
      </c>
      <c r="P441" s="3" t="s">
        <v>714</v>
      </c>
      <c r="Q441" s="3" t="s">
        <v>715</v>
      </c>
      <c r="R441" s="3" t="s">
        <v>716</v>
      </c>
      <c r="S441" s="3" t="s">
        <v>604</v>
      </c>
      <c r="T441" s="3" t="s">
        <v>735</v>
      </c>
      <c r="U441" s="3" t="s">
        <v>86</v>
      </c>
      <c r="V441" s="3" t="s">
        <v>87</v>
      </c>
      <c r="W441" s="3" t="s">
        <v>88</v>
      </c>
      <c r="X441" s="3" t="s">
        <v>89</v>
      </c>
      <c r="Y441" s="3" t="s">
        <v>90</v>
      </c>
      <c r="Z441" s="3" t="s">
        <v>89</v>
      </c>
      <c r="AA441" s="3" t="s">
        <v>736</v>
      </c>
      <c r="AB441" s="4">
        <v>480000</v>
      </c>
      <c r="AC441" s="4">
        <v>0</v>
      </c>
      <c r="AD441" s="4">
        <v>0</v>
      </c>
      <c r="AE441" s="4">
        <v>480000</v>
      </c>
      <c r="AF441" s="4">
        <v>0</v>
      </c>
      <c r="AG441" s="4">
        <v>0</v>
      </c>
      <c r="AH441" s="4">
        <v>0</v>
      </c>
      <c r="AI441" s="4">
        <v>0</v>
      </c>
      <c r="AJ441" s="4">
        <v>0</v>
      </c>
      <c r="AK441" s="4">
        <v>0</v>
      </c>
      <c r="AL441" s="4">
        <v>0</v>
      </c>
      <c r="AM441" s="4">
        <v>0</v>
      </c>
      <c r="AN441" s="4">
        <v>0</v>
      </c>
      <c r="AO441" s="4">
        <v>0</v>
      </c>
      <c r="AP441" s="4">
        <v>0</v>
      </c>
      <c r="AQ441" s="4">
        <v>480000</v>
      </c>
      <c r="AR441" s="4">
        <v>180000</v>
      </c>
      <c r="AS441" s="4">
        <v>0</v>
      </c>
      <c r="AT441" s="4">
        <v>0</v>
      </c>
      <c r="AU441" s="4">
        <v>0</v>
      </c>
      <c r="AV441" s="4">
        <v>0</v>
      </c>
      <c r="AW441" s="4">
        <v>0</v>
      </c>
      <c r="AX441" s="4">
        <v>300000</v>
      </c>
      <c r="AY441" s="4">
        <v>480000</v>
      </c>
    </row>
    <row r="442" spans="1:51">
      <c r="A442" s="3" t="s">
        <v>52</v>
      </c>
      <c r="B442" s="3" t="s">
        <v>53</v>
      </c>
      <c r="C442" s="3" t="s">
        <v>54</v>
      </c>
      <c r="D442" s="3" t="s">
        <v>55</v>
      </c>
      <c r="E442" s="3" t="s">
        <v>56</v>
      </c>
      <c r="F442" s="3" t="s">
        <v>57</v>
      </c>
      <c r="G442" s="3" t="s">
        <v>58</v>
      </c>
      <c r="H442" s="3" t="s">
        <v>59</v>
      </c>
      <c r="I442" s="3" t="s">
        <v>60</v>
      </c>
      <c r="J442" s="3" t="s">
        <v>61</v>
      </c>
      <c r="K442" s="3" t="s">
        <v>62</v>
      </c>
      <c r="L442" s="3" t="s">
        <v>63</v>
      </c>
      <c r="M442" s="3" t="s">
        <v>681</v>
      </c>
      <c r="N442" s="3" t="s">
        <v>682</v>
      </c>
      <c r="O442" s="3" t="s">
        <v>713</v>
      </c>
      <c r="P442" s="3" t="s">
        <v>714</v>
      </c>
      <c r="Q442" s="3" t="s">
        <v>715</v>
      </c>
      <c r="R442" s="3" t="s">
        <v>716</v>
      </c>
      <c r="S442" s="3" t="s">
        <v>604</v>
      </c>
      <c r="T442" s="3" t="s">
        <v>735</v>
      </c>
      <c r="U442" s="3" t="s">
        <v>86</v>
      </c>
      <c r="V442" s="3" t="s">
        <v>87</v>
      </c>
      <c r="W442" s="3" t="s">
        <v>88</v>
      </c>
      <c r="X442" s="3" t="s">
        <v>89</v>
      </c>
      <c r="Y442" s="3" t="s">
        <v>90</v>
      </c>
      <c r="Z442" s="3" t="s">
        <v>89</v>
      </c>
      <c r="AA442" s="3" t="s">
        <v>737</v>
      </c>
      <c r="AB442" s="4">
        <v>750000</v>
      </c>
      <c r="AC442" s="4">
        <v>0</v>
      </c>
      <c r="AD442" s="4">
        <v>0</v>
      </c>
      <c r="AE442" s="4">
        <v>750000</v>
      </c>
      <c r="AF442" s="4">
        <v>0</v>
      </c>
      <c r="AG442" s="4">
        <v>0</v>
      </c>
      <c r="AH442" s="4">
        <v>0</v>
      </c>
      <c r="AI442" s="4">
        <v>0</v>
      </c>
      <c r="AJ442" s="4">
        <v>0</v>
      </c>
      <c r="AK442" s="4">
        <v>0</v>
      </c>
      <c r="AL442" s="4">
        <v>0</v>
      </c>
      <c r="AM442" s="4">
        <v>0</v>
      </c>
      <c r="AN442" s="4">
        <v>0</v>
      </c>
      <c r="AO442" s="4">
        <v>0</v>
      </c>
      <c r="AP442" s="4">
        <v>0</v>
      </c>
      <c r="AQ442" s="4">
        <v>750000</v>
      </c>
      <c r="AR442" s="4">
        <v>131000</v>
      </c>
      <c r="AS442" s="4">
        <v>131000</v>
      </c>
      <c r="AT442" s="4">
        <v>0</v>
      </c>
      <c r="AU442" s="4">
        <v>0</v>
      </c>
      <c r="AV442" s="4">
        <v>0</v>
      </c>
      <c r="AW442" s="4">
        <v>0</v>
      </c>
      <c r="AX442" s="4">
        <v>619000</v>
      </c>
      <c r="AY442" s="4">
        <v>619000</v>
      </c>
    </row>
    <row r="443" spans="1:51">
      <c r="A443" s="3" t="s">
        <v>52</v>
      </c>
      <c r="B443" s="3" t="s">
        <v>53</v>
      </c>
      <c r="C443" s="3" t="s">
        <v>54</v>
      </c>
      <c r="D443" s="3" t="s">
        <v>55</v>
      </c>
      <c r="E443" s="3" t="s">
        <v>56</v>
      </c>
      <c r="F443" s="3" t="s">
        <v>57</v>
      </c>
      <c r="G443" s="3" t="s">
        <v>58</v>
      </c>
      <c r="H443" s="3" t="s">
        <v>59</v>
      </c>
      <c r="I443" s="3" t="s">
        <v>60</v>
      </c>
      <c r="J443" s="3" t="s">
        <v>61</v>
      </c>
      <c r="K443" s="3" t="s">
        <v>62</v>
      </c>
      <c r="L443" s="3" t="s">
        <v>63</v>
      </c>
      <c r="M443" s="3" t="s">
        <v>681</v>
      </c>
      <c r="N443" s="3" t="s">
        <v>682</v>
      </c>
      <c r="O443" s="3" t="s">
        <v>713</v>
      </c>
      <c r="P443" s="3" t="s">
        <v>714</v>
      </c>
      <c r="Q443" s="3" t="s">
        <v>715</v>
      </c>
      <c r="R443" s="3" t="s">
        <v>716</v>
      </c>
      <c r="S443" s="3" t="s">
        <v>738</v>
      </c>
      <c r="T443" s="3" t="s">
        <v>739</v>
      </c>
      <c r="U443" s="3" t="s">
        <v>54</v>
      </c>
      <c r="V443" s="3" t="s">
        <v>72</v>
      </c>
      <c r="W443" s="3" t="s">
        <v>73</v>
      </c>
      <c r="X443" s="3" t="s">
        <v>74</v>
      </c>
      <c r="Y443" s="3" t="s">
        <v>75</v>
      </c>
      <c r="Z443" s="3" t="s">
        <v>76</v>
      </c>
      <c r="AA443" s="3" t="s">
        <v>740</v>
      </c>
      <c r="AB443" s="4">
        <v>0</v>
      </c>
      <c r="AC443" s="4">
        <v>230000</v>
      </c>
      <c r="AD443" s="4">
        <v>0</v>
      </c>
      <c r="AE443" s="4">
        <v>230000</v>
      </c>
      <c r="AF443" s="4">
        <v>0</v>
      </c>
      <c r="AG443" s="4">
        <v>0</v>
      </c>
      <c r="AH443" s="4">
        <v>0</v>
      </c>
      <c r="AI443" s="4">
        <v>0</v>
      </c>
      <c r="AJ443" s="4">
        <v>0</v>
      </c>
      <c r="AK443" s="4">
        <v>0</v>
      </c>
      <c r="AL443" s="4">
        <v>0</v>
      </c>
      <c r="AM443" s="4">
        <v>0</v>
      </c>
      <c r="AN443" s="4">
        <v>0</v>
      </c>
      <c r="AO443" s="4">
        <v>0</v>
      </c>
      <c r="AP443" s="4">
        <v>0</v>
      </c>
      <c r="AQ443" s="4">
        <v>230000</v>
      </c>
      <c r="AR443" s="4">
        <v>230000</v>
      </c>
      <c r="AS443" s="4">
        <v>230000</v>
      </c>
      <c r="AT443" s="4">
        <v>0</v>
      </c>
      <c r="AU443" s="4">
        <v>0</v>
      </c>
      <c r="AV443" s="4">
        <v>0</v>
      </c>
      <c r="AW443" s="4">
        <v>0</v>
      </c>
      <c r="AX443" s="4">
        <v>0</v>
      </c>
      <c r="AY443" s="4">
        <v>0</v>
      </c>
    </row>
    <row r="444" spans="1:51">
      <c r="A444" s="3" t="s">
        <v>52</v>
      </c>
      <c r="B444" s="3" t="s">
        <v>53</v>
      </c>
      <c r="C444" s="3" t="s">
        <v>54</v>
      </c>
      <c r="D444" s="3" t="s">
        <v>55</v>
      </c>
      <c r="E444" s="3" t="s">
        <v>56</v>
      </c>
      <c r="F444" s="3" t="s">
        <v>57</v>
      </c>
      <c r="G444" s="3" t="s">
        <v>58</v>
      </c>
      <c r="H444" s="3" t="s">
        <v>59</v>
      </c>
      <c r="I444" s="3" t="s">
        <v>60</v>
      </c>
      <c r="J444" s="3" t="s">
        <v>61</v>
      </c>
      <c r="K444" s="3" t="s">
        <v>62</v>
      </c>
      <c r="L444" s="3" t="s">
        <v>63</v>
      </c>
      <c r="M444" s="3" t="s">
        <v>681</v>
      </c>
      <c r="N444" s="3" t="s">
        <v>682</v>
      </c>
      <c r="O444" s="3" t="s">
        <v>713</v>
      </c>
      <c r="P444" s="3" t="s">
        <v>714</v>
      </c>
      <c r="Q444" s="3" t="s">
        <v>715</v>
      </c>
      <c r="R444" s="3" t="s">
        <v>716</v>
      </c>
      <c r="S444" s="3" t="s">
        <v>738</v>
      </c>
      <c r="T444" s="3" t="s">
        <v>739</v>
      </c>
      <c r="U444" s="3" t="s">
        <v>54</v>
      </c>
      <c r="V444" s="3" t="s">
        <v>72</v>
      </c>
      <c r="W444" s="3" t="s">
        <v>73</v>
      </c>
      <c r="X444" s="3" t="s">
        <v>74</v>
      </c>
      <c r="Y444" s="3" t="s">
        <v>78</v>
      </c>
      <c r="Z444" s="3" t="s">
        <v>79</v>
      </c>
      <c r="AA444" s="3" t="s">
        <v>741</v>
      </c>
      <c r="AB444" s="4">
        <v>0</v>
      </c>
      <c r="AC444" s="4">
        <v>1100000</v>
      </c>
      <c r="AD444" s="4">
        <v>0</v>
      </c>
      <c r="AE444" s="4">
        <v>1100000</v>
      </c>
      <c r="AF444" s="4">
        <v>0</v>
      </c>
      <c r="AG444" s="4">
        <v>0</v>
      </c>
      <c r="AH444" s="4">
        <v>0</v>
      </c>
      <c r="AI444" s="4">
        <v>0</v>
      </c>
      <c r="AJ444" s="4">
        <v>0</v>
      </c>
      <c r="AK444" s="4">
        <v>0</v>
      </c>
      <c r="AL444" s="4">
        <v>0</v>
      </c>
      <c r="AM444" s="4">
        <v>0</v>
      </c>
      <c r="AN444" s="4">
        <v>0</v>
      </c>
      <c r="AO444" s="4">
        <v>0</v>
      </c>
      <c r="AP444" s="4">
        <v>0</v>
      </c>
      <c r="AQ444" s="4">
        <v>1100000</v>
      </c>
      <c r="AR444" s="4">
        <v>1100000</v>
      </c>
      <c r="AS444" s="4">
        <v>1100000</v>
      </c>
      <c r="AT444" s="4">
        <v>0</v>
      </c>
      <c r="AU444" s="4">
        <v>0</v>
      </c>
      <c r="AV444" s="4">
        <v>0</v>
      </c>
      <c r="AW444" s="4">
        <v>0</v>
      </c>
      <c r="AX444" s="4">
        <v>0</v>
      </c>
      <c r="AY444" s="4">
        <v>0</v>
      </c>
    </row>
    <row r="445" spans="1:51">
      <c r="A445" s="3" t="s">
        <v>52</v>
      </c>
      <c r="B445" s="3" t="s">
        <v>53</v>
      </c>
      <c r="C445" s="3" t="s">
        <v>54</v>
      </c>
      <c r="D445" s="3" t="s">
        <v>55</v>
      </c>
      <c r="E445" s="3" t="s">
        <v>56</v>
      </c>
      <c r="F445" s="3" t="s">
        <v>57</v>
      </c>
      <c r="G445" s="3" t="s">
        <v>58</v>
      </c>
      <c r="H445" s="3" t="s">
        <v>59</v>
      </c>
      <c r="I445" s="3" t="s">
        <v>60</v>
      </c>
      <c r="J445" s="3" t="s">
        <v>61</v>
      </c>
      <c r="K445" s="3" t="s">
        <v>62</v>
      </c>
      <c r="L445" s="3" t="s">
        <v>63</v>
      </c>
      <c r="M445" s="3" t="s">
        <v>681</v>
      </c>
      <c r="N445" s="3" t="s">
        <v>682</v>
      </c>
      <c r="O445" s="3" t="s">
        <v>713</v>
      </c>
      <c r="P445" s="3" t="s">
        <v>714</v>
      </c>
      <c r="Q445" s="3" t="s">
        <v>715</v>
      </c>
      <c r="R445" s="3" t="s">
        <v>716</v>
      </c>
      <c r="S445" s="3" t="s">
        <v>738</v>
      </c>
      <c r="T445" s="3" t="s">
        <v>739</v>
      </c>
      <c r="U445" s="3" t="s">
        <v>54</v>
      </c>
      <c r="V445" s="3" t="s">
        <v>72</v>
      </c>
      <c r="W445" s="3" t="s">
        <v>94</v>
      </c>
      <c r="X445" s="3" t="s">
        <v>95</v>
      </c>
      <c r="Y445" s="3" t="s">
        <v>96</v>
      </c>
      <c r="Z445" s="3" t="s">
        <v>95</v>
      </c>
      <c r="AA445" s="3" t="s">
        <v>742</v>
      </c>
      <c r="AB445" s="4">
        <v>0</v>
      </c>
      <c r="AC445" s="4">
        <v>1190000</v>
      </c>
      <c r="AD445" s="4">
        <v>0</v>
      </c>
      <c r="AE445" s="4">
        <v>1190000</v>
      </c>
      <c r="AF445" s="4">
        <v>0</v>
      </c>
      <c r="AG445" s="4">
        <v>0</v>
      </c>
      <c r="AH445" s="4">
        <v>0</v>
      </c>
      <c r="AI445" s="4">
        <v>0</v>
      </c>
      <c r="AJ445" s="4">
        <v>0</v>
      </c>
      <c r="AK445" s="4">
        <v>0</v>
      </c>
      <c r="AL445" s="4">
        <v>0</v>
      </c>
      <c r="AM445" s="4">
        <v>0</v>
      </c>
      <c r="AN445" s="4">
        <v>0</v>
      </c>
      <c r="AO445" s="4">
        <v>0</v>
      </c>
      <c r="AP445" s="4">
        <v>0</v>
      </c>
      <c r="AQ445" s="4">
        <v>1190000</v>
      </c>
      <c r="AR445" s="4">
        <v>1190000</v>
      </c>
      <c r="AS445" s="4">
        <v>1190000</v>
      </c>
      <c r="AT445" s="4">
        <v>0</v>
      </c>
      <c r="AU445" s="4">
        <v>0</v>
      </c>
      <c r="AV445" s="4">
        <v>0</v>
      </c>
      <c r="AW445" s="4">
        <v>0</v>
      </c>
      <c r="AX445" s="4">
        <v>0</v>
      </c>
      <c r="AY445" s="4">
        <v>0</v>
      </c>
    </row>
    <row r="446" spans="1:51">
      <c r="A446" s="3" t="s">
        <v>52</v>
      </c>
      <c r="B446" s="3" t="s">
        <v>53</v>
      </c>
      <c r="C446" s="3" t="s">
        <v>54</v>
      </c>
      <c r="D446" s="3" t="s">
        <v>55</v>
      </c>
      <c r="E446" s="3" t="s">
        <v>56</v>
      </c>
      <c r="F446" s="3" t="s">
        <v>57</v>
      </c>
      <c r="G446" s="3" t="s">
        <v>58</v>
      </c>
      <c r="H446" s="3" t="s">
        <v>59</v>
      </c>
      <c r="I446" s="3" t="s">
        <v>60</v>
      </c>
      <c r="J446" s="3" t="s">
        <v>61</v>
      </c>
      <c r="K446" s="3" t="s">
        <v>62</v>
      </c>
      <c r="L446" s="3" t="s">
        <v>63</v>
      </c>
      <c r="M446" s="3" t="s">
        <v>681</v>
      </c>
      <c r="N446" s="3" t="s">
        <v>682</v>
      </c>
      <c r="O446" s="3" t="s">
        <v>743</v>
      </c>
      <c r="P446" s="3" t="s">
        <v>744</v>
      </c>
      <c r="Q446" s="3" t="s">
        <v>745</v>
      </c>
      <c r="R446" s="3" t="s">
        <v>746</v>
      </c>
      <c r="S446" s="3" t="s">
        <v>150</v>
      </c>
      <c r="T446" s="3" t="s">
        <v>746</v>
      </c>
      <c r="U446" s="3" t="s">
        <v>54</v>
      </c>
      <c r="V446" s="3" t="s">
        <v>72</v>
      </c>
      <c r="W446" s="3" t="s">
        <v>73</v>
      </c>
      <c r="X446" s="3" t="s">
        <v>74</v>
      </c>
      <c r="Y446" s="3" t="s">
        <v>75</v>
      </c>
      <c r="Z446" s="3" t="s">
        <v>76</v>
      </c>
      <c r="AA446" s="3" t="s">
        <v>747</v>
      </c>
      <c r="AB446" s="4">
        <v>1000000</v>
      </c>
      <c r="AC446" s="4">
        <v>0</v>
      </c>
      <c r="AD446" s="4">
        <v>0</v>
      </c>
      <c r="AE446" s="4">
        <v>1000000</v>
      </c>
      <c r="AF446" s="4">
        <v>0</v>
      </c>
      <c r="AG446" s="4">
        <v>0</v>
      </c>
      <c r="AH446" s="4">
        <v>0</v>
      </c>
      <c r="AI446" s="4">
        <v>0</v>
      </c>
      <c r="AJ446" s="4">
        <v>0</v>
      </c>
      <c r="AK446" s="4">
        <v>0</v>
      </c>
      <c r="AL446" s="4">
        <v>0</v>
      </c>
      <c r="AM446" s="4">
        <v>0</v>
      </c>
      <c r="AN446" s="4">
        <v>0</v>
      </c>
      <c r="AO446" s="4">
        <v>0</v>
      </c>
      <c r="AP446" s="4">
        <v>0</v>
      </c>
      <c r="AQ446" s="4">
        <v>1000000</v>
      </c>
      <c r="AR446" s="4">
        <v>427210</v>
      </c>
      <c r="AS446" s="4">
        <v>427210</v>
      </c>
      <c r="AT446" s="4">
        <v>0</v>
      </c>
      <c r="AU446" s="4">
        <v>0</v>
      </c>
      <c r="AV446" s="4">
        <v>0</v>
      </c>
      <c r="AW446" s="4">
        <v>0</v>
      </c>
      <c r="AX446" s="4">
        <v>572790</v>
      </c>
      <c r="AY446" s="4">
        <v>572790</v>
      </c>
    </row>
    <row r="447" spans="1:51">
      <c r="A447" s="3" t="s">
        <v>52</v>
      </c>
      <c r="B447" s="3" t="s">
        <v>53</v>
      </c>
      <c r="C447" s="3" t="s">
        <v>54</v>
      </c>
      <c r="D447" s="3" t="s">
        <v>55</v>
      </c>
      <c r="E447" s="3" t="s">
        <v>56</v>
      </c>
      <c r="F447" s="3" t="s">
        <v>57</v>
      </c>
      <c r="G447" s="3" t="s">
        <v>58</v>
      </c>
      <c r="H447" s="3" t="s">
        <v>59</v>
      </c>
      <c r="I447" s="3" t="s">
        <v>60</v>
      </c>
      <c r="J447" s="3" t="s">
        <v>61</v>
      </c>
      <c r="K447" s="3" t="s">
        <v>62</v>
      </c>
      <c r="L447" s="3" t="s">
        <v>63</v>
      </c>
      <c r="M447" s="3" t="s">
        <v>681</v>
      </c>
      <c r="N447" s="3" t="s">
        <v>682</v>
      </c>
      <c r="O447" s="3" t="s">
        <v>743</v>
      </c>
      <c r="P447" s="3" t="s">
        <v>744</v>
      </c>
      <c r="Q447" s="3" t="s">
        <v>745</v>
      </c>
      <c r="R447" s="3" t="s">
        <v>746</v>
      </c>
      <c r="S447" s="3" t="s">
        <v>150</v>
      </c>
      <c r="T447" s="3" t="s">
        <v>746</v>
      </c>
      <c r="U447" s="3" t="s">
        <v>54</v>
      </c>
      <c r="V447" s="3" t="s">
        <v>72</v>
      </c>
      <c r="W447" s="3" t="s">
        <v>73</v>
      </c>
      <c r="X447" s="3" t="s">
        <v>74</v>
      </c>
      <c r="Y447" s="3" t="s">
        <v>75</v>
      </c>
      <c r="Z447" s="3" t="s">
        <v>76</v>
      </c>
      <c r="AA447" s="3" t="s">
        <v>748</v>
      </c>
      <c r="AB447" s="4">
        <v>200000</v>
      </c>
      <c r="AC447" s="4">
        <v>0</v>
      </c>
      <c r="AD447" s="4">
        <v>0</v>
      </c>
      <c r="AE447" s="4">
        <v>200000</v>
      </c>
      <c r="AF447" s="4">
        <v>0</v>
      </c>
      <c r="AG447" s="4">
        <v>0</v>
      </c>
      <c r="AH447" s="4">
        <v>0</v>
      </c>
      <c r="AI447" s="4">
        <v>0</v>
      </c>
      <c r="AJ447" s="4">
        <v>0</v>
      </c>
      <c r="AK447" s="4">
        <v>0</v>
      </c>
      <c r="AL447" s="4">
        <v>0</v>
      </c>
      <c r="AM447" s="4">
        <v>0</v>
      </c>
      <c r="AN447" s="4">
        <v>0</v>
      </c>
      <c r="AO447" s="4">
        <v>0</v>
      </c>
      <c r="AP447" s="4">
        <v>0</v>
      </c>
      <c r="AQ447" s="4">
        <v>200000</v>
      </c>
      <c r="AR447" s="4">
        <v>0</v>
      </c>
      <c r="AS447" s="4">
        <v>0</v>
      </c>
      <c r="AT447" s="4">
        <v>0</v>
      </c>
      <c r="AU447" s="4">
        <v>0</v>
      </c>
      <c r="AV447" s="4">
        <v>0</v>
      </c>
      <c r="AW447" s="4">
        <v>0</v>
      </c>
      <c r="AX447" s="4">
        <v>200000</v>
      </c>
      <c r="AY447" s="4">
        <v>200000</v>
      </c>
    </row>
    <row r="448" spans="1:51">
      <c r="A448" s="3" t="s">
        <v>52</v>
      </c>
      <c r="B448" s="3" t="s">
        <v>53</v>
      </c>
      <c r="C448" s="3" t="s">
        <v>54</v>
      </c>
      <c r="D448" s="3" t="s">
        <v>55</v>
      </c>
      <c r="E448" s="3" t="s">
        <v>56</v>
      </c>
      <c r="F448" s="3" t="s">
        <v>57</v>
      </c>
      <c r="G448" s="3" t="s">
        <v>58</v>
      </c>
      <c r="H448" s="3" t="s">
        <v>59</v>
      </c>
      <c r="I448" s="3" t="s">
        <v>60</v>
      </c>
      <c r="J448" s="3" t="s">
        <v>61</v>
      </c>
      <c r="K448" s="3" t="s">
        <v>62</v>
      </c>
      <c r="L448" s="3" t="s">
        <v>63</v>
      </c>
      <c r="M448" s="3" t="s">
        <v>681</v>
      </c>
      <c r="N448" s="3" t="s">
        <v>682</v>
      </c>
      <c r="O448" s="3" t="s">
        <v>743</v>
      </c>
      <c r="P448" s="3" t="s">
        <v>744</v>
      </c>
      <c r="Q448" s="3" t="s">
        <v>749</v>
      </c>
      <c r="R448" s="3" t="s">
        <v>750</v>
      </c>
      <c r="S448" s="3" t="s">
        <v>199</v>
      </c>
      <c r="T448" s="3" t="s">
        <v>751</v>
      </c>
      <c r="U448" s="3" t="s">
        <v>54</v>
      </c>
      <c r="V448" s="3" t="s">
        <v>72</v>
      </c>
      <c r="W448" s="3" t="s">
        <v>73</v>
      </c>
      <c r="X448" s="3" t="s">
        <v>74</v>
      </c>
      <c r="Y448" s="3" t="s">
        <v>75</v>
      </c>
      <c r="Z448" s="3" t="s">
        <v>76</v>
      </c>
      <c r="AA448" s="3" t="s">
        <v>752</v>
      </c>
      <c r="AB448" s="4">
        <v>4800000</v>
      </c>
      <c r="AC448" s="4">
        <v>0</v>
      </c>
      <c r="AD448" s="4">
        <v>0</v>
      </c>
      <c r="AE448" s="4">
        <v>4800000</v>
      </c>
      <c r="AF448" s="4">
        <v>0</v>
      </c>
      <c r="AG448" s="4">
        <v>0</v>
      </c>
      <c r="AH448" s="4">
        <v>0</v>
      </c>
      <c r="AI448" s="4">
        <v>0</v>
      </c>
      <c r="AJ448" s="4">
        <v>0</v>
      </c>
      <c r="AK448" s="4">
        <v>0</v>
      </c>
      <c r="AL448" s="4">
        <v>0</v>
      </c>
      <c r="AM448" s="4">
        <v>0</v>
      </c>
      <c r="AN448" s="4">
        <v>0</v>
      </c>
      <c r="AO448" s="4">
        <v>0</v>
      </c>
      <c r="AP448" s="4">
        <v>0</v>
      </c>
      <c r="AQ448" s="4">
        <v>4800000</v>
      </c>
      <c r="AR448" s="4">
        <v>435590</v>
      </c>
      <c r="AS448" s="4">
        <v>435590</v>
      </c>
      <c r="AT448" s="4">
        <v>0</v>
      </c>
      <c r="AU448" s="4">
        <v>0</v>
      </c>
      <c r="AV448" s="4">
        <v>0</v>
      </c>
      <c r="AW448" s="4">
        <v>0</v>
      </c>
      <c r="AX448" s="4">
        <v>4364410</v>
      </c>
      <c r="AY448" s="4">
        <v>4364410</v>
      </c>
    </row>
    <row r="449" spans="1:51">
      <c r="A449" s="3" t="s">
        <v>52</v>
      </c>
      <c r="B449" s="3" t="s">
        <v>53</v>
      </c>
      <c r="C449" s="3" t="s">
        <v>54</v>
      </c>
      <c r="D449" s="3" t="s">
        <v>55</v>
      </c>
      <c r="E449" s="3" t="s">
        <v>56</v>
      </c>
      <c r="F449" s="3" t="s">
        <v>57</v>
      </c>
      <c r="G449" s="3" t="s">
        <v>58</v>
      </c>
      <c r="H449" s="3" t="s">
        <v>59</v>
      </c>
      <c r="I449" s="3" t="s">
        <v>60</v>
      </c>
      <c r="J449" s="3" t="s">
        <v>61</v>
      </c>
      <c r="K449" s="3" t="s">
        <v>62</v>
      </c>
      <c r="L449" s="3" t="s">
        <v>63</v>
      </c>
      <c r="M449" s="3" t="s">
        <v>681</v>
      </c>
      <c r="N449" s="3" t="s">
        <v>682</v>
      </c>
      <c r="O449" s="3" t="s">
        <v>743</v>
      </c>
      <c r="P449" s="3" t="s">
        <v>744</v>
      </c>
      <c r="Q449" s="3" t="s">
        <v>749</v>
      </c>
      <c r="R449" s="3" t="s">
        <v>750</v>
      </c>
      <c r="S449" s="3" t="s">
        <v>199</v>
      </c>
      <c r="T449" s="3" t="s">
        <v>751</v>
      </c>
      <c r="U449" s="3" t="s">
        <v>54</v>
      </c>
      <c r="V449" s="3" t="s">
        <v>72</v>
      </c>
      <c r="W449" s="3" t="s">
        <v>73</v>
      </c>
      <c r="X449" s="3" t="s">
        <v>74</v>
      </c>
      <c r="Y449" s="3" t="s">
        <v>75</v>
      </c>
      <c r="Z449" s="3" t="s">
        <v>76</v>
      </c>
      <c r="AA449" s="3" t="s">
        <v>753</v>
      </c>
      <c r="AB449" s="4">
        <v>3432000</v>
      </c>
      <c r="AC449" s="4">
        <v>0</v>
      </c>
      <c r="AD449" s="4">
        <v>0</v>
      </c>
      <c r="AE449" s="4">
        <v>3432000</v>
      </c>
      <c r="AF449" s="4">
        <v>0</v>
      </c>
      <c r="AG449" s="4">
        <v>0</v>
      </c>
      <c r="AH449" s="4">
        <v>0</v>
      </c>
      <c r="AI449" s="4">
        <v>0</v>
      </c>
      <c r="AJ449" s="4">
        <v>0</v>
      </c>
      <c r="AK449" s="4">
        <v>0</v>
      </c>
      <c r="AL449" s="4">
        <v>0</v>
      </c>
      <c r="AM449" s="4">
        <v>0</v>
      </c>
      <c r="AN449" s="4">
        <v>0</v>
      </c>
      <c r="AO449" s="4">
        <v>0</v>
      </c>
      <c r="AP449" s="4">
        <v>0</v>
      </c>
      <c r="AQ449" s="4">
        <v>3432000</v>
      </c>
      <c r="AR449" s="4">
        <v>3000000</v>
      </c>
      <c r="AS449" s="4">
        <v>1250000</v>
      </c>
      <c r="AT449" s="4">
        <v>0</v>
      </c>
      <c r="AU449" s="4">
        <v>0</v>
      </c>
      <c r="AV449" s="4">
        <v>0</v>
      </c>
      <c r="AW449" s="4">
        <v>0</v>
      </c>
      <c r="AX449" s="4">
        <v>432000</v>
      </c>
      <c r="AY449" s="4">
        <v>2182000</v>
      </c>
    </row>
    <row r="450" spans="1:51">
      <c r="A450" s="3" t="s">
        <v>52</v>
      </c>
      <c r="B450" s="3" t="s">
        <v>53</v>
      </c>
      <c r="C450" s="3" t="s">
        <v>54</v>
      </c>
      <c r="D450" s="3" t="s">
        <v>55</v>
      </c>
      <c r="E450" s="3" t="s">
        <v>56</v>
      </c>
      <c r="F450" s="3" t="s">
        <v>57</v>
      </c>
      <c r="G450" s="3" t="s">
        <v>58</v>
      </c>
      <c r="H450" s="3" t="s">
        <v>59</v>
      </c>
      <c r="I450" s="3" t="s">
        <v>60</v>
      </c>
      <c r="J450" s="3" t="s">
        <v>61</v>
      </c>
      <c r="K450" s="3" t="s">
        <v>62</v>
      </c>
      <c r="L450" s="3" t="s">
        <v>63</v>
      </c>
      <c r="M450" s="3" t="s">
        <v>681</v>
      </c>
      <c r="N450" s="3" t="s">
        <v>682</v>
      </c>
      <c r="O450" s="3" t="s">
        <v>743</v>
      </c>
      <c r="P450" s="3" t="s">
        <v>744</v>
      </c>
      <c r="Q450" s="3" t="s">
        <v>749</v>
      </c>
      <c r="R450" s="3" t="s">
        <v>750</v>
      </c>
      <c r="S450" s="3" t="s">
        <v>199</v>
      </c>
      <c r="T450" s="3" t="s">
        <v>751</v>
      </c>
      <c r="U450" s="3" t="s">
        <v>54</v>
      </c>
      <c r="V450" s="3" t="s">
        <v>72</v>
      </c>
      <c r="W450" s="3" t="s">
        <v>73</v>
      </c>
      <c r="X450" s="3" t="s">
        <v>74</v>
      </c>
      <c r="Y450" s="3" t="s">
        <v>75</v>
      </c>
      <c r="Z450" s="3" t="s">
        <v>76</v>
      </c>
      <c r="AA450" s="3" t="s">
        <v>754</v>
      </c>
      <c r="AB450" s="4">
        <v>1000000</v>
      </c>
      <c r="AC450" s="4">
        <v>0</v>
      </c>
      <c r="AD450" s="4">
        <v>0</v>
      </c>
      <c r="AE450" s="4">
        <v>1000000</v>
      </c>
      <c r="AF450" s="4">
        <v>0</v>
      </c>
      <c r="AG450" s="4">
        <v>0</v>
      </c>
      <c r="AH450" s="4">
        <v>0</v>
      </c>
      <c r="AI450" s="4">
        <v>0</v>
      </c>
      <c r="AJ450" s="4">
        <v>0</v>
      </c>
      <c r="AK450" s="4">
        <v>0</v>
      </c>
      <c r="AL450" s="4">
        <v>0</v>
      </c>
      <c r="AM450" s="4">
        <v>0</v>
      </c>
      <c r="AN450" s="4">
        <v>0</v>
      </c>
      <c r="AO450" s="4">
        <v>0</v>
      </c>
      <c r="AP450" s="4">
        <v>0</v>
      </c>
      <c r="AQ450" s="4">
        <v>1000000</v>
      </c>
      <c r="AR450" s="4">
        <v>199000</v>
      </c>
      <c r="AS450" s="4">
        <v>199000</v>
      </c>
      <c r="AT450" s="4">
        <v>0</v>
      </c>
      <c r="AU450" s="4">
        <v>0</v>
      </c>
      <c r="AV450" s="4">
        <v>0</v>
      </c>
      <c r="AW450" s="4">
        <v>0</v>
      </c>
      <c r="AX450" s="4">
        <v>801000</v>
      </c>
      <c r="AY450" s="4">
        <v>801000</v>
      </c>
    </row>
    <row r="451" spans="1:51">
      <c r="A451" s="3" t="s">
        <v>52</v>
      </c>
      <c r="B451" s="3" t="s">
        <v>53</v>
      </c>
      <c r="C451" s="3" t="s">
        <v>54</v>
      </c>
      <c r="D451" s="3" t="s">
        <v>55</v>
      </c>
      <c r="E451" s="3" t="s">
        <v>56</v>
      </c>
      <c r="F451" s="3" t="s">
        <v>57</v>
      </c>
      <c r="G451" s="3" t="s">
        <v>58</v>
      </c>
      <c r="H451" s="3" t="s">
        <v>59</v>
      </c>
      <c r="I451" s="3" t="s">
        <v>60</v>
      </c>
      <c r="J451" s="3" t="s">
        <v>61</v>
      </c>
      <c r="K451" s="3" t="s">
        <v>62</v>
      </c>
      <c r="L451" s="3" t="s">
        <v>63</v>
      </c>
      <c r="M451" s="3" t="s">
        <v>681</v>
      </c>
      <c r="N451" s="3" t="s">
        <v>682</v>
      </c>
      <c r="O451" s="3" t="s">
        <v>743</v>
      </c>
      <c r="P451" s="3" t="s">
        <v>744</v>
      </c>
      <c r="Q451" s="3" t="s">
        <v>749</v>
      </c>
      <c r="R451" s="3" t="s">
        <v>750</v>
      </c>
      <c r="S451" s="3" t="s">
        <v>199</v>
      </c>
      <c r="T451" s="3" t="s">
        <v>751</v>
      </c>
      <c r="U451" s="3" t="s">
        <v>54</v>
      </c>
      <c r="V451" s="3" t="s">
        <v>72</v>
      </c>
      <c r="W451" s="3" t="s">
        <v>73</v>
      </c>
      <c r="X451" s="3" t="s">
        <v>74</v>
      </c>
      <c r="Y451" s="3" t="s">
        <v>75</v>
      </c>
      <c r="Z451" s="3" t="s">
        <v>76</v>
      </c>
      <c r="AA451" s="3" t="s">
        <v>755</v>
      </c>
      <c r="AB451" s="4">
        <v>1200000</v>
      </c>
      <c r="AC451" s="4">
        <v>0</v>
      </c>
      <c r="AD451" s="4">
        <v>0</v>
      </c>
      <c r="AE451" s="4">
        <v>1200000</v>
      </c>
      <c r="AF451" s="4">
        <v>0</v>
      </c>
      <c r="AG451" s="4">
        <v>0</v>
      </c>
      <c r="AH451" s="4">
        <v>0</v>
      </c>
      <c r="AI451" s="4">
        <v>0</v>
      </c>
      <c r="AJ451" s="4">
        <v>0</v>
      </c>
      <c r="AK451" s="4">
        <v>0</v>
      </c>
      <c r="AL451" s="4">
        <v>0</v>
      </c>
      <c r="AM451" s="4">
        <v>0</v>
      </c>
      <c r="AN451" s="4">
        <v>0</v>
      </c>
      <c r="AO451" s="4">
        <v>0</v>
      </c>
      <c r="AP451" s="4">
        <v>0</v>
      </c>
      <c r="AQ451" s="4">
        <v>1200000</v>
      </c>
      <c r="AR451" s="4">
        <v>495000</v>
      </c>
      <c r="AS451" s="4">
        <v>495000</v>
      </c>
      <c r="AT451" s="4">
        <v>0</v>
      </c>
      <c r="AU451" s="4">
        <v>0</v>
      </c>
      <c r="AV451" s="4">
        <v>0</v>
      </c>
      <c r="AW451" s="4">
        <v>0</v>
      </c>
      <c r="AX451" s="4">
        <v>705000</v>
      </c>
      <c r="AY451" s="4">
        <v>705000</v>
      </c>
    </row>
    <row r="452" spans="1:51">
      <c r="A452" s="3" t="s">
        <v>52</v>
      </c>
      <c r="B452" s="3" t="s">
        <v>53</v>
      </c>
      <c r="C452" s="3" t="s">
        <v>54</v>
      </c>
      <c r="D452" s="3" t="s">
        <v>55</v>
      </c>
      <c r="E452" s="3" t="s">
        <v>56</v>
      </c>
      <c r="F452" s="3" t="s">
        <v>57</v>
      </c>
      <c r="G452" s="3" t="s">
        <v>58</v>
      </c>
      <c r="H452" s="3" t="s">
        <v>59</v>
      </c>
      <c r="I452" s="3" t="s">
        <v>60</v>
      </c>
      <c r="J452" s="3" t="s">
        <v>61</v>
      </c>
      <c r="K452" s="3" t="s">
        <v>62</v>
      </c>
      <c r="L452" s="3" t="s">
        <v>63</v>
      </c>
      <c r="M452" s="3" t="s">
        <v>681</v>
      </c>
      <c r="N452" s="3" t="s">
        <v>682</v>
      </c>
      <c r="O452" s="3" t="s">
        <v>743</v>
      </c>
      <c r="P452" s="3" t="s">
        <v>744</v>
      </c>
      <c r="Q452" s="3" t="s">
        <v>749</v>
      </c>
      <c r="R452" s="3" t="s">
        <v>750</v>
      </c>
      <c r="S452" s="3" t="s">
        <v>199</v>
      </c>
      <c r="T452" s="3" t="s">
        <v>751</v>
      </c>
      <c r="U452" s="3" t="s">
        <v>54</v>
      </c>
      <c r="V452" s="3" t="s">
        <v>72</v>
      </c>
      <c r="W452" s="3" t="s">
        <v>73</v>
      </c>
      <c r="X452" s="3" t="s">
        <v>74</v>
      </c>
      <c r="Y452" s="3" t="s">
        <v>75</v>
      </c>
      <c r="Z452" s="3" t="s">
        <v>76</v>
      </c>
      <c r="AA452" s="3" t="s">
        <v>756</v>
      </c>
      <c r="AB452" s="4">
        <v>1000000</v>
      </c>
      <c r="AC452" s="4">
        <v>0</v>
      </c>
      <c r="AD452" s="4">
        <v>0</v>
      </c>
      <c r="AE452" s="4">
        <v>1000000</v>
      </c>
      <c r="AF452" s="4">
        <v>0</v>
      </c>
      <c r="AG452" s="4">
        <v>0</v>
      </c>
      <c r="AH452" s="4">
        <v>0</v>
      </c>
      <c r="AI452" s="4">
        <v>0</v>
      </c>
      <c r="AJ452" s="4">
        <v>0</v>
      </c>
      <c r="AK452" s="4">
        <v>0</v>
      </c>
      <c r="AL452" s="4">
        <v>0</v>
      </c>
      <c r="AM452" s="4">
        <v>0</v>
      </c>
      <c r="AN452" s="4">
        <v>0</v>
      </c>
      <c r="AO452" s="4">
        <v>0</v>
      </c>
      <c r="AP452" s="4">
        <v>0</v>
      </c>
      <c r="AQ452" s="4">
        <v>1000000</v>
      </c>
      <c r="AR452" s="4">
        <v>0</v>
      </c>
      <c r="AS452" s="4">
        <v>0</v>
      </c>
      <c r="AT452" s="4">
        <v>0</v>
      </c>
      <c r="AU452" s="4">
        <v>0</v>
      </c>
      <c r="AV452" s="4">
        <v>0</v>
      </c>
      <c r="AW452" s="4">
        <v>0</v>
      </c>
      <c r="AX452" s="4">
        <v>1000000</v>
      </c>
      <c r="AY452" s="4">
        <v>1000000</v>
      </c>
    </row>
    <row r="453" spans="1:51">
      <c r="A453" s="3" t="s">
        <v>52</v>
      </c>
      <c r="B453" s="3" t="s">
        <v>53</v>
      </c>
      <c r="C453" s="3" t="s">
        <v>54</v>
      </c>
      <c r="D453" s="3" t="s">
        <v>55</v>
      </c>
      <c r="E453" s="3" t="s">
        <v>56</v>
      </c>
      <c r="F453" s="3" t="s">
        <v>57</v>
      </c>
      <c r="G453" s="3" t="s">
        <v>58</v>
      </c>
      <c r="H453" s="3" t="s">
        <v>59</v>
      </c>
      <c r="I453" s="3" t="s">
        <v>60</v>
      </c>
      <c r="J453" s="3" t="s">
        <v>61</v>
      </c>
      <c r="K453" s="3" t="s">
        <v>62</v>
      </c>
      <c r="L453" s="3" t="s">
        <v>63</v>
      </c>
      <c r="M453" s="3" t="s">
        <v>681</v>
      </c>
      <c r="N453" s="3" t="s">
        <v>682</v>
      </c>
      <c r="O453" s="3" t="s">
        <v>743</v>
      </c>
      <c r="P453" s="3" t="s">
        <v>744</v>
      </c>
      <c r="Q453" s="3" t="s">
        <v>749</v>
      </c>
      <c r="R453" s="3" t="s">
        <v>750</v>
      </c>
      <c r="S453" s="3" t="s">
        <v>199</v>
      </c>
      <c r="T453" s="3" t="s">
        <v>751</v>
      </c>
      <c r="U453" s="3" t="s">
        <v>54</v>
      </c>
      <c r="V453" s="3" t="s">
        <v>72</v>
      </c>
      <c r="W453" s="3" t="s">
        <v>73</v>
      </c>
      <c r="X453" s="3" t="s">
        <v>74</v>
      </c>
      <c r="Y453" s="3" t="s">
        <v>75</v>
      </c>
      <c r="Z453" s="3" t="s">
        <v>76</v>
      </c>
      <c r="AA453" s="3" t="s">
        <v>757</v>
      </c>
      <c r="AB453" s="4">
        <v>3000000</v>
      </c>
      <c r="AC453" s="4">
        <v>0</v>
      </c>
      <c r="AD453" s="4">
        <v>0</v>
      </c>
      <c r="AE453" s="4">
        <v>3000000</v>
      </c>
      <c r="AF453" s="4">
        <v>0</v>
      </c>
      <c r="AG453" s="4">
        <v>0</v>
      </c>
      <c r="AH453" s="4">
        <v>0</v>
      </c>
      <c r="AI453" s="4">
        <v>0</v>
      </c>
      <c r="AJ453" s="4">
        <v>0</v>
      </c>
      <c r="AK453" s="4">
        <v>0</v>
      </c>
      <c r="AL453" s="4">
        <v>0</v>
      </c>
      <c r="AM453" s="4">
        <v>0</v>
      </c>
      <c r="AN453" s="4">
        <v>0</v>
      </c>
      <c r="AO453" s="4">
        <v>0</v>
      </c>
      <c r="AP453" s="4">
        <v>0</v>
      </c>
      <c r="AQ453" s="4">
        <v>3000000</v>
      </c>
      <c r="AR453" s="4">
        <v>199700</v>
      </c>
      <c r="AS453" s="4">
        <v>199700</v>
      </c>
      <c r="AT453" s="4">
        <v>0</v>
      </c>
      <c r="AU453" s="4">
        <v>0</v>
      </c>
      <c r="AV453" s="4">
        <v>0</v>
      </c>
      <c r="AW453" s="4">
        <v>0</v>
      </c>
      <c r="AX453" s="4">
        <v>2800300</v>
      </c>
      <c r="AY453" s="4">
        <v>2800300</v>
      </c>
    </row>
    <row r="454" spans="1:51">
      <c r="A454" s="3" t="s">
        <v>52</v>
      </c>
      <c r="B454" s="3" t="s">
        <v>53</v>
      </c>
      <c r="C454" s="3" t="s">
        <v>54</v>
      </c>
      <c r="D454" s="3" t="s">
        <v>55</v>
      </c>
      <c r="E454" s="3" t="s">
        <v>56</v>
      </c>
      <c r="F454" s="3" t="s">
        <v>57</v>
      </c>
      <c r="G454" s="3" t="s">
        <v>58</v>
      </c>
      <c r="H454" s="3" t="s">
        <v>59</v>
      </c>
      <c r="I454" s="3" t="s">
        <v>60</v>
      </c>
      <c r="J454" s="3" t="s">
        <v>61</v>
      </c>
      <c r="K454" s="3" t="s">
        <v>62</v>
      </c>
      <c r="L454" s="3" t="s">
        <v>63</v>
      </c>
      <c r="M454" s="3" t="s">
        <v>681</v>
      </c>
      <c r="N454" s="3" t="s">
        <v>682</v>
      </c>
      <c r="O454" s="3" t="s">
        <v>743</v>
      </c>
      <c r="P454" s="3" t="s">
        <v>744</v>
      </c>
      <c r="Q454" s="3" t="s">
        <v>749</v>
      </c>
      <c r="R454" s="3" t="s">
        <v>750</v>
      </c>
      <c r="S454" s="3" t="s">
        <v>199</v>
      </c>
      <c r="T454" s="3" t="s">
        <v>751</v>
      </c>
      <c r="U454" s="3" t="s">
        <v>191</v>
      </c>
      <c r="V454" s="3" t="s">
        <v>192</v>
      </c>
      <c r="W454" s="3" t="s">
        <v>193</v>
      </c>
      <c r="X454" s="3" t="s">
        <v>192</v>
      </c>
      <c r="Y454" s="3" t="s">
        <v>194</v>
      </c>
      <c r="Z454" s="3" t="s">
        <v>192</v>
      </c>
      <c r="AA454" s="3" t="s">
        <v>758</v>
      </c>
      <c r="AB454" s="4">
        <v>2000000</v>
      </c>
      <c r="AC454" s="4">
        <v>0</v>
      </c>
      <c r="AD454" s="4">
        <v>0</v>
      </c>
      <c r="AE454" s="4">
        <v>2000000</v>
      </c>
      <c r="AF454" s="4">
        <v>0</v>
      </c>
      <c r="AG454" s="4">
        <v>0</v>
      </c>
      <c r="AH454" s="4">
        <v>0</v>
      </c>
      <c r="AI454" s="4">
        <v>0</v>
      </c>
      <c r="AJ454" s="4">
        <v>0</v>
      </c>
      <c r="AK454" s="4">
        <v>0</v>
      </c>
      <c r="AL454" s="4">
        <v>0</v>
      </c>
      <c r="AM454" s="4">
        <v>0</v>
      </c>
      <c r="AN454" s="4">
        <v>0</v>
      </c>
      <c r="AO454" s="4">
        <v>0</v>
      </c>
      <c r="AP454" s="4">
        <v>0</v>
      </c>
      <c r="AQ454" s="4">
        <v>2000000</v>
      </c>
      <c r="AR454" s="4">
        <v>1985500</v>
      </c>
      <c r="AS454" s="4">
        <v>1985500</v>
      </c>
      <c r="AT454" s="4">
        <v>0</v>
      </c>
      <c r="AU454" s="4">
        <v>0</v>
      </c>
      <c r="AV454" s="4">
        <v>0</v>
      </c>
      <c r="AW454" s="4">
        <v>0</v>
      </c>
      <c r="AX454" s="4">
        <v>14500</v>
      </c>
      <c r="AY454" s="4">
        <v>14500</v>
      </c>
    </row>
    <row r="455" spans="1:51">
      <c r="A455" s="3" t="s">
        <v>52</v>
      </c>
      <c r="B455" s="3" t="s">
        <v>53</v>
      </c>
      <c r="C455" s="3" t="s">
        <v>54</v>
      </c>
      <c r="D455" s="3" t="s">
        <v>55</v>
      </c>
      <c r="E455" s="3" t="s">
        <v>56</v>
      </c>
      <c r="F455" s="3" t="s">
        <v>57</v>
      </c>
      <c r="G455" s="3" t="s">
        <v>58</v>
      </c>
      <c r="H455" s="3" t="s">
        <v>59</v>
      </c>
      <c r="I455" s="3" t="s">
        <v>60</v>
      </c>
      <c r="J455" s="3" t="s">
        <v>61</v>
      </c>
      <c r="K455" s="3" t="s">
        <v>62</v>
      </c>
      <c r="L455" s="3" t="s">
        <v>63</v>
      </c>
      <c r="M455" s="3" t="s">
        <v>681</v>
      </c>
      <c r="N455" s="3" t="s">
        <v>682</v>
      </c>
      <c r="O455" s="3" t="s">
        <v>743</v>
      </c>
      <c r="P455" s="3" t="s">
        <v>744</v>
      </c>
      <c r="Q455" s="3" t="s">
        <v>749</v>
      </c>
      <c r="R455" s="3" t="s">
        <v>750</v>
      </c>
      <c r="S455" s="3" t="s">
        <v>199</v>
      </c>
      <c r="T455" s="3" t="s">
        <v>751</v>
      </c>
      <c r="U455" s="3" t="s">
        <v>191</v>
      </c>
      <c r="V455" s="3" t="s">
        <v>192</v>
      </c>
      <c r="W455" s="3" t="s">
        <v>193</v>
      </c>
      <c r="X455" s="3" t="s">
        <v>192</v>
      </c>
      <c r="Y455" s="3" t="s">
        <v>194</v>
      </c>
      <c r="Z455" s="3" t="s">
        <v>192</v>
      </c>
      <c r="AA455" s="3" t="s">
        <v>759</v>
      </c>
      <c r="AB455" s="4">
        <v>7500000</v>
      </c>
      <c r="AC455" s="4">
        <v>0</v>
      </c>
      <c r="AD455" s="4">
        <v>0</v>
      </c>
      <c r="AE455" s="4">
        <v>7500000</v>
      </c>
      <c r="AF455" s="4">
        <v>0</v>
      </c>
      <c r="AG455" s="4">
        <v>0</v>
      </c>
      <c r="AH455" s="4">
        <v>0</v>
      </c>
      <c r="AI455" s="4">
        <v>0</v>
      </c>
      <c r="AJ455" s="4">
        <v>0</v>
      </c>
      <c r="AK455" s="4">
        <v>0</v>
      </c>
      <c r="AL455" s="4">
        <v>0</v>
      </c>
      <c r="AM455" s="4">
        <v>0</v>
      </c>
      <c r="AN455" s="4">
        <v>0</v>
      </c>
      <c r="AO455" s="4">
        <v>0</v>
      </c>
      <c r="AP455" s="4">
        <v>0</v>
      </c>
      <c r="AQ455" s="4">
        <v>7500000</v>
      </c>
      <c r="AR455" s="4">
        <v>0</v>
      </c>
      <c r="AS455" s="4">
        <v>0</v>
      </c>
      <c r="AT455" s="4">
        <v>0</v>
      </c>
      <c r="AU455" s="4">
        <v>0</v>
      </c>
      <c r="AV455" s="4">
        <v>0</v>
      </c>
      <c r="AW455" s="4">
        <v>0</v>
      </c>
      <c r="AX455" s="4">
        <v>7500000</v>
      </c>
      <c r="AY455" s="4">
        <v>7500000</v>
      </c>
    </row>
    <row r="456" spans="1:51">
      <c r="A456" s="3" t="s">
        <v>52</v>
      </c>
      <c r="B456" s="3" t="s">
        <v>53</v>
      </c>
      <c r="C456" s="3" t="s">
        <v>54</v>
      </c>
      <c r="D456" s="3" t="s">
        <v>55</v>
      </c>
      <c r="E456" s="3" t="s">
        <v>56</v>
      </c>
      <c r="F456" s="3" t="s">
        <v>57</v>
      </c>
      <c r="G456" s="3" t="s">
        <v>58</v>
      </c>
      <c r="H456" s="3" t="s">
        <v>59</v>
      </c>
      <c r="I456" s="3" t="s">
        <v>60</v>
      </c>
      <c r="J456" s="3" t="s">
        <v>61</v>
      </c>
      <c r="K456" s="3" t="s">
        <v>62</v>
      </c>
      <c r="L456" s="3" t="s">
        <v>63</v>
      </c>
      <c r="M456" s="3" t="s">
        <v>681</v>
      </c>
      <c r="N456" s="3" t="s">
        <v>682</v>
      </c>
      <c r="O456" s="3" t="s">
        <v>760</v>
      </c>
      <c r="P456" s="3" t="s">
        <v>761</v>
      </c>
      <c r="Q456" s="3" t="s">
        <v>762</v>
      </c>
      <c r="R456" s="3" t="s">
        <v>763</v>
      </c>
      <c r="S456" s="3" t="s">
        <v>140</v>
      </c>
      <c r="T456" s="3" t="s">
        <v>764</v>
      </c>
      <c r="U456" s="3" t="s">
        <v>54</v>
      </c>
      <c r="V456" s="3" t="s">
        <v>72</v>
      </c>
      <c r="W456" s="3" t="s">
        <v>73</v>
      </c>
      <c r="X456" s="3" t="s">
        <v>74</v>
      </c>
      <c r="Y456" s="3" t="s">
        <v>75</v>
      </c>
      <c r="Z456" s="3" t="s">
        <v>76</v>
      </c>
      <c r="AA456" s="3" t="s">
        <v>765</v>
      </c>
      <c r="AB456" s="4">
        <v>0</v>
      </c>
      <c r="AC456" s="4">
        <v>0</v>
      </c>
      <c r="AD456" s="4">
        <v>50000000</v>
      </c>
      <c r="AE456" s="4">
        <v>50000000</v>
      </c>
      <c r="AF456" s="4">
        <v>0</v>
      </c>
      <c r="AG456" s="4">
        <v>0</v>
      </c>
      <c r="AH456" s="4">
        <v>0</v>
      </c>
      <c r="AI456" s="4">
        <v>0</v>
      </c>
      <c r="AJ456" s="4">
        <v>0</v>
      </c>
      <c r="AK456" s="4">
        <v>0</v>
      </c>
      <c r="AL456" s="4">
        <v>0</v>
      </c>
      <c r="AM456" s="4">
        <v>0</v>
      </c>
      <c r="AN456" s="4">
        <v>0</v>
      </c>
      <c r="AO456" s="4">
        <v>0</v>
      </c>
      <c r="AP456" s="4">
        <v>0</v>
      </c>
      <c r="AQ456" s="4">
        <v>50000000</v>
      </c>
      <c r="AR456" s="4">
        <v>0</v>
      </c>
      <c r="AS456" s="4">
        <v>0</v>
      </c>
      <c r="AT456" s="4">
        <v>0</v>
      </c>
      <c r="AU456" s="4">
        <v>0</v>
      </c>
      <c r="AV456" s="4">
        <v>0</v>
      </c>
      <c r="AW456" s="4">
        <v>0</v>
      </c>
      <c r="AX456" s="4">
        <v>50000000</v>
      </c>
      <c r="AY456" s="4">
        <v>50000000</v>
      </c>
    </row>
    <row r="457" spans="1:51">
      <c r="A457" s="3" t="s">
        <v>52</v>
      </c>
      <c r="B457" s="3" t="s">
        <v>53</v>
      </c>
      <c r="C457" s="3" t="s">
        <v>54</v>
      </c>
      <c r="D457" s="3" t="s">
        <v>55</v>
      </c>
      <c r="E457" s="3" t="s">
        <v>56</v>
      </c>
      <c r="F457" s="3" t="s">
        <v>57</v>
      </c>
      <c r="G457" s="3" t="s">
        <v>58</v>
      </c>
      <c r="H457" s="3" t="s">
        <v>59</v>
      </c>
      <c r="I457" s="3" t="s">
        <v>60</v>
      </c>
      <c r="J457" s="3" t="s">
        <v>61</v>
      </c>
      <c r="K457" s="3" t="s">
        <v>62</v>
      </c>
      <c r="L457" s="3" t="s">
        <v>63</v>
      </c>
      <c r="M457" s="3" t="s">
        <v>681</v>
      </c>
      <c r="N457" s="3" t="s">
        <v>682</v>
      </c>
      <c r="O457" s="3" t="s">
        <v>760</v>
      </c>
      <c r="P457" s="3" t="s">
        <v>761</v>
      </c>
      <c r="Q457" s="3" t="s">
        <v>762</v>
      </c>
      <c r="R457" s="3" t="s">
        <v>763</v>
      </c>
      <c r="S457" s="3" t="s">
        <v>140</v>
      </c>
      <c r="T457" s="3" t="s">
        <v>764</v>
      </c>
      <c r="U457" s="3" t="s">
        <v>191</v>
      </c>
      <c r="V457" s="3" t="s">
        <v>192</v>
      </c>
      <c r="W457" s="3" t="s">
        <v>193</v>
      </c>
      <c r="X457" s="3" t="s">
        <v>192</v>
      </c>
      <c r="Y457" s="3" t="s">
        <v>194</v>
      </c>
      <c r="Z457" s="3" t="s">
        <v>192</v>
      </c>
      <c r="AA457" s="3" t="s">
        <v>766</v>
      </c>
      <c r="AB457" s="4">
        <v>0</v>
      </c>
      <c r="AC457" s="4">
        <v>0</v>
      </c>
      <c r="AD457" s="4">
        <v>100000000</v>
      </c>
      <c r="AE457" s="4">
        <v>100000000</v>
      </c>
      <c r="AF457" s="4">
        <v>0</v>
      </c>
      <c r="AG457" s="4">
        <v>0</v>
      </c>
      <c r="AH457" s="4">
        <v>0</v>
      </c>
      <c r="AI457" s="4">
        <v>0</v>
      </c>
      <c r="AJ457" s="4">
        <v>0</v>
      </c>
      <c r="AK457" s="4">
        <v>0</v>
      </c>
      <c r="AL457" s="4">
        <v>0</v>
      </c>
      <c r="AM457" s="4">
        <v>0</v>
      </c>
      <c r="AN457" s="4">
        <v>0</v>
      </c>
      <c r="AO457" s="4">
        <v>0</v>
      </c>
      <c r="AP457" s="4">
        <v>0</v>
      </c>
      <c r="AQ457" s="4">
        <v>100000000</v>
      </c>
      <c r="AR457" s="4">
        <v>0</v>
      </c>
      <c r="AS457" s="4">
        <v>0</v>
      </c>
      <c r="AT457" s="4">
        <v>0</v>
      </c>
      <c r="AU457" s="4">
        <v>0</v>
      </c>
      <c r="AV457" s="4">
        <v>0</v>
      </c>
      <c r="AW457" s="4">
        <v>0</v>
      </c>
      <c r="AX457" s="4">
        <v>100000000</v>
      </c>
      <c r="AY457" s="4">
        <v>100000000</v>
      </c>
    </row>
    <row r="458" spans="1:51">
      <c r="A458" s="3" t="s">
        <v>52</v>
      </c>
      <c r="B458" s="3" t="s">
        <v>53</v>
      </c>
      <c r="C458" s="3" t="s">
        <v>54</v>
      </c>
      <c r="D458" s="3" t="s">
        <v>55</v>
      </c>
      <c r="E458" s="3" t="s">
        <v>56</v>
      </c>
      <c r="F458" s="3" t="s">
        <v>57</v>
      </c>
      <c r="G458" s="3" t="s">
        <v>58</v>
      </c>
      <c r="H458" s="3" t="s">
        <v>59</v>
      </c>
      <c r="I458" s="3" t="s">
        <v>60</v>
      </c>
      <c r="J458" s="3" t="s">
        <v>61</v>
      </c>
      <c r="K458" s="3" t="s">
        <v>62</v>
      </c>
      <c r="L458" s="3" t="s">
        <v>63</v>
      </c>
      <c r="M458" s="3" t="s">
        <v>681</v>
      </c>
      <c r="N458" s="3" t="s">
        <v>682</v>
      </c>
      <c r="O458" s="3" t="s">
        <v>767</v>
      </c>
      <c r="P458" s="3" t="s">
        <v>768</v>
      </c>
      <c r="Q458" s="3" t="s">
        <v>769</v>
      </c>
      <c r="R458" s="3" t="s">
        <v>770</v>
      </c>
      <c r="S458" s="3" t="s">
        <v>771</v>
      </c>
      <c r="T458" s="3" t="s">
        <v>772</v>
      </c>
      <c r="U458" s="3" t="s">
        <v>54</v>
      </c>
      <c r="V458" s="3" t="s">
        <v>72</v>
      </c>
      <c r="W458" s="3" t="s">
        <v>94</v>
      </c>
      <c r="X458" s="3" t="s">
        <v>95</v>
      </c>
      <c r="Y458" s="3" t="s">
        <v>96</v>
      </c>
      <c r="Z458" s="3" t="s">
        <v>95</v>
      </c>
      <c r="AA458" s="3" t="s">
        <v>773</v>
      </c>
      <c r="AB458" s="4">
        <v>500000</v>
      </c>
      <c r="AC458" s="4">
        <v>0</v>
      </c>
      <c r="AD458" s="4">
        <v>0</v>
      </c>
      <c r="AE458" s="4">
        <v>500000</v>
      </c>
      <c r="AF458" s="4">
        <v>0</v>
      </c>
      <c r="AG458" s="4">
        <v>0</v>
      </c>
      <c r="AH458" s="4">
        <v>0</v>
      </c>
      <c r="AI458" s="4">
        <v>0</v>
      </c>
      <c r="AJ458" s="4">
        <v>0</v>
      </c>
      <c r="AK458" s="4">
        <v>0</v>
      </c>
      <c r="AL458" s="4">
        <v>0</v>
      </c>
      <c r="AM458" s="4">
        <v>0</v>
      </c>
      <c r="AN458" s="4">
        <v>0</v>
      </c>
      <c r="AO458" s="4">
        <v>0</v>
      </c>
      <c r="AP458" s="4">
        <v>0</v>
      </c>
      <c r="AQ458" s="4">
        <v>500000</v>
      </c>
      <c r="AR458" s="4">
        <v>385000</v>
      </c>
      <c r="AS458" s="4">
        <v>385000</v>
      </c>
      <c r="AT458" s="4">
        <v>0</v>
      </c>
      <c r="AU458" s="4">
        <v>0</v>
      </c>
      <c r="AV458" s="4">
        <v>0</v>
      </c>
      <c r="AW458" s="4">
        <v>0</v>
      </c>
      <c r="AX458" s="4">
        <v>115000</v>
      </c>
      <c r="AY458" s="4">
        <v>115000</v>
      </c>
    </row>
    <row r="459" spans="1:51">
      <c r="A459" s="3" t="s">
        <v>52</v>
      </c>
      <c r="B459" s="3" t="s">
        <v>53</v>
      </c>
      <c r="C459" s="3" t="s">
        <v>54</v>
      </c>
      <c r="D459" s="3" t="s">
        <v>55</v>
      </c>
      <c r="E459" s="3" t="s">
        <v>56</v>
      </c>
      <c r="F459" s="3" t="s">
        <v>57</v>
      </c>
      <c r="G459" s="3" t="s">
        <v>58</v>
      </c>
      <c r="H459" s="3" t="s">
        <v>59</v>
      </c>
      <c r="I459" s="3" t="s">
        <v>60</v>
      </c>
      <c r="J459" s="3" t="s">
        <v>61</v>
      </c>
      <c r="K459" s="3" t="s">
        <v>62</v>
      </c>
      <c r="L459" s="3" t="s">
        <v>63</v>
      </c>
      <c r="M459" s="3" t="s">
        <v>681</v>
      </c>
      <c r="N459" s="3" t="s">
        <v>682</v>
      </c>
      <c r="O459" s="3" t="s">
        <v>767</v>
      </c>
      <c r="P459" s="3" t="s">
        <v>768</v>
      </c>
      <c r="Q459" s="3" t="s">
        <v>769</v>
      </c>
      <c r="R459" s="3" t="s">
        <v>770</v>
      </c>
      <c r="S459" s="3" t="s">
        <v>774</v>
      </c>
      <c r="T459" s="3" t="s">
        <v>775</v>
      </c>
      <c r="U459" s="3" t="s">
        <v>130</v>
      </c>
      <c r="V459" s="3" t="s">
        <v>131</v>
      </c>
      <c r="W459" s="3" t="s">
        <v>234</v>
      </c>
      <c r="X459" s="3" t="s">
        <v>149</v>
      </c>
      <c r="Y459" s="3" t="s">
        <v>235</v>
      </c>
      <c r="Z459" s="3" t="s">
        <v>149</v>
      </c>
      <c r="AA459" s="3" t="s">
        <v>776</v>
      </c>
      <c r="AB459" s="4">
        <v>2000000</v>
      </c>
      <c r="AC459" s="4">
        <v>0</v>
      </c>
      <c r="AD459" s="4">
        <v>0</v>
      </c>
      <c r="AE459" s="4">
        <v>2000000</v>
      </c>
      <c r="AF459" s="4">
        <v>0</v>
      </c>
      <c r="AG459" s="4">
        <v>0</v>
      </c>
      <c r="AH459" s="4">
        <v>0</v>
      </c>
      <c r="AI459" s="4">
        <v>0</v>
      </c>
      <c r="AJ459" s="4">
        <v>0</v>
      </c>
      <c r="AK459" s="4">
        <v>0</v>
      </c>
      <c r="AL459" s="4">
        <v>0</v>
      </c>
      <c r="AM459" s="4">
        <v>0</v>
      </c>
      <c r="AN459" s="4">
        <v>0</v>
      </c>
      <c r="AO459" s="4">
        <v>0</v>
      </c>
      <c r="AP459" s="4">
        <v>0</v>
      </c>
      <c r="AQ459" s="4">
        <v>2000000</v>
      </c>
      <c r="AR459" s="4">
        <v>0</v>
      </c>
      <c r="AS459" s="4">
        <v>0</v>
      </c>
      <c r="AT459" s="4">
        <v>0</v>
      </c>
      <c r="AU459" s="4">
        <v>0</v>
      </c>
      <c r="AV459" s="4">
        <v>0</v>
      </c>
      <c r="AW459" s="4">
        <v>0</v>
      </c>
      <c r="AX459" s="4">
        <v>2000000</v>
      </c>
      <c r="AY459" s="4">
        <v>2000000</v>
      </c>
    </row>
    <row r="460" spans="1:51">
      <c r="A460" s="3" t="s">
        <v>52</v>
      </c>
      <c r="B460" s="3" t="s">
        <v>53</v>
      </c>
      <c r="C460" s="3" t="s">
        <v>54</v>
      </c>
      <c r="D460" s="3" t="s">
        <v>55</v>
      </c>
      <c r="E460" s="3" t="s">
        <v>56</v>
      </c>
      <c r="F460" s="3" t="s">
        <v>57</v>
      </c>
      <c r="G460" s="3" t="s">
        <v>58</v>
      </c>
      <c r="H460" s="3" t="s">
        <v>59</v>
      </c>
      <c r="I460" s="3" t="s">
        <v>60</v>
      </c>
      <c r="J460" s="3" t="s">
        <v>61</v>
      </c>
      <c r="K460" s="3" t="s">
        <v>62</v>
      </c>
      <c r="L460" s="3" t="s">
        <v>63</v>
      </c>
      <c r="M460" s="3" t="s">
        <v>681</v>
      </c>
      <c r="N460" s="3" t="s">
        <v>682</v>
      </c>
      <c r="O460" s="3" t="s">
        <v>767</v>
      </c>
      <c r="P460" s="3" t="s">
        <v>768</v>
      </c>
      <c r="Q460" s="3" t="s">
        <v>769</v>
      </c>
      <c r="R460" s="3" t="s">
        <v>770</v>
      </c>
      <c r="S460" s="3" t="s">
        <v>102</v>
      </c>
      <c r="T460" s="3" t="s">
        <v>777</v>
      </c>
      <c r="U460" s="3" t="s">
        <v>54</v>
      </c>
      <c r="V460" s="3" t="s">
        <v>72</v>
      </c>
      <c r="W460" s="3" t="s">
        <v>73</v>
      </c>
      <c r="X460" s="3" t="s">
        <v>74</v>
      </c>
      <c r="Y460" s="3" t="s">
        <v>78</v>
      </c>
      <c r="Z460" s="3" t="s">
        <v>79</v>
      </c>
      <c r="AA460" s="3" t="s">
        <v>351</v>
      </c>
      <c r="AB460" s="4">
        <v>800000</v>
      </c>
      <c r="AC460" s="4">
        <v>0</v>
      </c>
      <c r="AD460" s="4">
        <v>0</v>
      </c>
      <c r="AE460" s="4">
        <v>800000</v>
      </c>
      <c r="AF460" s="4">
        <v>0</v>
      </c>
      <c r="AG460" s="4">
        <v>0</v>
      </c>
      <c r="AH460" s="4">
        <v>0</v>
      </c>
      <c r="AI460" s="4">
        <v>0</v>
      </c>
      <c r="AJ460" s="4">
        <v>0</v>
      </c>
      <c r="AK460" s="4">
        <v>0</v>
      </c>
      <c r="AL460" s="4">
        <v>0</v>
      </c>
      <c r="AM460" s="4">
        <v>0</v>
      </c>
      <c r="AN460" s="4">
        <v>0</v>
      </c>
      <c r="AO460" s="4">
        <v>0</v>
      </c>
      <c r="AP460" s="4">
        <v>0</v>
      </c>
      <c r="AQ460" s="4">
        <v>800000</v>
      </c>
      <c r="AR460" s="4">
        <v>0</v>
      </c>
      <c r="AS460" s="4">
        <v>0</v>
      </c>
      <c r="AT460" s="4">
        <v>0</v>
      </c>
      <c r="AU460" s="4">
        <v>0</v>
      </c>
      <c r="AV460" s="4">
        <v>0</v>
      </c>
      <c r="AW460" s="4">
        <v>0</v>
      </c>
      <c r="AX460" s="4">
        <v>800000</v>
      </c>
      <c r="AY460" s="4">
        <v>800000</v>
      </c>
    </row>
    <row r="461" spans="1:51">
      <c r="A461" s="3" t="s">
        <v>52</v>
      </c>
      <c r="B461" s="3" t="s">
        <v>53</v>
      </c>
      <c r="C461" s="3" t="s">
        <v>54</v>
      </c>
      <c r="D461" s="3" t="s">
        <v>55</v>
      </c>
      <c r="E461" s="3" t="s">
        <v>56</v>
      </c>
      <c r="F461" s="3" t="s">
        <v>57</v>
      </c>
      <c r="G461" s="3" t="s">
        <v>58</v>
      </c>
      <c r="H461" s="3" t="s">
        <v>59</v>
      </c>
      <c r="I461" s="3" t="s">
        <v>60</v>
      </c>
      <c r="J461" s="3" t="s">
        <v>61</v>
      </c>
      <c r="K461" s="3" t="s">
        <v>62</v>
      </c>
      <c r="L461" s="3" t="s">
        <v>63</v>
      </c>
      <c r="M461" s="3" t="s">
        <v>681</v>
      </c>
      <c r="N461" s="3" t="s">
        <v>682</v>
      </c>
      <c r="O461" s="3" t="s">
        <v>767</v>
      </c>
      <c r="P461" s="3" t="s">
        <v>768</v>
      </c>
      <c r="Q461" s="3" t="s">
        <v>769</v>
      </c>
      <c r="R461" s="3" t="s">
        <v>770</v>
      </c>
      <c r="S461" s="3" t="s">
        <v>102</v>
      </c>
      <c r="T461" s="3" t="s">
        <v>777</v>
      </c>
      <c r="U461" s="3" t="s">
        <v>54</v>
      </c>
      <c r="V461" s="3" t="s">
        <v>72</v>
      </c>
      <c r="W461" s="3" t="s">
        <v>94</v>
      </c>
      <c r="X461" s="3" t="s">
        <v>95</v>
      </c>
      <c r="Y461" s="3" t="s">
        <v>96</v>
      </c>
      <c r="Z461" s="3" t="s">
        <v>95</v>
      </c>
      <c r="AA461" s="3" t="s">
        <v>778</v>
      </c>
      <c r="AB461" s="4">
        <v>1200000</v>
      </c>
      <c r="AC461" s="4">
        <v>0</v>
      </c>
      <c r="AD461" s="4">
        <v>0</v>
      </c>
      <c r="AE461" s="4">
        <v>1200000</v>
      </c>
      <c r="AF461" s="4">
        <v>0</v>
      </c>
      <c r="AG461" s="4">
        <v>0</v>
      </c>
      <c r="AH461" s="4">
        <v>0</v>
      </c>
      <c r="AI461" s="4">
        <v>0</v>
      </c>
      <c r="AJ461" s="4">
        <v>0</v>
      </c>
      <c r="AK461" s="4">
        <v>0</v>
      </c>
      <c r="AL461" s="4">
        <v>0</v>
      </c>
      <c r="AM461" s="4">
        <v>0</v>
      </c>
      <c r="AN461" s="4">
        <v>0</v>
      </c>
      <c r="AO461" s="4">
        <v>0</v>
      </c>
      <c r="AP461" s="4">
        <v>0</v>
      </c>
      <c r="AQ461" s="4">
        <v>1200000</v>
      </c>
      <c r="AR461" s="4">
        <v>657800</v>
      </c>
      <c r="AS461" s="4">
        <v>657800</v>
      </c>
      <c r="AT461" s="4">
        <v>0</v>
      </c>
      <c r="AU461" s="4">
        <v>0</v>
      </c>
      <c r="AV461" s="4">
        <v>0</v>
      </c>
      <c r="AW461" s="4">
        <v>0</v>
      </c>
      <c r="AX461" s="4">
        <v>542200</v>
      </c>
      <c r="AY461" s="4">
        <v>542200</v>
      </c>
    </row>
    <row r="462" spans="1:51">
      <c r="A462" s="3" t="s">
        <v>52</v>
      </c>
      <c r="B462" s="3" t="s">
        <v>53</v>
      </c>
      <c r="C462" s="3" t="s">
        <v>54</v>
      </c>
      <c r="D462" s="3" t="s">
        <v>55</v>
      </c>
      <c r="E462" s="3" t="s">
        <v>56</v>
      </c>
      <c r="F462" s="3" t="s">
        <v>57</v>
      </c>
      <c r="G462" s="3" t="s">
        <v>58</v>
      </c>
      <c r="H462" s="3" t="s">
        <v>59</v>
      </c>
      <c r="I462" s="3" t="s">
        <v>60</v>
      </c>
      <c r="J462" s="3" t="s">
        <v>61</v>
      </c>
      <c r="K462" s="3" t="s">
        <v>62</v>
      </c>
      <c r="L462" s="3" t="s">
        <v>63</v>
      </c>
      <c r="M462" s="3" t="s">
        <v>681</v>
      </c>
      <c r="N462" s="3" t="s">
        <v>682</v>
      </c>
      <c r="O462" s="3" t="s">
        <v>767</v>
      </c>
      <c r="P462" s="3" t="s">
        <v>768</v>
      </c>
      <c r="Q462" s="3" t="s">
        <v>769</v>
      </c>
      <c r="R462" s="3" t="s">
        <v>770</v>
      </c>
      <c r="S462" s="3" t="s">
        <v>128</v>
      </c>
      <c r="T462" s="3" t="s">
        <v>779</v>
      </c>
      <c r="U462" s="3" t="s">
        <v>54</v>
      </c>
      <c r="V462" s="3" t="s">
        <v>72</v>
      </c>
      <c r="W462" s="3" t="s">
        <v>94</v>
      </c>
      <c r="X462" s="3" t="s">
        <v>95</v>
      </c>
      <c r="Y462" s="3" t="s">
        <v>96</v>
      </c>
      <c r="Z462" s="3" t="s">
        <v>95</v>
      </c>
      <c r="AA462" s="3" t="s">
        <v>780</v>
      </c>
      <c r="AB462" s="4">
        <v>600000</v>
      </c>
      <c r="AC462" s="4">
        <v>0</v>
      </c>
      <c r="AD462" s="4">
        <v>0</v>
      </c>
      <c r="AE462" s="4">
        <v>600000</v>
      </c>
      <c r="AF462" s="4">
        <v>0</v>
      </c>
      <c r="AG462" s="4">
        <v>0</v>
      </c>
      <c r="AH462" s="4">
        <v>0</v>
      </c>
      <c r="AI462" s="4">
        <v>0</v>
      </c>
      <c r="AJ462" s="4">
        <v>0</v>
      </c>
      <c r="AK462" s="4">
        <v>0</v>
      </c>
      <c r="AL462" s="4">
        <v>0</v>
      </c>
      <c r="AM462" s="4">
        <v>0</v>
      </c>
      <c r="AN462" s="4">
        <v>0</v>
      </c>
      <c r="AO462" s="4">
        <v>0</v>
      </c>
      <c r="AP462" s="4">
        <v>0</v>
      </c>
      <c r="AQ462" s="4">
        <v>600000</v>
      </c>
      <c r="AR462" s="4">
        <v>0</v>
      </c>
      <c r="AS462" s="4">
        <v>0</v>
      </c>
      <c r="AT462" s="4">
        <v>0</v>
      </c>
      <c r="AU462" s="4">
        <v>0</v>
      </c>
      <c r="AV462" s="4">
        <v>0</v>
      </c>
      <c r="AW462" s="4">
        <v>0</v>
      </c>
      <c r="AX462" s="4">
        <v>600000</v>
      </c>
      <c r="AY462" s="4">
        <v>600000</v>
      </c>
    </row>
    <row r="463" spans="1:51">
      <c r="A463" s="3" t="s">
        <v>52</v>
      </c>
      <c r="B463" s="3" t="s">
        <v>53</v>
      </c>
      <c r="C463" s="3" t="s">
        <v>54</v>
      </c>
      <c r="D463" s="3" t="s">
        <v>55</v>
      </c>
      <c r="E463" s="3" t="s">
        <v>56</v>
      </c>
      <c r="F463" s="3" t="s">
        <v>57</v>
      </c>
      <c r="G463" s="3" t="s">
        <v>58</v>
      </c>
      <c r="H463" s="3" t="s">
        <v>59</v>
      </c>
      <c r="I463" s="3" t="s">
        <v>60</v>
      </c>
      <c r="J463" s="3" t="s">
        <v>61</v>
      </c>
      <c r="K463" s="3" t="s">
        <v>62</v>
      </c>
      <c r="L463" s="3" t="s">
        <v>63</v>
      </c>
      <c r="M463" s="3" t="s">
        <v>681</v>
      </c>
      <c r="N463" s="3" t="s">
        <v>682</v>
      </c>
      <c r="O463" s="3" t="s">
        <v>767</v>
      </c>
      <c r="P463" s="3" t="s">
        <v>768</v>
      </c>
      <c r="Q463" s="3" t="s">
        <v>769</v>
      </c>
      <c r="R463" s="3" t="s">
        <v>770</v>
      </c>
      <c r="S463" s="3" t="s">
        <v>128</v>
      </c>
      <c r="T463" s="3" t="s">
        <v>779</v>
      </c>
      <c r="U463" s="3" t="s">
        <v>54</v>
      </c>
      <c r="V463" s="3" t="s">
        <v>72</v>
      </c>
      <c r="W463" s="3" t="s">
        <v>94</v>
      </c>
      <c r="X463" s="3" t="s">
        <v>95</v>
      </c>
      <c r="Y463" s="3" t="s">
        <v>96</v>
      </c>
      <c r="Z463" s="3" t="s">
        <v>95</v>
      </c>
      <c r="AA463" s="3" t="s">
        <v>781</v>
      </c>
      <c r="AB463" s="4">
        <v>900000</v>
      </c>
      <c r="AC463" s="4">
        <v>0</v>
      </c>
      <c r="AD463" s="4">
        <v>0</v>
      </c>
      <c r="AE463" s="4">
        <v>900000</v>
      </c>
      <c r="AF463" s="4">
        <v>0</v>
      </c>
      <c r="AG463" s="4">
        <v>0</v>
      </c>
      <c r="AH463" s="4">
        <v>0</v>
      </c>
      <c r="AI463" s="4">
        <v>0</v>
      </c>
      <c r="AJ463" s="4">
        <v>0</v>
      </c>
      <c r="AK463" s="4">
        <v>0</v>
      </c>
      <c r="AL463" s="4">
        <v>0</v>
      </c>
      <c r="AM463" s="4">
        <v>0</v>
      </c>
      <c r="AN463" s="4">
        <v>0</v>
      </c>
      <c r="AO463" s="4">
        <v>0</v>
      </c>
      <c r="AP463" s="4">
        <v>0</v>
      </c>
      <c r="AQ463" s="4">
        <v>900000</v>
      </c>
      <c r="AR463" s="4">
        <v>413080</v>
      </c>
      <c r="AS463" s="4">
        <v>413080</v>
      </c>
      <c r="AT463" s="4">
        <v>0</v>
      </c>
      <c r="AU463" s="4">
        <v>0</v>
      </c>
      <c r="AV463" s="4">
        <v>0</v>
      </c>
      <c r="AW463" s="4">
        <v>0</v>
      </c>
      <c r="AX463" s="4">
        <v>486920</v>
      </c>
      <c r="AY463" s="4">
        <v>486920</v>
      </c>
    </row>
    <row r="464" spans="1:51">
      <c r="A464" s="3" t="s">
        <v>52</v>
      </c>
      <c r="B464" s="3" t="s">
        <v>53</v>
      </c>
      <c r="C464" s="3" t="s">
        <v>54</v>
      </c>
      <c r="D464" s="3" t="s">
        <v>55</v>
      </c>
      <c r="E464" s="3" t="s">
        <v>56</v>
      </c>
      <c r="F464" s="3" t="s">
        <v>57</v>
      </c>
      <c r="G464" s="3" t="s">
        <v>58</v>
      </c>
      <c r="H464" s="3" t="s">
        <v>59</v>
      </c>
      <c r="I464" s="3" t="s">
        <v>60</v>
      </c>
      <c r="J464" s="3" t="s">
        <v>61</v>
      </c>
      <c r="K464" s="3" t="s">
        <v>62</v>
      </c>
      <c r="L464" s="3" t="s">
        <v>63</v>
      </c>
      <c r="M464" s="3" t="s">
        <v>681</v>
      </c>
      <c r="N464" s="3" t="s">
        <v>682</v>
      </c>
      <c r="O464" s="3" t="s">
        <v>767</v>
      </c>
      <c r="P464" s="3" t="s">
        <v>768</v>
      </c>
      <c r="Q464" s="3" t="s">
        <v>782</v>
      </c>
      <c r="R464" s="3" t="s">
        <v>783</v>
      </c>
      <c r="S464" s="3" t="s">
        <v>206</v>
      </c>
      <c r="T464" s="3" t="s">
        <v>784</v>
      </c>
      <c r="U464" s="3" t="s">
        <v>54</v>
      </c>
      <c r="V464" s="3" t="s">
        <v>72</v>
      </c>
      <c r="W464" s="3" t="s">
        <v>73</v>
      </c>
      <c r="X464" s="3" t="s">
        <v>74</v>
      </c>
      <c r="Y464" s="3" t="s">
        <v>78</v>
      </c>
      <c r="Z464" s="3" t="s">
        <v>79</v>
      </c>
      <c r="AA464" s="3" t="s">
        <v>785</v>
      </c>
      <c r="AB464" s="4">
        <v>160000</v>
      </c>
      <c r="AC464" s="4">
        <v>0</v>
      </c>
      <c r="AD464" s="4">
        <v>0</v>
      </c>
      <c r="AE464" s="4">
        <v>160000</v>
      </c>
      <c r="AF464" s="4">
        <v>0</v>
      </c>
      <c r="AG464" s="4">
        <v>0</v>
      </c>
      <c r="AH464" s="4">
        <v>0</v>
      </c>
      <c r="AI464" s="4">
        <v>0</v>
      </c>
      <c r="AJ464" s="4">
        <v>0</v>
      </c>
      <c r="AK464" s="4">
        <v>0</v>
      </c>
      <c r="AL464" s="4">
        <v>0</v>
      </c>
      <c r="AM464" s="4">
        <v>0</v>
      </c>
      <c r="AN464" s="4">
        <v>0</v>
      </c>
      <c r="AO464" s="4">
        <v>0</v>
      </c>
      <c r="AP464" s="4">
        <v>0</v>
      </c>
      <c r="AQ464" s="4">
        <v>160000</v>
      </c>
      <c r="AR464" s="4">
        <v>0</v>
      </c>
      <c r="AS464" s="4">
        <v>0</v>
      </c>
      <c r="AT464" s="4">
        <v>0</v>
      </c>
      <c r="AU464" s="4">
        <v>0</v>
      </c>
      <c r="AV464" s="4">
        <v>0</v>
      </c>
      <c r="AW464" s="4">
        <v>0</v>
      </c>
      <c r="AX464" s="4">
        <v>160000</v>
      </c>
      <c r="AY464" s="4">
        <v>160000</v>
      </c>
    </row>
    <row r="465" spans="1:51">
      <c r="A465" s="3" t="s">
        <v>52</v>
      </c>
      <c r="B465" s="3" t="s">
        <v>53</v>
      </c>
      <c r="C465" s="3" t="s">
        <v>54</v>
      </c>
      <c r="D465" s="3" t="s">
        <v>55</v>
      </c>
      <c r="E465" s="3" t="s">
        <v>56</v>
      </c>
      <c r="F465" s="3" t="s">
        <v>57</v>
      </c>
      <c r="G465" s="3" t="s">
        <v>58</v>
      </c>
      <c r="H465" s="3" t="s">
        <v>59</v>
      </c>
      <c r="I465" s="3" t="s">
        <v>60</v>
      </c>
      <c r="J465" s="3" t="s">
        <v>61</v>
      </c>
      <c r="K465" s="3" t="s">
        <v>62</v>
      </c>
      <c r="L465" s="3" t="s">
        <v>63</v>
      </c>
      <c r="M465" s="3" t="s">
        <v>681</v>
      </c>
      <c r="N465" s="3" t="s">
        <v>682</v>
      </c>
      <c r="O465" s="3" t="s">
        <v>767</v>
      </c>
      <c r="P465" s="3" t="s">
        <v>768</v>
      </c>
      <c r="Q465" s="3" t="s">
        <v>782</v>
      </c>
      <c r="R465" s="3" t="s">
        <v>783</v>
      </c>
      <c r="S465" s="3" t="s">
        <v>206</v>
      </c>
      <c r="T465" s="3" t="s">
        <v>784</v>
      </c>
      <c r="U465" s="3" t="s">
        <v>54</v>
      </c>
      <c r="V465" s="3" t="s">
        <v>72</v>
      </c>
      <c r="W465" s="3" t="s">
        <v>94</v>
      </c>
      <c r="X465" s="3" t="s">
        <v>95</v>
      </c>
      <c r="Y465" s="3" t="s">
        <v>96</v>
      </c>
      <c r="Z465" s="3" t="s">
        <v>95</v>
      </c>
      <c r="AA465" s="3" t="s">
        <v>786</v>
      </c>
      <c r="AB465" s="4">
        <v>160000</v>
      </c>
      <c r="AC465" s="4">
        <v>0</v>
      </c>
      <c r="AD465" s="4">
        <v>0</v>
      </c>
      <c r="AE465" s="4">
        <v>160000</v>
      </c>
      <c r="AF465" s="4">
        <v>0</v>
      </c>
      <c r="AG465" s="4">
        <v>0</v>
      </c>
      <c r="AH465" s="4">
        <v>0</v>
      </c>
      <c r="AI465" s="4">
        <v>0</v>
      </c>
      <c r="AJ465" s="4">
        <v>0</v>
      </c>
      <c r="AK465" s="4">
        <v>0</v>
      </c>
      <c r="AL465" s="4">
        <v>0</v>
      </c>
      <c r="AM465" s="4">
        <v>0</v>
      </c>
      <c r="AN465" s="4">
        <v>0</v>
      </c>
      <c r="AO465" s="4">
        <v>0</v>
      </c>
      <c r="AP465" s="4">
        <v>0</v>
      </c>
      <c r="AQ465" s="4">
        <v>160000</v>
      </c>
      <c r="AR465" s="4">
        <v>0</v>
      </c>
      <c r="AS465" s="4">
        <v>0</v>
      </c>
      <c r="AT465" s="4">
        <v>0</v>
      </c>
      <c r="AU465" s="4">
        <v>0</v>
      </c>
      <c r="AV465" s="4">
        <v>0</v>
      </c>
      <c r="AW465" s="4">
        <v>0</v>
      </c>
      <c r="AX465" s="4">
        <v>160000</v>
      </c>
      <c r="AY465" s="4">
        <v>160000</v>
      </c>
    </row>
    <row r="466" spans="1:51">
      <c r="A466" s="3" t="s">
        <v>52</v>
      </c>
      <c r="B466" s="3" t="s">
        <v>53</v>
      </c>
      <c r="C466" s="3" t="s">
        <v>54</v>
      </c>
      <c r="D466" s="3" t="s">
        <v>55</v>
      </c>
      <c r="E466" s="3" t="s">
        <v>56</v>
      </c>
      <c r="F466" s="3" t="s">
        <v>57</v>
      </c>
      <c r="G466" s="3" t="s">
        <v>58</v>
      </c>
      <c r="H466" s="3" t="s">
        <v>59</v>
      </c>
      <c r="I466" s="3" t="s">
        <v>60</v>
      </c>
      <c r="J466" s="3" t="s">
        <v>61</v>
      </c>
      <c r="K466" s="3" t="s">
        <v>62</v>
      </c>
      <c r="L466" s="3" t="s">
        <v>63</v>
      </c>
      <c r="M466" s="3" t="s">
        <v>681</v>
      </c>
      <c r="N466" s="3" t="s">
        <v>682</v>
      </c>
      <c r="O466" s="3" t="s">
        <v>767</v>
      </c>
      <c r="P466" s="3" t="s">
        <v>768</v>
      </c>
      <c r="Q466" s="3" t="s">
        <v>782</v>
      </c>
      <c r="R466" s="3" t="s">
        <v>783</v>
      </c>
      <c r="S466" s="3" t="s">
        <v>159</v>
      </c>
      <c r="T466" s="3" t="s">
        <v>787</v>
      </c>
      <c r="U466" s="3" t="s">
        <v>54</v>
      </c>
      <c r="V466" s="3" t="s">
        <v>72</v>
      </c>
      <c r="W466" s="3" t="s">
        <v>73</v>
      </c>
      <c r="X466" s="3" t="s">
        <v>74</v>
      </c>
      <c r="Y466" s="3" t="s">
        <v>78</v>
      </c>
      <c r="Z466" s="3" t="s">
        <v>79</v>
      </c>
      <c r="AA466" s="3" t="s">
        <v>788</v>
      </c>
      <c r="AB466" s="4">
        <v>3625000</v>
      </c>
      <c r="AC466" s="4">
        <v>0</v>
      </c>
      <c r="AD466" s="4">
        <v>0</v>
      </c>
      <c r="AE466" s="4">
        <v>3625000</v>
      </c>
      <c r="AF466" s="4">
        <v>0</v>
      </c>
      <c r="AG466" s="4">
        <v>0</v>
      </c>
      <c r="AH466" s="4">
        <v>0</v>
      </c>
      <c r="AI466" s="4">
        <v>0</v>
      </c>
      <c r="AJ466" s="4">
        <v>0</v>
      </c>
      <c r="AK466" s="4">
        <v>0</v>
      </c>
      <c r="AL466" s="4">
        <v>0</v>
      </c>
      <c r="AM466" s="4">
        <v>0</v>
      </c>
      <c r="AN466" s="4">
        <v>0</v>
      </c>
      <c r="AO466" s="4">
        <v>0</v>
      </c>
      <c r="AP466" s="4">
        <v>0</v>
      </c>
      <c r="AQ466" s="4">
        <v>3625000</v>
      </c>
      <c r="AR466" s="4">
        <v>1256580</v>
      </c>
      <c r="AS466" s="4">
        <v>1256580</v>
      </c>
      <c r="AT466" s="4">
        <v>0</v>
      </c>
      <c r="AU466" s="4">
        <v>0</v>
      </c>
      <c r="AV466" s="4">
        <v>0</v>
      </c>
      <c r="AW466" s="4">
        <v>0</v>
      </c>
      <c r="AX466" s="4">
        <v>2368420</v>
      </c>
      <c r="AY466" s="4">
        <v>2368420</v>
      </c>
    </row>
    <row r="467" spans="1:51">
      <c r="A467" s="3" t="s">
        <v>52</v>
      </c>
      <c r="B467" s="3" t="s">
        <v>53</v>
      </c>
      <c r="C467" s="3" t="s">
        <v>54</v>
      </c>
      <c r="D467" s="3" t="s">
        <v>55</v>
      </c>
      <c r="E467" s="3" t="s">
        <v>56</v>
      </c>
      <c r="F467" s="3" t="s">
        <v>57</v>
      </c>
      <c r="G467" s="3" t="s">
        <v>58</v>
      </c>
      <c r="H467" s="3" t="s">
        <v>59</v>
      </c>
      <c r="I467" s="3" t="s">
        <v>60</v>
      </c>
      <c r="J467" s="3" t="s">
        <v>61</v>
      </c>
      <c r="K467" s="3" t="s">
        <v>62</v>
      </c>
      <c r="L467" s="3" t="s">
        <v>63</v>
      </c>
      <c r="M467" s="3" t="s">
        <v>681</v>
      </c>
      <c r="N467" s="3" t="s">
        <v>682</v>
      </c>
      <c r="O467" s="3" t="s">
        <v>767</v>
      </c>
      <c r="P467" s="3" t="s">
        <v>768</v>
      </c>
      <c r="Q467" s="3" t="s">
        <v>782</v>
      </c>
      <c r="R467" s="3" t="s">
        <v>783</v>
      </c>
      <c r="S467" s="3" t="s">
        <v>102</v>
      </c>
      <c r="T467" s="3" t="s">
        <v>789</v>
      </c>
      <c r="U467" s="3" t="s">
        <v>130</v>
      </c>
      <c r="V467" s="3" t="s">
        <v>131</v>
      </c>
      <c r="W467" s="3" t="s">
        <v>132</v>
      </c>
      <c r="X467" s="3" t="s">
        <v>133</v>
      </c>
      <c r="Y467" s="3" t="s">
        <v>134</v>
      </c>
      <c r="Z467" s="3" t="s">
        <v>135</v>
      </c>
      <c r="AA467" s="3" t="s">
        <v>790</v>
      </c>
      <c r="AB467" s="4">
        <v>0</v>
      </c>
      <c r="AC467" s="4">
        <v>20412000</v>
      </c>
      <c r="AD467" s="4">
        <v>16072000</v>
      </c>
      <c r="AE467" s="4">
        <v>36484000</v>
      </c>
      <c r="AF467" s="4">
        <v>4466880</v>
      </c>
      <c r="AG467" s="4">
        <v>0</v>
      </c>
      <c r="AH467" s="4">
        <v>0</v>
      </c>
      <c r="AI467" s="4">
        <v>0</v>
      </c>
      <c r="AJ467" s="4">
        <v>0</v>
      </c>
      <c r="AK467" s="4">
        <v>0</v>
      </c>
      <c r="AL467" s="4">
        <v>0</v>
      </c>
      <c r="AM467" s="4">
        <v>0</v>
      </c>
      <c r="AN467" s="4">
        <v>0</v>
      </c>
      <c r="AO467" s="4">
        <v>0</v>
      </c>
      <c r="AP467" s="4">
        <v>0</v>
      </c>
      <c r="AQ467" s="4">
        <v>40950880</v>
      </c>
      <c r="AR467" s="4">
        <v>25584630</v>
      </c>
      <c r="AS467" s="4">
        <v>25584630</v>
      </c>
      <c r="AT467" s="4">
        <v>0</v>
      </c>
      <c r="AU467" s="4">
        <v>0</v>
      </c>
      <c r="AV467" s="4">
        <v>0</v>
      </c>
      <c r="AW467" s="4">
        <v>0</v>
      </c>
      <c r="AX467" s="4">
        <v>15366250</v>
      </c>
      <c r="AY467" s="4">
        <v>15366250</v>
      </c>
    </row>
    <row r="468" spans="1:51">
      <c r="A468" s="3" t="s">
        <v>52</v>
      </c>
      <c r="B468" s="3" t="s">
        <v>53</v>
      </c>
      <c r="C468" s="3" t="s">
        <v>54</v>
      </c>
      <c r="D468" s="3" t="s">
        <v>55</v>
      </c>
      <c r="E468" s="3" t="s">
        <v>56</v>
      </c>
      <c r="F468" s="3" t="s">
        <v>57</v>
      </c>
      <c r="G468" s="3" t="s">
        <v>58</v>
      </c>
      <c r="H468" s="3" t="s">
        <v>59</v>
      </c>
      <c r="I468" s="3" t="s">
        <v>60</v>
      </c>
      <c r="J468" s="3" t="s">
        <v>61</v>
      </c>
      <c r="K468" s="3" t="s">
        <v>62</v>
      </c>
      <c r="L468" s="3" t="s">
        <v>63</v>
      </c>
      <c r="M468" s="3" t="s">
        <v>681</v>
      </c>
      <c r="N468" s="3" t="s">
        <v>682</v>
      </c>
      <c r="O468" s="3" t="s">
        <v>767</v>
      </c>
      <c r="P468" s="3" t="s">
        <v>768</v>
      </c>
      <c r="Q468" s="3" t="s">
        <v>782</v>
      </c>
      <c r="R468" s="3" t="s">
        <v>783</v>
      </c>
      <c r="S468" s="3" t="s">
        <v>102</v>
      </c>
      <c r="T468" s="3" t="s">
        <v>789</v>
      </c>
      <c r="U468" s="3" t="s">
        <v>54</v>
      </c>
      <c r="V468" s="3" t="s">
        <v>72</v>
      </c>
      <c r="W468" s="3" t="s">
        <v>73</v>
      </c>
      <c r="X468" s="3" t="s">
        <v>74</v>
      </c>
      <c r="Y468" s="3" t="s">
        <v>75</v>
      </c>
      <c r="Z468" s="3" t="s">
        <v>76</v>
      </c>
      <c r="AA468" s="3" t="s">
        <v>791</v>
      </c>
      <c r="AB468" s="4">
        <v>0</v>
      </c>
      <c r="AC468" s="4">
        <v>1018000</v>
      </c>
      <c r="AD468" s="4">
        <v>0</v>
      </c>
      <c r="AE468" s="4">
        <v>1018000</v>
      </c>
      <c r="AF468" s="4">
        <v>0</v>
      </c>
      <c r="AG468" s="4">
        <v>0</v>
      </c>
      <c r="AH468" s="4">
        <v>0</v>
      </c>
      <c r="AI468" s="4">
        <v>0</v>
      </c>
      <c r="AJ468" s="4">
        <v>0</v>
      </c>
      <c r="AK468" s="4">
        <v>0</v>
      </c>
      <c r="AL468" s="4">
        <v>0</v>
      </c>
      <c r="AM468" s="4">
        <v>0</v>
      </c>
      <c r="AN468" s="4">
        <v>0</v>
      </c>
      <c r="AO468" s="4">
        <v>0</v>
      </c>
      <c r="AP468" s="4">
        <v>0</v>
      </c>
      <c r="AQ468" s="4">
        <v>1018000</v>
      </c>
      <c r="AR468" s="4">
        <v>1018000</v>
      </c>
      <c r="AS468" s="4">
        <v>1018000</v>
      </c>
      <c r="AT468" s="4">
        <v>0</v>
      </c>
      <c r="AU468" s="4">
        <v>0</v>
      </c>
      <c r="AV468" s="4">
        <v>0</v>
      </c>
      <c r="AW468" s="4">
        <v>0</v>
      </c>
      <c r="AX468" s="4">
        <v>0</v>
      </c>
      <c r="AY468" s="4">
        <v>0</v>
      </c>
    </row>
    <row r="469" spans="1:51">
      <c r="A469" s="3" t="s">
        <v>52</v>
      </c>
      <c r="B469" s="3" t="s">
        <v>53</v>
      </c>
      <c r="C469" s="3" t="s">
        <v>54</v>
      </c>
      <c r="D469" s="3" t="s">
        <v>55</v>
      </c>
      <c r="E469" s="3" t="s">
        <v>56</v>
      </c>
      <c r="F469" s="3" t="s">
        <v>57</v>
      </c>
      <c r="G469" s="3" t="s">
        <v>58</v>
      </c>
      <c r="H469" s="3" t="s">
        <v>59</v>
      </c>
      <c r="I469" s="3" t="s">
        <v>60</v>
      </c>
      <c r="J469" s="3" t="s">
        <v>61</v>
      </c>
      <c r="K469" s="3" t="s">
        <v>62</v>
      </c>
      <c r="L469" s="3" t="s">
        <v>63</v>
      </c>
      <c r="M469" s="3" t="s">
        <v>681</v>
      </c>
      <c r="N469" s="3" t="s">
        <v>682</v>
      </c>
      <c r="O469" s="3" t="s">
        <v>767</v>
      </c>
      <c r="P469" s="3" t="s">
        <v>768</v>
      </c>
      <c r="Q469" s="3" t="s">
        <v>782</v>
      </c>
      <c r="R469" s="3" t="s">
        <v>783</v>
      </c>
      <c r="S469" s="3" t="s">
        <v>128</v>
      </c>
      <c r="T469" s="3" t="s">
        <v>792</v>
      </c>
      <c r="U469" s="3" t="s">
        <v>54</v>
      </c>
      <c r="V469" s="3" t="s">
        <v>72</v>
      </c>
      <c r="W469" s="3" t="s">
        <v>73</v>
      </c>
      <c r="X469" s="3" t="s">
        <v>74</v>
      </c>
      <c r="Y469" s="3" t="s">
        <v>78</v>
      </c>
      <c r="Z469" s="3" t="s">
        <v>79</v>
      </c>
      <c r="AA469" s="3" t="s">
        <v>793</v>
      </c>
      <c r="AB469" s="4">
        <v>0</v>
      </c>
      <c r="AC469" s="4">
        <v>200000</v>
      </c>
      <c r="AD469" s="4">
        <v>0</v>
      </c>
      <c r="AE469" s="4">
        <v>200000</v>
      </c>
      <c r="AF469" s="4">
        <v>0</v>
      </c>
      <c r="AG469" s="4">
        <v>0</v>
      </c>
      <c r="AH469" s="4">
        <v>0</v>
      </c>
      <c r="AI469" s="4">
        <v>0</v>
      </c>
      <c r="AJ469" s="4">
        <v>0</v>
      </c>
      <c r="AK469" s="4">
        <v>0</v>
      </c>
      <c r="AL469" s="4">
        <v>0</v>
      </c>
      <c r="AM469" s="4">
        <v>0</v>
      </c>
      <c r="AN469" s="4">
        <v>0</v>
      </c>
      <c r="AO469" s="4">
        <v>0</v>
      </c>
      <c r="AP469" s="4">
        <v>0</v>
      </c>
      <c r="AQ469" s="4">
        <v>200000</v>
      </c>
      <c r="AR469" s="4">
        <v>0</v>
      </c>
      <c r="AS469" s="4">
        <v>0</v>
      </c>
      <c r="AT469" s="4">
        <v>0</v>
      </c>
      <c r="AU469" s="4">
        <v>0</v>
      </c>
      <c r="AV469" s="4">
        <v>0</v>
      </c>
      <c r="AW469" s="4">
        <v>0</v>
      </c>
      <c r="AX469" s="4">
        <v>200000</v>
      </c>
      <c r="AY469" s="4">
        <v>200000</v>
      </c>
    </row>
    <row r="470" spans="1:51">
      <c r="A470" s="3" t="s">
        <v>52</v>
      </c>
      <c r="B470" s="3" t="s">
        <v>53</v>
      </c>
      <c r="C470" s="3" t="s">
        <v>54</v>
      </c>
      <c r="D470" s="3" t="s">
        <v>55</v>
      </c>
      <c r="E470" s="3" t="s">
        <v>56</v>
      </c>
      <c r="F470" s="3" t="s">
        <v>57</v>
      </c>
      <c r="G470" s="3" t="s">
        <v>58</v>
      </c>
      <c r="H470" s="3" t="s">
        <v>59</v>
      </c>
      <c r="I470" s="3" t="s">
        <v>60</v>
      </c>
      <c r="J470" s="3" t="s">
        <v>61</v>
      </c>
      <c r="K470" s="3" t="s">
        <v>62</v>
      </c>
      <c r="L470" s="3" t="s">
        <v>63</v>
      </c>
      <c r="M470" s="3" t="s">
        <v>681</v>
      </c>
      <c r="N470" s="3" t="s">
        <v>682</v>
      </c>
      <c r="O470" s="3" t="s">
        <v>767</v>
      </c>
      <c r="P470" s="3" t="s">
        <v>768</v>
      </c>
      <c r="Q470" s="3" t="s">
        <v>782</v>
      </c>
      <c r="R470" s="3" t="s">
        <v>783</v>
      </c>
      <c r="S470" s="3" t="s">
        <v>128</v>
      </c>
      <c r="T470" s="3" t="s">
        <v>792</v>
      </c>
      <c r="U470" s="3" t="s">
        <v>54</v>
      </c>
      <c r="V470" s="3" t="s">
        <v>72</v>
      </c>
      <c r="W470" s="3" t="s">
        <v>94</v>
      </c>
      <c r="X470" s="3" t="s">
        <v>95</v>
      </c>
      <c r="Y470" s="3" t="s">
        <v>96</v>
      </c>
      <c r="Z470" s="3" t="s">
        <v>95</v>
      </c>
      <c r="AA470" s="3" t="s">
        <v>794</v>
      </c>
      <c r="AB470" s="4">
        <v>0</v>
      </c>
      <c r="AC470" s="4">
        <v>4800000</v>
      </c>
      <c r="AD470" s="4">
        <v>0</v>
      </c>
      <c r="AE470" s="4">
        <v>4800000</v>
      </c>
      <c r="AF470" s="4">
        <v>0</v>
      </c>
      <c r="AG470" s="4">
        <v>0</v>
      </c>
      <c r="AH470" s="4">
        <v>0</v>
      </c>
      <c r="AI470" s="4">
        <v>0</v>
      </c>
      <c r="AJ470" s="4">
        <v>0</v>
      </c>
      <c r="AK470" s="4">
        <v>0</v>
      </c>
      <c r="AL470" s="4">
        <v>0</v>
      </c>
      <c r="AM470" s="4">
        <v>0</v>
      </c>
      <c r="AN470" s="4">
        <v>0</v>
      </c>
      <c r="AO470" s="4">
        <v>0</v>
      </c>
      <c r="AP470" s="4">
        <v>0</v>
      </c>
      <c r="AQ470" s="4">
        <v>4800000</v>
      </c>
      <c r="AR470" s="4">
        <v>4800000</v>
      </c>
      <c r="AS470" s="4">
        <v>4800000</v>
      </c>
      <c r="AT470" s="4">
        <v>0</v>
      </c>
      <c r="AU470" s="4">
        <v>0</v>
      </c>
      <c r="AV470" s="4">
        <v>0</v>
      </c>
      <c r="AW470" s="4">
        <v>0</v>
      </c>
      <c r="AX470" s="4">
        <v>0</v>
      </c>
      <c r="AY470" s="4">
        <v>0</v>
      </c>
    </row>
    <row r="471" spans="1:51">
      <c r="A471" s="3" t="s">
        <v>52</v>
      </c>
      <c r="B471" s="3" t="s">
        <v>53</v>
      </c>
      <c r="C471" s="3" t="s">
        <v>54</v>
      </c>
      <c r="D471" s="3" t="s">
        <v>55</v>
      </c>
      <c r="E471" s="3" t="s">
        <v>56</v>
      </c>
      <c r="F471" s="3" t="s">
        <v>57</v>
      </c>
      <c r="G471" s="3" t="s">
        <v>58</v>
      </c>
      <c r="H471" s="3" t="s">
        <v>59</v>
      </c>
      <c r="I471" s="3" t="s">
        <v>60</v>
      </c>
      <c r="J471" s="3" t="s">
        <v>61</v>
      </c>
      <c r="K471" s="3" t="s">
        <v>62</v>
      </c>
      <c r="L471" s="3" t="s">
        <v>63</v>
      </c>
      <c r="M471" s="3" t="s">
        <v>681</v>
      </c>
      <c r="N471" s="3" t="s">
        <v>682</v>
      </c>
      <c r="O471" s="3" t="s">
        <v>767</v>
      </c>
      <c r="P471" s="3" t="s">
        <v>768</v>
      </c>
      <c r="Q471" s="3" t="s">
        <v>795</v>
      </c>
      <c r="R471" s="3" t="s">
        <v>796</v>
      </c>
      <c r="S471" s="3" t="s">
        <v>206</v>
      </c>
      <c r="T471" s="3" t="s">
        <v>797</v>
      </c>
      <c r="U471" s="3" t="s">
        <v>54</v>
      </c>
      <c r="V471" s="3" t="s">
        <v>72</v>
      </c>
      <c r="W471" s="3" t="s">
        <v>94</v>
      </c>
      <c r="X471" s="3" t="s">
        <v>95</v>
      </c>
      <c r="Y471" s="3" t="s">
        <v>96</v>
      </c>
      <c r="Z471" s="3" t="s">
        <v>95</v>
      </c>
      <c r="AA471" s="3" t="s">
        <v>798</v>
      </c>
      <c r="AB471" s="4">
        <v>900000</v>
      </c>
      <c r="AC471" s="4">
        <v>0</v>
      </c>
      <c r="AD471" s="4">
        <v>0</v>
      </c>
      <c r="AE471" s="4">
        <v>900000</v>
      </c>
      <c r="AF471" s="4">
        <v>0</v>
      </c>
      <c r="AG471" s="4">
        <v>0</v>
      </c>
      <c r="AH471" s="4">
        <v>0</v>
      </c>
      <c r="AI471" s="4">
        <v>0</v>
      </c>
      <c r="AJ471" s="4">
        <v>0</v>
      </c>
      <c r="AK471" s="4">
        <v>0</v>
      </c>
      <c r="AL471" s="4">
        <v>0</v>
      </c>
      <c r="AM471" s="4">
        <v>0</v>
      </c>
      <c r="AN471" s="4">
        <v>0</v>
      </c>
      <c r="AO471" s="4">
        <v>0</v>
      </c>
      <c r="AP471" s="4">
        <v>0</v>
      </c>
      <c r="AQ471" s="4">
        <v>900000</v>
      </c>
      <c r="AR471" s="4">
        <v>0</v>
      </c>
      <c r="AS471" s="4">
        <v>0</v>
      </c>
      <c r="AT471" s="4">
        <v>0</v>
      </c>
      <c r="AU471" s="4">
        <v>0</v>
      </c>
      <c r="AV471" s="4">
        <v>0</v>
      </c>
      <c r="AW471" s="4">
        <v>0</v>
      </c>
      <c r="AX471" s="4">
        <v>900000</v>
      </c>
      <c r="AY471" s="4">
        <v>900000</v>
      </c>
    </row>
    <row r="472" spans="1:51">
      <c r="A472" s="3" t="s">
        <v>52</v>
      </c>
      <c r="B472" s="3" t="s">
        <v>53</v>
      </c>
      <c r="C472" s="3" t="s">
        <v>54</v>
      </c>
      <c r="D472" s="3" t="s">
        <v>55</v>
      </c>
      <c r="E472" s="3" t="s">
        <v>56</v>
      </c>
      <c r="F472" s="3" t="s">
        <v>57</v>
      </c>
      <c r="G472" s="3" t="s">
        <v>58</v>
      </c>
      <c r="H472" s="3" t="s">
        <v>59</v>
      </c>
      <c r="I472" s="3" t="s">
        <v>60</v>
      </c>
      <c r="J472" s="3" t="s">
        <v>61</v>
      </c>
      <c r="K472" s="3" t="s">
        <v>62</v>
      </c>
      <c r="L472" s="3" t="s">
        <v>63</v>
      </c>
      <c r="M472" s="3" t="s">
        <v>681</v>
      </c>
      <c r="N472" s="3" t="s">
        <v>682</v>
      </c>
      <c r="O472" s="3" t="s">
        <v>767</v>
      </c>
      <c r="P472" s="3" t="s">
        <v>768</v>
      </c>
      <c r="Q472" s="3" t="s">
        <v>795</v>
      </c>
      <c r="R472" s="3" t="s">
        <v>796</v>
      </c>
      <c r="S472" s="3" t="s">
        <v>128</v>
      </c>
      <c r="T472" s="3" t="s">
        <v>799</v>
      </c>
      <c r="U472" s="3" t="s">
        <v>54</v>
      </c>
      <c r="V472" s="3" t="s">
        <v>72</v>
      </c>
      <c r="W472" s="3" t="s">
        <v>73</v>
      </c>
      <c r="X472" s="3" t="s">
        <v>74</v>
      </c>
      <c r="Y472" s="3" t="s">
        <v>75</v>
      </c>
      <c r="Z472" s="3" t="s">
        <v>76</v>
      </c>
      <c r="AA472" s="3" t="s">
        <v>800</v>
      </c>
      <c r="AB472" s="4">
        <v>0</v>
      </c>
      <c r="AC472" s="4">
        <v>850000</v>
      </c>
      <c r="AD472" s="4">
        <v>0</v>
      </c>
      <c r="AE472" s="4">
        <v>850000</v>
      </c>
      <c r="AF472" s="4">
        <v>0</v>
      </c>
      <c r="AG472" s="4">
        <v>0</v>
      </c>
      <c r="AH472" s="4">
        <v>0</v>
      </c>
      <c r="AI472" s="4">
        <v>0</v>
      </c>
      <c r="AJ472" s="4">
        <v>0</v>
      </c>
      <c r="AK472" s="4">
        <v>0</v>
      </c>
      <c r="AL472" s="4">
        <v>0</v>
      </c>
      <c r="AM472" s="4">
        <v>0</v>
      </c>
      <c r="AN472" s="4">
        <v>0</v>
      </c>
      <c r="AO472" s="4">
        <v>0</v>
      </c>
      <c r="AP472" s="4">
        <v>0</v>
      </c>
      <c r="AQ472" s="4">
        <v>850000</v>
      </c>
      <c r="AR472" s="4">
        <v>849150</v>
      </c>
      <c r="AS472" s="4">
        <v>849150</v>
      </c>
      <c r="AT472" s="4">
        <v>0</v>
      </c>
      <c r="AU472" s="4">
        <v>0</v>
      </c>
      <c r="AV472" s="4">
        <v>0</v>
      </c>
      <c r="AW472" s="4">
        <v>0</v>
      </c>
      <c r="AX472" s="4">
        <v>850</v>
      </c>
      <c r="AY472" s="4">
        <v>850</v>
      </c>
    </row>
    <row r="473" spans="1:51">
      <c r="A473" s="3" t="s">
        <v>52</v>
      </c>
      <c r="B473" s="3" t="s">
        <v>53</v>
      </c>
      <c r="C473" s="3" t="s">
        <v>54</v>
      </c>
      <c r="D473" s="3" t="s">
        <v>55</v>
      </c>
      <c r="E473" s="3" t="s">
        <v>56</v>
      </c>
      <c r="F473" s="3" t="s">
        <v>57</v>
      </c>
      <c r="G473" s="3" t="s">
        <v>58</v>
      </c>
      <c r="H473" s="3" t="s">
        <v>59</v>
      </c>
      <c r="I473" s="3" t="s">
        <v>60</v>
      </c>
      <c r="J473" s="3" t="s">
        <v>61</v>
      </c>
      <c r="K473" s="3" t="s">
        <v>62</v>
      </c>
      <c r="L473" s="3" t="s">
        <v>63</v>
      </c>
      <c r="M473" s="3" t="s">
        <v>801</v>
      </c>
      <c r="N473" s="3" t="s">
        <v>802</v>
      </c>
      <c r="O473" s="3" t="s">
        <v>803</v>
      </c>
      <c r="P473" s="3" t="s">
        <v>804</v>
      </c>
      <c r="Q473" s="3" t="s">
        <v>805</v>
      </c>
      <c r="R473" s="3" t="s">
        <v>806</v>
      </c>
      <c r="S473" s="3" t="s">
        <v>199</v>
      </c>
      <c r="T473" s="3" t="s">
        <v>807</v>
      </c>
      <c r="U473" s="3" t="s">
        <v>54</v>
      </c>
      <c r="V473" s="3" t="s">
        <v>72</v>
      </c>
      <c r="W473" s="3" t="s">
        <v>73</v>
      </c>
      <c r="X473" s="3" t="s">
        <v>74</v>
      </c>
      <c r="Y473" s="3" t="s">
        <v>808</v>
      </c>
      <c r="Z473" s="3" t="s">
        <v>809</v>
      </c>
      <c r="AA473" s="3" t="s">
        <v>810</v>
      </c>
      <c r="AB473" s="4">
        <v>4040000</v>
      </c>
      <c r="AC473" s="4">
        <v>0</v>
      </c>
      <c r="AD473" s="4">
        <v>0</v>
      </c>
      <c r="AE473" s="4">
        <v>4040000</v>
      </c>
      <c r="AF473" s="4">
        <v>0</v>
      </c>
      <c r="AG473" s="4">
        <v>0</v>
      </c>
      <c r="AH473" s="4">
        <v>0</v>
      </c>
      <c r="AI473" s="4">
        <v>0</v>
      </c>
      <c r="AJ473" s="4">
        <v>0</v>
      </c>
      <c r="AK473" s="4">
        <v>0</v>
      </c>
      <c r="AL473" s="4">
        <v>0</v>
      </c>
      <c r="AM473" s="4">
        <v>0</v>
      </c>
      <c r="AN473" s="4">
        <v>0</v>
      </c>
      <c r="AO473" s="4">
        <v>0</v>
      </c>
      <c r="AP473" s="4">
        <v>0</v>
      </c>
      <c r="AQ473" s="4">
        <v>4040000</v>
      </c>
      <c r="AR473" s="4">
        <v>1489820</v>
      </c>
      <c r="AS473" s="4">
        <v>1489820</v>
      </c>
      <c r="AT473" s="4">
        <v>0</v>
      </c>
      <c r="AU473" s="4">
        <v>0</v>
      </c>
      <c r="AV473" s="4">
        <v>0</v>
      </c>
      <c r="AW473" s="4">
        <v>0</v>
      </c>
      <c r="AX473" s="4">
        <v>2550180</v>
      </c>
      <c r="AY473" s="4">
        <v>2550180</v>
      </c>
    </row>
    <row r="474" spans="1:51">
      <c r="A474" s="3" t="s">
        <v>52</v>
      </c>
      <c r="B474" s="3" t="s">
        <v>53</v>
      </c>
      <c r="C474" s="3" t="s">
        <v>54</v>
      </c>
      <c r="D474" s="3" t="s">
        <v>55</v>
      </c>
      <c r="E474" s="3" t="s">
        <v>56</v>
      </c>
      <c r="F474" s="3" t="s">
        <v>57</v>
      </c>
      <c r="G474" s="3" t="s">
        <v>58</v>
      </c>
      <c r="H474" s="3" t="s">
        <v>59</v>
      </c>
      <c r="I474" s="3" t="s">
        <v>60</v>
      </c>
      <c r="J474" s="3" t="s">
        <v>61</v>
      </c>
      <c r="K474" s="3" t="s">
        <v>62</v>
      </c>
      <c r="L474" s="3" t="s">
        <v>63</v>
      </c>
      <c r="M474" s="3" t="s">
        <v>801</v>
      </c>
      <c r="N474" s="3" t="s">
        <v>802</v>
      </c>
      <c r="O474" s="3" t="s">
        <v>803</v>
      </c>
      <c r="P474" s="3" t="s">
        <v>804</v>
      </c>
      <c r="Q474" s="3" t="s">
        <v>805</v>
      </c>
      <c r="R474" s="3" t="s">
        <v>806</v>
      </c>
      <c r="S474" s="3" t="s">
        <v>199</v>
      </c>
      <c r="T474" s="3" t="s">
        <v>807</v>
      </c>
      <c r="U474" s="3" t="s">
        <v>54</v>
      </c>
      <c r="V474" s="3" t="s">
        <v>72</v>
      </c>
      <c r="W474" s="3" t="s">
        <v>73</v>
      </c>
      <c r="X474" s="3" t="s">
        <v>74</v>
      </c>
      <c r="Y474" s="3" t="s">
        <v>808</v>
      </c>
      <c r="Z474" s="3" t="s">
        <v>809</v>
      </c>
      <c r="AA474" s="3" t="s">
        <v>811</v>
      </c>
      <c r="AB474" s="4">
        <v>420000</v>
      </c>
      <c r="AC474" s="4">
        <v>0</v>
      </c>
      <c r="AD474" s="4">
        <v>0</v>
      </c>
      <c r="AE474" s="4">
        <v>420000</v>
      </c>
      <c r="AF474" s="4">
        <v>0</v>
      </c>
      <c r="AG474" s="4">
        <v>0</v>
      </c>
      <c r="AH474" s="4">
        <v>0</v>
      </c>
      <c r="AI474" s="4">
        <v>0</v>
      </c>
      <c r="AJ474" s="4">
        <v>0</v>
      </c>
      <c r="AK474" s="4">
        <v>0</v>
      </c>
      <c r="AL474" s="4">
        <v>0</v>
      </c>
      <c r="AM474" s="4">
        <v>0</v>
      </c>
      <c r="AN474" s="4">
        <v>0</v>
      </c>
      <c r="AO474" s="4">
        <v>0</v>
      </c>
      <c r="AP474" s="4">
        <v>0</v>
      </c>
      <c r="AQ474" s="4">
        <v>420000</v>
      </c>
      <c r="AR474" s="4">
        <v>291840</v>
      </c>
      <c r="AS474" s="4">
        <v>121600</v>
      </c>
      <c r="AT474" s="4">
        <v>0</v>
      </c>
      <c r="AU474" s="4">
        <v>0</v>
      </c>
      <c r="AV474" s="4">
        <v>0</v>
      </c>
      <c r="AW474" s="4">
        <v>0</v>
      </c>
      <c r="AX474" s="4">
        <v>128160</v>
      </c>
      <c r="AY474" s="4">
        <v>298400</v>
      </c>
    </row>
    <row r="475" spans="1:51">
      <c r="A475" s="3" t="s">
        <v>52</v>
      </c>
      <c r="B475" s="3" t="s">
        <v>53</v>
      </c>
      <c r="C475" s="3" t="s">
        <v>54</v>
      </c>
      <c r="D475" s="3" t="s">
        <v>55</v>
      </c>
      <c r="E475" s="3" t="s">
        <v>56</v>
      </c>
      <c r="F475" s="3" t="s">
        <v>57</v>
      </c>
      <c r="G475" s="3" t="s">
        <v>58</v>
      </c>
      <c r="H475" s="3" t="s">
        <v>59</v>
      </c>
      <c r="I475" s="3" t="s">
        <v>60</v>
      </c>
      <c r="J475" s="3" t="s">
        <v>61</v>
      </c>
      <c r="K475" s="3" t="s">
        <v>62</v>
      </c>
      <c r="L475" s="3" t="s">
        <v>63</v>
      </c>
      <c r="M475" s="3" t="s">
        <v>801</v>
      </c>
      <c r="N475" s="3" t="s">
        <v>802</v>
      </c>
      <c r="O475" s="3" t="s">
        <v>803</v>
      </c>
      <c r="P475" s="3" t="s">
        <v>804</v>
      </c>
      <c r="Q475" s="3" t="s">
        <v>805</v>
      </c>
      <c r="R475" s="3" t="s">
        <v>806</v>
      </c>
      <c r="S475" s="3" t="s">
        <v>199</v>
      </c>
      <c r="T475" s="3" t="s">
        <v>807</v>
      </c>
      <c r="U475" s="3" t="s">
        <v>54</v>
      </c>
      <c r="V475" s="3" t="s">
        <v>72</v>
      </c>
      <c r="W475" s="3" t="s">
        <v>73</v>
      </c>
      <c r="X475" s="3" t="s">
        <v>74</v>
      </c>
      <c r="Y475" s="3" t="s">
        <v>808</v>
      </c>
      <c r="Z475" s="3" t="s">
        <v>809</v>
      </c>
      <c r="AA475" s="3" t="s">
        <v>812</v>
      </c>
      <c r="AB475" s="4">
        <v>100000</v>
      </c>
      <c r="AC475" s="4">
        <v>0</v>
      </c>
      <c r="AD475" s="4">
        <v>0</v>
      </c>
      <c r="AE475" s="4">
        <v>100000</v>
      </c>
      <c r="AF475" s="4">
        <v>0</v>
      </c>
      <c r="AG475" s="4">
        <v>0</v>
      </c>
      <c r="AH475" s="4">
        <v>0</v>
      </c>
      <c r="AI475" s="4">
        <v>0</v>
      </c>
      <c r="AJ475" s="4">
        <v>0</v>
      </c>
      <c r="AK475" s="4">
        <v>0</v>
      </c>
      <c r="AL475" s="4">
        <v>0</v>
      </c>
      <c r="AM475" s="4">
        <v>0</v>
      </c>
      <c r="AN475" s="4">
        <v>0</v>
      </c>
      <c r="AO475" s="4">
        <v>0</v>
      </c>
      <c r="AP475" s="4">
        <v>0</v>
      </c>
      <c r="AQ475" s="4">
        <v>100000</v>
      </c>
      <c r="AR475" s="4">
        <v>0</v>
      </c>
      <c r="AS475" s="4">
        <v>0</v>
      </c>
      <c r="AT475" s="4">
        <v>0</v>
      </c>
      <c r="AU475" s="4">
        <v>0</v>
      </c>
      <c r="AV475" s="4">
        <v>0</v>
      </c>
      <c r="AW475" s="4">
        <v>0</v>
      </c>
      <c r="AX475" s="4">
        <v>100000</v>
      </c>
      <c r="AY475" s="4">
        <v>100000</v>
      </c>
    </row>
    <row r="476" spans="1:51">
      <c r="A476" s="3" t="s">
        <v>52</v>
      </c>
      <c r="B476" s="3" t="s">
        <v>53</v>
      </c>
      <c r="C476" s="3" t="s">
        <v>54</v>
      </c>
      <c r="D476" s="3" t="s">
        <v>55</v>
      </c>
      <c r="E476" s="3" t="s">
        <v>56</v>
      </c>
      <c r="F476" s="3" t="s">
        <v>57</v>
      </c>
      <c r="G476" s="3" t="s">
        <v>58</v>
      </c>
      <c r="H476" s="3" t="s">
        <v>59</v>
      </c>
      <c r="I476" s="3" t="s">
        <v>60</v>
      </c>
      <c r="J476" s="3" t="s">
        <v>61</v>
      </c>
      <c r="K476" s="3" t="s">
        <v>62</v>
      </c>
      <c r="L476" s="3" t="s">
        <v>63</v>
      </c>
      <c r="M476" s="3" t="s">
        <v>801</v>
      </c>
      <c r="N476" s="3" t="s">
        <v>802</v>
      </c>
      <c r="O476" s="3" t="s">
        <v>803</v>
      </c>
      <c r="P476" s="3" t="s">
        <v>804</v>
      </c>
      <c r="Q476" s="3" t="s">
        <v>805</v>
      </c>
      <c r="R476" s="3" t="s">
        <v>806</v>
      </c>
      <c r="S476" s="3" t="s">
        <v>150</v>
      </c>
      <c r="T476" s="3" t="s">
        <v>813</v>
      </c>
      <c r="U476" s="3" t="s">
        <v>54</v>
      </c>
      <c r="V476" s="3" t="s">
        <v>72</v>
      </c>
      <c r="W476" s="3" t="s">
        <v>73</v>
      </c>
      <c r="X476" s="3" t="s">
        <v>74</v>
      </c>
      <c r="Y476" s="3" t="s">
        <v>814</v>
      </c>
      <c r="Z476" s="3" t="s">
        <v>813</v>
      </c>
      <c r="AA476" s="3" t="s">
        <v>813</v>
      </c>
      <c r="AB476" s="4">
        <v>108000000</v>
      </c>
      <c r="AC476" s="4">
        <v>26210000</v>
      </c>
      <c r="AD476" s="4">
        <v>0</v>
      </c>
      <c r="AE476" s="4">
        <v>134210000</v>
      </c>
      <c r="AF476" s="4">
        <v>0</v>
      </c>
      <c r="AG476" s="4">
        <v>0</v>
      </c>
      <c r="AH476" s="4">
        <v>0</v>
      </c>
      <c r="AI476" s="4">
        <v>0</v>
      </c>
      <c r="AJ476" s="4">
        <v>0</v>
      </c>
      <c r="AK476" s="4">
        <v>0</v>
      </c>
      <c r="AL476" s="4">
        <v>0</v>
      </c>
      <c r="AM476" s="4">
        <v>0</v>
      </c>
      <c r="AN476" s="4">
        <v>0</v>
      </c>
      <c r="AO476" s="4">
        <v>0</v>
      </c>
      <c r="AP476" s="4">
        <v>0</v>
      </c>
      <c r="AQ476" s="4">
        <v>134210000</v>
      </c>
      <c r="AR476" s="4">
        <v>34585680</v>
      </c>
      <c r="AS476" s="4">
        <v>34585680</v>
      </c>
      <c r="AT476" s="4">
        <v>0</v>
      </c>
      <c r="AU476" s="4">
        <v>0</v>
      </c>
      <c r="AV476" s="4">
        <v>0</v>
      </c>
      <c r="AW476" s="4">
        <v>0</v>
      </c>
      <c r="AX476" s="4">
        <v>99624320</v>
      </c>
      <c r="AY476" s="4">
        <v>99624320</v>
      </c>
    </row>
    <row r="477" spans="1:51">
      <c r="A477" s="3" t="s">
        <v>52</v>
      </c>
      <c r="B477" s="3" t="s">
        <v>53</v>
      </c>
      <c r="C477" s="3" t="s">
        <v>54</v>
      </c>
      <c r="D477" s="3" t="s">
        <v>55</v>
      </c>
      <c r="E477" s="3" t="s">
        <v>56</v>
      </c>
      <c r="F477" s="3" t="s">
        <v>57</v>
      </c>
      <c r="G477" s="3" t="s">
        <v>58</v>
      </c>
      <c r="H477" s="3" t="s">
        <v>59</v>
      </c>
      <c r="I477" s="3" t="s">
        <v>60</v>
      </c>
      <c r="J477" s="3" t="s">
        <v>61</v>
      </c>
      <c r="K477" s="3" t="s">
        <v>62</v>
      </c>
      <c r="L477" s="3" t="s">
        <v>63</v>
      </c>
      <c r="M477" s="3" t="s">
        <v>801</v>
      </c>
      <c r="N477" s="3" t="s">
        <v>802</v>
      </c>
      <c r="O477" s="3" t="s">
        <v>803</v>
      </c>
      <c r="P477" s="3" t="s">
        <v>804</v>
      </c>
      <c r="Q477" s="3" t="s">
        <v>805</v>
      </c>
      <c r="R477" s="3" t="s">
        <v>806</v>
      </c>
      <c r="S477" s="3" t="s">
        <v>206</v>
      </c>
      <c r="T477" s="3" t="s">
        <v>815</v>
      </c>
      <c r="U477" s="3" t="s">
        <v>54</v>
      </c>
      <c r="V477" s="3" t="s">
        <v>72</v>
      </c>
      <c r="W477" s="3" t="s">
        <v>73</v>
      </c>
      <c r="X477" s="3" t="s">
        <v>74</v>
      </c>
      <c r="Y477" s="3" t="s">
        <v>816</v>
      </c>
      <c r="Z477" s="3" t="s">
        <v>815</v>
      </c>
      <c r="AA477" s="3" t="s">
        <v>817</v>
      </c>
      <c r="AB477" s="4">
        <v>80000000</v>
      </c>
      <c r="AC477" s="4">
        <v>0</v>
      </c>
      <c r="AD477" s="4">
        <v>0</v>
      </c>
      <c r="AE477" s="4">
        <v>80000000</v>
      </c>
      <c r="AF477" s="4">
        <v>0</v>
      </c>
      <c r="AG477" s="4">
        <v>0</v>
      </c>
      <c r="AH477" s="4">
        <v>0</v>
      </c>
      <c r="AI477" s="4">
        <v>0</v>
      </c>
      <c r="AJ477" s="4">
        <v>0</v>
      </c>
      <c r="AK477" s="4">
        <v>0</v>
      </c>
      <c r="AL477" s="4">
        <v>0</v>
      </c>
      <c r="AM477" s="4">
        <v>0</v>
      </c>
      <c r="AN477" s="4">
        <v>0</v>
      </c>
      <c r="AO477" s="4">
        <v>0</v>
      </c>
      <c r="AP477" s="4">
        <v>0</v>
      </c>
      <c r="AQ477" s="4">
        <v>80000000</v>
      </c>
      <c r="AR477" s="4">
        <v>46756080</v>
      </c>
      <c r="AS477" s="4">
        <v>46756080</v>
      </c>
      <c r="AT477" s="4">
        <v>0</v>
      </c>
      <c r="AU477" s="4">
        <v>0</v>
      </c>
      <c r="AV477" s="4">
        <v>0</v>
      </c>
      <c r="AW477" s="4">
        <v>0</v>
      </c>
      <c r="AX477" s="4">
        <v>33243920</v>
      </c>
      <c r="AY477" s="4">
        <v>33243920</v>
      </c>
    </row>
    <row r="478" spans="1:51">
      <c r="A478" s="3" t="s">
        <v>52</v>
      </c>
      <c r="B478" s="3" t="s">
        <v>53</v>
      </c>
      <c r="C478" s="3" t="s">
        <v>54</v>
      </c>
      <c r="D478" s="3" t="s">
        <v>55</v>
      </c>
      <c r="E478" s="3" t="s">
        <v>56</v>
      </c>
      <c r="F478" s="3" t="s">
        <v>57</v>
      </c>
      <c r="G478" s="3" t="s">
        <v>58</v>
      </c>
      <c r="H478" s="3" t="s">
        <v>59</v>
      </c>
      <c r="I478" s="3" t="s">
        <v>60</v>
      </c>
      <c r="J478" s="3" t="s">
        <v>61</v>
      </c>
      <c r="K478" s="3" t="s">
        <v>62</v>
      </c>
      <c r="L478" s="3" t="s">
        <v>63</v>
      </c>
      <c r="M478" s="3" t="s">
        <v>801</v>
      </c>
      <c r="N478" s="3" t="s">
        <v>802</v>
      </c>
      <c r="O478" s="3" t="s">
        <v>803</v>
      </c>
      <c r="P478" s="3" t="s">
        <v>804</v>
      </c>
      <c r="Q478" s="3" t="s">
        <v>805</v>
      </c>
      <c r="R478" s="3" t="s">
        <v>806</v>
      </c>
      <c r="S478" s="3" t="s">
        <v>70</v>
      </c>
      <c r="T478" s="3" t="s">
        <v>818</v>
      </c>
      <c r="U478" s="3" t="s">
        <v>54</v>
      </c>
      <c r="V478" s="3" t="s">
        <v>72</v>
      </c>
      <c r="W478" s="3" t="s">
        <v>73</v>
      </c>
      <c r="X478" s="3" t="s">
        <v>74</v>
      </c>
      <c r="Y478" s="3" t="s">
        <v>819</v>
      </c>
      <c r="Z478" s="3" t="s">
        <v>818</v>
      </c>
      <c r="AA478" s="3" t="s">
        <v>820</v>
      </c>
      <c r="AB478" s="4">
        <v>25000000</v>
      </c>
      <c r="AC478" s="4">
        <v>0</v>
      </c>
      <c r="AD478" s="4">
        <v>0</v>
      </c>
      <c r="AE478" s="4">
        <v>25000000</v>
      </c>
      <c r="AF478" s="4">
        <v>0</v>
      </c>
      <c r="AG478" s="4">
        <v>0</v>
      </c>
      <c r="AH478" s="4">
        <v>0</v>
      </c>
      <c r="AI478" s="4">
        <v>0</v>
      </c>
      <c r="AJ478" s="4">
        <v>0</v>
      </c>
      <c r="AK478" s="4">
        <v>0</v>
      </c>
      <c r="AL478" s="4">
        <v>0</v>
      </c>
      <c r="AM478" s="4">
        <v>0</v>
      </c>
      <c r="AN478" s="4">
        <v>0</v>
      </c>
      <c r="AO478" s="4">
        <v>0</v>
      </c>
      <c r="AP478" s="4">
        <v>0</v>
      </c>
      <c r="AQ478" s="4">
        <v>25000000</v>
      </c>
      <c r="AR478" s="4">
        <v>11016760</v>
      </c>
      <c r="AS478" s="4">
        <v>11016760</v>
      </c>
      <c r="AT478" s="4">
        <v>0</v>
      </c>
      <c r="AU478" s="4">
        <v>0</v>
      </c>
      <c r="AV478" s="4">
        <v>0</v>
      </c>
      <c r="AW478" s="4">
        <v>0</v>
      </c>
      <c r="AX478" s="4">
        <v>13983240</v>
      </c>
      <c r="AY478" s="4">
        <v>13983240</v>
      </c>
    </row>
    <row r="479" spans="1:51">
      <c r="A479" s="3" t="s">
        <v>52</v>
      </c>
      <c r="B479" s="3" t="s">
        <v>53</v>
      </c>
      <c r="C479" s="3" t="s">
        <v>54</v>
      </c>
      <c r="D479" s="3" t="s">
        <v>55</v>
      </c>
      <c r="E479" s="3" t="s">
        <v>56</v>
      </c>
      <c r="F479" s="3" t="s">
        <v>57</v>
      </c>
      <c r="G479" s="3" t="s">
        <v>58</v>
      </c>
      <c r="H479" s="3" t="s">
        <v>59</v>
      </c>
      <c r="I479" s="3" t="s">
        <v>60</v>
      </c>
      <c r="J479" s="3" t="s">
        <v>61</v>
      </c>
      <c r="K479" s="3" t="s">
        <v>62</v>
      </c>
      <c r="L479" s="3" t="s">
        <v>63</v>
      </c>
      <c r="M479" s="3" t="s">
        <v>801</v>
      </c>
      <c r="N479" s="3" t="s">
        <v>802</v>
      </c>
      <c r="O479" s="3" t="s">
        <v>803</v>
      </c>
      <c r="P479" s="3" t="s">
        <v>804</v>
      </c>
      <c r="Q479" s="3" t="s">
        <v>805</v>
      </c>
      <c r="R479" s="3" t="s">
        <v>806</v>
      </c>
      <c r="S479" s="3" t="s">
        <v>159</v>
      </c>
      <c r="T479" s="3" t="s">
        <v>821</v>
      </c>
      <c r="U479" s="3" t="s">
        <v>54</v>
      </c>
      <c r="V479" s="3" t="s">
        <v>72</v>
      </c>
      <c r="W479" s="3" t="s">
        <v>73</v>
      </c>
      <c r="X479" s="3" t="s">
        <v>74</v>
      </c>
      <c r="Y479" s="3" t="s">
        <v>75</v>
      </c>
      <c r="Z479" s="3" t="s">
        <v>76</v>
      </c>
      <c r="AA479" s="3" t="s">
        <v>822</v>
      </c>
      <c r="AB479" s="4">
        <v>38800000</v>
      </c>
      <c r="AC479" s="4">
        <v>0</v>
      </c>
      <c r="AD479" s="4">
        <v>0</v>
      </c>
      <c r="AE479" s="4">
        <v>38800000</v>
      </c>
      <c r="AF479" s="4">
        <v>0</v>
      </c>
      <c r="AG479" s="4">
        <v>0</v>
      </c>
      <c r="AH479" s="4">
        <v>0</v>
      </c>
      <c r="AI479" s="4">
        <v>0</v>
      </c>
      <c r="AJ479" s="4">
        <v>0</v>
      </c>
      <c r="AK479" s="4">
        <v>0</v>
      </c>
      <c r="AL479" s="4">
        <v>0</v>
      </c>
      <c r="AM479" s="4">
        <v>0</v>
      </c>
      <c r="AN479" s="4">
        <v>0</v>
      </c>
      <c r="AO479" s="4">
        <v>0</v>
      </c>
      <c r="AP479" s="4">
        <v>0</v>
      </c>
      <c r="AQ479" s="4">
        <v>38800000</v>
      </c>
      <c r="AR479" s="4">
        <v>31900000</v>
      </c>
      <c r="AS479" s="4">
        <v>15950000</v>
      </c>
      <c r="AT479" s="4">
        <v>0</v>
      </c>
      <c r="AU479" s="4">
        <v>0</v>
      </c>
      <c r="AV479" s="4">
        <v>0</v>
      </c>
      <c r="AW479" s="4">
        <v>0</v>
      </c>
      <c r="AX479" s="4">
        <v>6900000</v>
      </c>
      <c r="AY479" s="4">
        <v>22850000</v>
      </c>
    </row>
    <row r="480" spans="1:51">
      <c r="A480" s="3" t="s">
        <v>52</v>
      </c>
      <c r="B480" s="3" t="s">
        <v>53</v>
      </c>
      <c r="C480" s="3" t="s">
        <v>54</v>
      </c>
      <c r="D480" s="3" t="s">
        <v>55</v>
      </c>
      <c r="E480" s="3" t="s">
        <v>56</v>
      </c>
      <c r="F480" s="3" t="s">
        <v>57</v>
      </c>
      <c r="G480" s="3" t="s">
        <v>58</v>
      </c>
      <c r="H480" s="3" t="s">
        <v>59</v>
      </c>
      <c r="I480" s="3" t="s">
        <v>60</v>
      </c>
      <c r="J480" s="3" t="s">
        <v>61</v>
      </c>
      <c r="K480" s="3" t="s">
        <v>62</v>
      </c>
      <c r="L480" s="3" t="s">
        <v>63</v>
      </c>
      <c r="M480" s="3" t="s">
        <v>801</v>
      </c>
      <c r="N480" s="3" t="s">
        <v>802</v>
      </c>
      <c r="O480" s="3" t="s">
        <v>803</v>
      </c>
      <c r="P480" s="3" t="s">
        <v>804</v>
      </c>
      <c r="Q480" s="3" t="s">
        <v>805</v>
      </c>
      <c r="R480" s="3" t="s">
        <v>806</v>
      </c>
      <c r="S480" s="3" t="s">
        <v>159</v>
      </c>
      <c r="T480" s="3" t="s">
        <v>821</v>
      </c>
      <c r="U480" s="3" t="s">
        <v>54</v>
      </c>
      <c r="V480" s="3" t="s">
        <v>72</v>
      </c>
      <c r="W480" s="3" t="s">
        <v>73</v>
      </c>
      <c r="X480" s="3" t="s">
        <v>74</v>
      </c>
      <c r="Y480" s="3" t="s">
        <v>75</v>
      </c>
      <c r="Z480" s="3" t="s">
        <v>76</v>
      </c>
      <c r="AA480" s="3" t="s">
        <v>823</v>
      </c>
      <c r="AB480" s="4">
        <v>600000</v>
      </c>
      <c r="AC480" s="4">
        <v>230000</v>
      </c>
      <c r="AD480" s="4">
        <v>0</v>
      </c>
      <c r="AE480" s="4">
        <v>830000</v>
      </c>
      <c r="AF480" s="4">
        <v>0</v>
      </c>
      <c r="AG480" s="4">
        <v>0</v>
      </c>
      <c r="AH480" s="4">
        <v>0</v>
      </c>
      <c r="AI480" s="4">
        <v>0</v>
      </c>
      <c r="AJ480" s="4">
        <v>0</v>
      </c>
      <c r="AK480" s="4">
        <v>0</v>
      </c>
      <c r="AL480" s="4">
        <v>0</v>
      </c>
      <c r="AM480" s="4">
        <v>0</v>
      </c>
      <c r="AN480" s="4">
        <v>0</v>
      </c>
      <c r="AO480" s="4">
        <v>0</v>
      </c>
      <c r="AP480" s="4">
        <v>0</v>
      </c>
      <c r="AQ480" s="4">
        <v>830000</v>
      </c>
      <c r="AR480" s="4">
        <v>823680</v>
      </c>
      <c r="AS480" s="4">
        <v>343200</v>
      </c>
      <c r="AT480" s="4">
        <v>0</v>
      </c>
      <c r="AU480" s="4">
        <v>0</v>
      </c>
      <c r="AV480" s="4">
        <v>0</v>
      </c>
      <c r="AW480" s="4">
        <v>0</v>
      </c>
      <c r="AX480" s="4">
        <v>6320</v>
      </c>
      <c r="AY480" s="4">
        <v>486800</v>
      </c>
    </row>
    <row r="481" spans="1:51">
      <c r="A481" s="3" t="s">
        <v>52</v>
      </c>
      <c r="B481" s="3" t="s">
        <v>53</v>
      </c>
      <c r="C481" s="3" t="s">
        <v>54</v>
      </c>
      <c r="D481" s="3" t="s">
        <v>55</v>
      </c>
      <c r="E481" s="3" t="s">
        <v>56</v>
      </c>
      <c r="F481" s="3" t="s">
        <v>57</v>
      </c>
      <c r="G481" s="3" t="s">
        <v>58</v>
      </c>
      <c r="H481" s="3" t="s">
        <v>59</v>
      </c>
      <c r="I481" s="3" t="s">
        <v>60</v>
      </c>
      <c r="J481" s="3" t="s">
        <v>61</v>
      </c>
      <c r="K481" s="3" t="s">
        <v>62</v>
      </c>
      <c r="L481" s="3" t="s">
        <v>63</v>
      </c>
      <c r="M481" s="3" t="s">
        <v>801</v>
      </c>
      <c r="N481" s="3" t="s">
        <v>802</v>
      </c>
      <c r="O481" s="3" t="s">
        <v>803</v>
      </c>
      <c r="P481" s="3" t="s">
        <v>804</v>
      </c>
      <c r="Q481" s="3" t="s">
        <v>805</v>
      </c>
      <c r="R481" s="3" t="s">
        <v>806</v>
      </c>
      <c r="S481" s="3" t="s">
        <v>159</v>
      </c>
      <c r="T481" s="3" t="s">
        <v>821</v>
      </c>
      <c r="U481" s="3" t="s">
        <v>54</v>
      </c>
      <c r="V481" s="3" t="s">
        <v>72</v>
      </c>
      <c r="W481" s="3" t="s">
        <v>73</v>
      </c>
      <c r="X481" s="3" t="s">
        <v>74</v>
      </c>
      <c r="Y481" s="3" t="s">
        <v>75</v>
      </c>
      <c r="Z481" s="3" t="s">
        <v>76</v>
      </c>
      <c r="AA481" s="3" t="s">
        <v>824</v>
      </c>
      <c r="AB481" s="4">
        <v>1920000</v>
      </c>
      <c r="AC481" s="4">
        <v>0</v>
      </c>
      <c r="AD481" s="4">
        <v>0</v>
      </c>
      <c r="AE481" s="4">
        <v>1920000</v>
      </c>
      <c r="AF481" s="4">
        <v>0</v>
      </c>
      <c r="AG481" s="4">
        <v>0</v>
      </c>
      <c r="AH481" s="4">
        <v>0</v>
      </c>
      <c r="AI481" s="4">
        <v>0</v>
      </c>
      <c r="AJ481" s="4">
        <v>0</v>
      </c>
      <c r="AK481" s="4">
        <v>0</v>
      </c>
      <c r="AL481" s="4">
        <v>0</v>
      </c>
      <c r="AM481" s="4">
        <v>0</v>
      </c>
      <c r="AN481" s="4">
        <v>0</v>
      </c>
      <c r="AO481" s="4">
        <v>0</v>
      </c>
      <c r="AP481" s="4">
        <v>0</v>
      </c>
      <c r="AQ481" s="4">
        <v>1920000</v>
      </c>
      <c r="AR481" s="4">
        <v>1900800</v>
      </c>
      <c r="AS481" s="4">
        <v>792000</v>
      </c>
      <c r="AT481" s="4">
        <v>0</v>
      </c>
      <c r="AU481" s="4">
        <v>0</v>
      </c>
      <c r="AV481" s="4">
        <v>0</v>
      </c>
      <c r="AW481" s="4">
        <v>0</v>
      </c>
      <c r="AX481" s="4">
        <v>19200</v>
      </c>
      <c r="AY481" s="4">
        <v>1128000</v>
      </c>
    </row>
    <row r="482" spans="1:51">
      <c r="A482" s="3" t="s">
        <v>52</v>
      </c>
      <c r="B482" s="3" t="s">
        <v>53</v>
      </c>
      <c r="C482" s="3" t="s">
        <v>54</v>
      </c>
      <c r="D482" s="3" t="s">
        <v>55</v>
      </c>
      <c r="E482" s="3" t="s">
        <v>56</v>
      </c>
      <c r="F482" s="3" t="s">
        <v>57</v>
      </c>
      <c r="G482" s="3" t="s">
        <v>58</v>
      </c>
      <c r="H482" s="3" t="s">
        <v>59</v>
      </c>
      <c r="I482" s="3" t="s">
        <v>60</v>
      </c>
      <c r="J482" s="3" t="s">
        <v>61</v>
      </c>
      <c r="K482" s="3" t="s">
        <v>62</v>
      </c>
      <c r="L482" s="3" t="s">
        <v>63</v>
      </c>
      <c r="M482" s="3" t="s">
        <v>801</v>
      </c>
      <c r="N482" s="3" t="s">
        <v>802</v>
      </c>
      <c r="O482" s="3" t="s">
        <v>803</v>
      </c>
      <c r="P482" s="3" t="s">
        <v>804</v>
      </c>
      <c r="Q482" s="3" t="s">
        <v>805</v>
      </c>
      <c r="R482" s="3" t="s">
        <v>806</v>
      </c>
      <c r="S482" s="3" t="s">
        <v>159</v>
      </c>
      <c r="T482" s="3" t="s">
        <v>821</v>
      </c>
      <c r="U482" s="3" t="s">
        <v>54</v>
      </c>
      <c r="V482" s="3" t="s">
        <v>72</v>
      </c>
      <c r="W482" s="3" t="s">
        <v>73</v>
      </c>
      <c r="X482" s="3" t="s">
        <v>74</v>
      </c>
      <c r="Y482" s="3" t="s">
        <v>75</v>
      </c>
      <c r="Z482" s="3" t="s">
        <v>76</v>
      </c>
      <c r="AA482" s="3" t="s">
        <v>825</v>
      </c>
      <c r="AB482" s="4">
        <v>2000000</v>
      </c>
      <c r="AC482" s="4">
        <v>0</v>
      </c>
      <c r="AD482" s="4">
        <v>0</v>
      </c>
      <c r="AE482" s="4">
        <v>2000000</v>
      </c>
      <c r="AF482" s="4">
        <v>0</v>
      </c>
      <c r="AG482" s="4">
        <v>0</v>
      </c>
      <c r="AH482" s="4">
        <v>0</v>
      </c>
      <c r="AI482" s="4">
        <v>0</v>
      </c>
      <c r="AJ482" s="4">
        <v>0</v>
      </c>
      <c r="AK482" s="4">
        <v>0</v>
      </c>
      <c r="AL482" s="4">
        <v>0</v>
      </c>
      <c r="AM482" s="4">
        <v>0</v>
      </c>
      <c r="AN482" s="4">
        <v>0</v>
      </c>
      <c r="AO482" s="4">
        <v>0</v>
      </c>
      <c r="AP482" s="4">
        <v>0</v>
      </c>
      <c r="AQ482" s="4">
        <v>2000000</v>
      </c>
      <c r="AR482" s="4">
        <v>502000</v>
      </c>
      <c r="AS482" s="4">
        <v>110000</v>
      </c>
      <c r="AT482" s="4">
        <v>0</v>
      </c>
      <c r="AU482" s="4">
        <v>0</v>
      </c>
      <c r="AV482" s="4">
        <v>0</v>
      </c>
      <c r="AW482" s="4">
        <v>0</v>
      </c>
      <c r="AX482" s="4">
        <v>1498000</v>
      </c>
      <c r="AY482" s="4">
        <v>1890000</v>
      </c>
    </row>
    <row r="483" spans="1:51">
      <c r="A483" s="3" t="s">
        <v>52</v>
      </c>
      <c r="B483" s="3" t="s">
        <v>53</v>
      </c>
      <c r="C483" s="3" t="s">
        <v>54</v>
      </c>
      <c r="D483" s="3" t="s">
        <v>55</v>
      </c>
      <c r="E483" s="3" t="s">
        <v>56</v>
      </c>
      <c r="F483" s="3" t="s">
        <v>57</v>
      </c>
      <c r="G483" s="3" t="s">
        <v>58</v>
      </c>
      <c r="H483" s="3" t="s">
        <v>59</v>
      </c>
      <c r="I483" s="3" t="s">
        <v>60</v>
      </c>
      <c r="J483" s="3" t="s">
        <v>61</v>
      </c>
      <c r="K483" s="3" t="s">
        <v>62</v>
      </c>
      <c r="L483" s="3" t="s">
        <v>63</v>
      </c>
      <c r="M483" s="3" t="s">
        <v>801</v>
      </c>
      <c r="N483" s="3" t="s">
        <v>802</v>
      </c>
      <c r="O483" s="3" t="s">
        <v>803</v>
      </c>
      <c r="P483" s="3" t="s">
        <v>804</v>
      </c>
      <c r="Q483" s="3" t="s">
        <v>805</v>
      </c>
      <c r="R483" s="3" t="s">
        <v>806</v>
      </c>
      <c r="S483" s="3" t="s">
        <v>159</v>
      </c>
      <c r="T483" s="3" t="s">
        <v>821</v>
      </c>
      <c r="U483" s="3" t="s">
        <v>54</v>
      </c>
      <c r="V483" s="3" t="s">
        <v>72</v>
      </c>
      <c r="W483" s="3" t="s">
        <v>73</v>
      </c>
      <c r="X483" s="3" t="s">
        <v>74</v>
      </c>
      <c r="Y483" s="3" t="s">
        <v>75</v>
      </c>
      <c r="Z483" s="3" t="s">
        <v>76</v>
      </c>
      <c r="AA483" s="3" t="s">
        <v>826</v>
      </c>
      <c r="AB483" s="4">
        <v>1080000</v>
      </c>
      <c r="AC483" s="4">
        <v>0</v>
      </c>
      <c r="AD483" s="4">
        <v>0</v>
      </c>
      <c r="AE483" s="4">
        <v>1080000</v>
      </c>
      <c r="AF483" s="4">
        <v>0</v>
      </c>
      <c r="AG483" s="4">
        <v>0</v>
      </c>
      <c r="AH483" s="4">
        <v>0</v>
      </c>
      <c r="AI483" s="4">
        <v>0</v>
      </c>
      <c r="AJ483" s="4">
        <v>0</v>
      </c>
      <c r="AK483" s="4">
        <v>0</v>
      </c>
      <c r="AL483" s="4">
        <v>0</v>
      </c>
      <c r="AM483" s="4">
        <v>0</v>
      </c>
      <c r="AN483" s="4">
        <v>0</v>
      </c>
      <c r="AO483" s="4">
        <v>0</v>
      </c>
      <c r="AP483" s="4">
        <v>0</v>
      </c>
      <c r="AQ483" s="4">
        <v>1080000</v>
      </c>
      <c r="AR483" s="4">
        <v>990000</v>
      </c>
      <c r="AS483" s="4">
        <v>450000</v>
      </c>
      <c r="AT483" s="4">
        <v>0</v>
      </c>
      <c r="AU483" s="4">
        <v>0</v>
      </c>
      <c r="AV483" s="4">
        <v>0</v>
      </c>
      <c r="AW483" s="4">
        <v>0</v>
      </c>
      <c r="AX483" s="4">
        <v>90000</v>
      </c>
      <c r="AY483" s="4">
        <v>630000</v>
      </c>
    </row>
    <row r="484" spans="1:51">
      <c r="A484" s="3" t="s">
        <v>52</v>
      </c>
      <c r="B484" s="3" t="s">
        <v>53</v>
      </c>
      <c r="C484" s="3" t="s">
        <v>54</v>
      </c>
      <c r="D484" s="3" t="s">
        <v>55</v>
      </c>
      <c r="E484" s="3" t="s">
        <v>56</v>
      </c>
      <c r="F484" s="3" t="s">
        <v>57</v>
      </c>
      <c r="G484" s="3" t="s">
        <v>58</v>
      </c>
      <c r="H484" s="3" t="s">
        <v>59</v>
      </c>
      <c r="I484" s="3" t="s">
        <v>60</v>
      </c>
      <c r="J484" s="3" t="s">
        <v>61</v>
      </c>
      <c r="K484" s="3" t="s">
        <v>62</v>
      </c>
      <c r="L484" s="3" t="s">
        <v>63</v>
      </c>
      <c r="M484" s="3" t="s">
        <v>801</v>
      </c>
      <c r="N484" s="3" t="s">
        <v>802</v>
      </c>
      <c r="O484" s="3" t="s">
        <v>803</v>
      </c>
      <c r="P484" s="3" t="s">
        <v>804</v>
      </c>
      <c r="Q484" s="3" t="s">
        <v>805</v>
      </c>
      <c r="R484" s="3" t="s">
        <v>806</v>
      </c>
      <c r="S484" s="3" t="s">
        <v>159</v>
      </c>
      <c r="T484" s="3" t="s">
        <v>821</v>
      </c>
      <c r="U484" s="3" t="s">
        <v>54</v>
      </c>
      <c r="V484" s="3" t="s">
        <v>72</v>
      </c>
      <c r="W484" s="3" t="s">
        <v>73</v>
      </c>
      <c r="X484" s="3" t="s">
        <v>74</v>
      </c>
      <c r="Y484" s="3" t="s">
        <v>75</v>
      </c>
      <c r="Z484" s="3" t="s">
        <v>76</v>
      </c>
      <c r="AA484" s="3" t="s">
        <v>827</v>
      </c>
      <c r="AB484" s="4">
        <v>3072000</v>
      </c>
      <c r="AC484" s="4">
        <v>2200000</v>
      </c>
      <c r="AD484" s="4">
        <v>0</v>
      </c>
      <c r="AE484" s="4">
        <v>5272000</v>
      </c>
      <c r="AF484" s="4">
        <v>0</v>
      </c>
      <c r="AG484" s="4">
        <v>0</v>
      </c>
      <c r="AH484" s="4">
        <v>0</v>
      </c>
      <c r="AI484" s="4">
        <v>0</v>
      </c>
      <c r="AJ484" s="4">
        <v>0</v>
      </c>
      <c r="AK484" s="4">
        <v>0</v>
      </c>
      <c r="AL484" s="4">
        <v>0</v>
      </c>
      <c r="AM484" s="4">
        <v>0</v>
      </c>
      <c r="AN484" s="4">
        <v>0</v>
      </c>
      <c r="AO484" s="4">
        <v>0</v>
      </c>
      <c r="AP484" s="4">
        <v>0</v>
      </c>
      <c r="AQ484" s="4">
        <v>5272000</v>
      </c>
      <c r="AR484" s="4">
        <v>5266800</v>
      </c>
      <c r="AS484" s="4">
        <v>1915200</v>
      </c>
      <c r="AT484" s="4">
        <v>0</v>
      </c>
      <c r="AU484" s="4">
        <v>0</v>
      </c>
      <c r="AV484" s="4">
        <v>0</v>
      </c>
      <c r="AW484" s="4">
        <v>0</v>
      </c>
      <c r="AX484" s="4">
        <v>5200</v>
      </c>
      <c r="AY484" s="4">
        <v>3356800</v>
      </c>
    </row>
    <row r="485" spans="1:51">
      <c r="A485" s="3" t="s">
        <v>52</v>
      </c>
      <c r="B485" s="3" t="s">
        <v>53</v>
      </c>
      <c r="C485" s="3" t="s">
        <v>54</v>
      </c>
      <c r="D485" s="3" t="s">
        <v>55</v>
      </c>
      <c r="E485" s="3" t="s">
        <v>56</v>
      </c>
      <c r="F485" s="3" t="s">
        <v>57</v>
      </c>
      <c r="G485" s="3" t="s">
        <v>58</v>
      </c>
      <c r="H485" s="3" t="s">
        <v>59</v>
      </c>
      <c r="I485" s="3" t="s">
        <v>60</v>
      </c>
      <c r="J485" s="3" t="s">
        <v>61</v>
      </c>
      <c r="K485" s="3" t="s">
        <v>62</v>
      </c>
      <c r="L485" s="3" t="s">
        <v>63</v>
      </c>
      <c r="M485" s="3" t="s">
        <v>801</v>
      </c>
      <c r="N485" s="3" t="s">
        <v>802</v>
      </c>
      <c r="O485" s="3" t="s">
        <v>803</v>
      </c>
      <c r="P485" s="3" t="s">
        <v>804</v>
      </c>
      <c r="Q485" s="3" t="s">
        <v>805</v>
      </c>
      <c r="R485" s="3" t="s">
        <v>806</v>
      </c>
      <c r="S485" s="3" t="s">
        <v>159</v>
      </c>
      <c r="T485" s="3" t="s">
        <v>821</v>
      </c>
      <c r="U485" s="3" t="s">
        <v>54</v>
      </c>
      <c r="V485" s="3" t="s">
        <v>72</v>
      </c>
      <c r="W485" s="3" t="s">
        <v>73</v>
      </c>
      <c r="X485" s="3" t="s">
        <v>74</v>
      </c>
      <c r="Y485" s="3" t="s">
        <v>75</v>
      </c>
      <c r="Z485" s="3" t="s">
        <v>76</v>
      </c>
      <c r="AA485" s="3" t="s">
        <v>828</v>
      </c>
      <c r="AB485" s="4">
        <v>1200000</v>
      </c>
      <c r="AC485" s="4">
        <v>0</v>
      </c>
      <c r="AD485" s="4">
        <v>0</v>
      </c>
      <c r="AE485" s="4">
        <v>1200000</v>
      </c>
      <c r="AF485" s="4">
        <v>0</v>
      </c>
      <c r="AG485" s="4">
        <v>0</v>
      </c>
      <c r="AH485" s="4">
        <v>0</v>
      </c>
      <c r="AI485" s="4">
        <v>0</v>
      </c>
      <c r="AJ485" s="4">
        <v>0</v>
      </c>
      <c r="AK485" s="4">
        <v>0</v>
      </c>
      <c r="AL485" s="4">
        <v>0</v>
      </c>
      <c r="AM485" s="4">
        <v>0</v>
      </c>
      <c r="AN485" s="4">
        <v>0</v>
      </c>
      <c r="AO485" s="4">
        <v>0</v>
      </c>
      <c r="AP485" s="4">
        <v>0</v>
      </c>
      <c r="AQ485" s="4">
        <v>1200000</v>
      </c>
      <c r="AR485" s="4">
        <v>0</v>
      </c>
      <c r="AS485" s="4">
        <v>0</v>
      </c>
      <c r="AT485" s="4">
        <v>0</v>
      </c>
      <c r="AU485" s="4">
        <v>0</v>
      </c>
      <c r="AV485" s="4">
        <v>0</v>
      </c>
      <c r="AW485" s="4">
        <v>0</v>
      </c>
      <c r="AX485" s="4">
        <v>1200000</v>
      </c>
      <c r="AY485" s="4">
        <v>1200000</v>
      </c>
    </row>
    <row r="486" spans="1:51">
      <c r="A486" s="3" t="s">
        <v>52</v>
      </c>
      <c r="B486" s="3" t="s">
        <v>53</v>
      </c>
      <c r="C486" s="3" t="s">
        <v>54</v>
      </c>
      <c r="D486" s="3" t="s">
        <v>55</v>
      </c>
      <c r="E486" s="3" t="s">
        <v>56</v>
      </c>
      <c r="F486" s="3" t="s">
        <v>57</v>
      </c>
      <c r="G486" s="3" t="s">
        <v>58</v>
      </c>
      <c r="H486" s="3" t="s">
        <v>59</v>
      </c>
      <c r="I486" s="3" t="s">
        <v>60</v>
      </c>
      <c r="J486" s="3" t="s">
        <v>61</v>
      </c>
      <c r="K486" s="3" t="s">
        <v>62</v>
      </c>
      <c r="L486" s="3" t="s">
        <v>63</v>
      </c>
      <c r="M486" s="3" t="s">
        <v>801</v>
      </c>
      <c r="N486" s="3" t="s">
        <v>802</v>
      </c>
      <c r="O486" s="3" t="s">
        <v>803</v>
      </c>
      <c r="P486" s="3" t="s">
        <v>804</v>
      </c>
      <c r="Q486" s="3" t="s">
        <v>805</v>
      </c>
      <c r="R486" s="3" t="s">
        <v>806</v>
      </c>
      <c r="S486" s="3" t="s">
        <v>159</v>
      </c>
      <c r="T486" s="3" t="s">
        <v>821</v>
      </c>
      <c r="U486" s="3" t="s">
        <v>54</v>
      </c>
      <c r="V486" s="3" t="s">
        <v>72</v>
      </c>
      <c r="W486" s="3" t="s">
        <v>73</v>
      </c>
      <c r="X486" s="3" t="s">
        <v>74</v>
      </c>
      <c r="Y486" s="3" t="s">
        <v>75</v>
      </c>
      <c r="Z486" s="3" t="s">
        <v>76</v>
      </c>
      <c r="AA486" s="3" t="s">
        <v>829</v>
      </c>
      <c r="AB486" s="4">
        <v>7920000</v>
      </c>
      <c r="AC486" s="4">
        <v>0</v>
      </c>
      <c r="AD486" s="4">
        <v>0</v>
      </c>
      <c r="AE486" s="4">
        <v>7920000</v>
      </c>
      <c r="AF486" s="4">
        <v>0</v>
      </c>
      <c r="AG486" s="4">
        <v>0</v>
      </c>
      <c r="AH486" s="4">
        <v>0</v>
      </c>
      <c r="AI486" s="4">
        <v>0</v>
      </c>
      <c r="AJ486" s="4">
        <v>0</v>
      </c>
      <c r="AK486" s="4">
        <v>0</v>
      </c>
      <c r="AL486" s="4">
        <v>0</v>
      </c>
      <c r="AM486" s="4">
        <v>0</v>
      </c>
      <c r="AN486" s="4">
        <v>0</v>
      </c>
      <c r="AO486" s="4">
        <v>0</v>
      </c>
      <c r="AP486" s="4">
        <v>0</v>
      </c>
      <c r="AQ486" s="4">
        <v>7920000</v>
      </c>
      <c r="AR486" s="4">
        <v>7380000</v>
      </c>
      <c r="AS486" s="4">
        <v>3075000</v>
      </c>
      <c r="AT486" s="4">
        <v>0</v>
      </c>
      <c r="AU486" s="4">
        <v>0</v>
      </c>
      <c r="AV486" s="4">
        <v>0</v>
      </c>
      <c r="AW486" s="4">
        <v>0</v>
      </c>
      <c r="AX486" s="4">
        <v>540000</v>
      </c>
      <c r="AY486" s="4">
        <v>4845000</v>
      </c>
    </row>
    <row r="487" spans="1:51">
      <c r="A487" s="3" t="s">
        <v>52</v>
      </c>
      <c r="B487" s="3" t="s">
        <v>53</v>
      </c>
      <c r="C487" s="3" t="s">
        <v>54</v>
      </c>
      <c r="D487" s="3" t="s">
        <v>55</v>
      </c>
      <c r="E487" s="3" t="s">
        <v>56</v>
      </c>
      <c r="F487" s="3" t="s">
        <v>57</v>
      </c>
      <c r="G487" s="3" t="s">
        <v>58</v>
      </c>
      <c r="H487" s="3" t="s">
        <v>59</v>
      </c>
      <c r="I487" s="3" t="s">
        <v>60</v>
      </c>
      <c r="J487" s="3" t="s">
        <v>61</v>
      </c>
      <c r="K487" s="3" t="s">
        <v>62</v>
      </c>
      <c r="L487" s="3" t="s">
        <v>63</v>
      </c>
      <c r="M487" s="3" t="s">
        <v>801</v>
      </c>
      <c r="N487" s="3" t="s">
        <v>802</v>
      </c>
      <c r="O487" s="3" t="s">
        <v>803</v>
      </c>
      <c r="P487" s="3" t="s">
        <v>804</v>
      </c>
      <c r="Q487" s="3" t="s">
        <v>805</v>
      </c>
      <c r="R487" s="3" t="s">
        <v>806</v>
      </c>
      <c r="S487" s="3" t="s">
        <v>159</v>
      </c>
      <c r="T487" s="3" t="s">
        <v>821</v>
      </c>
      <c r="U487" s="3" t="s">
        <v>54</v>
      </c>
      <c r="V487" s="3" t="s">
        <v>72</v>
      </c>
      <c r="W487" s="3" t="s">
        <v>73</v>
      </c>
      <c r="X487" s="3" t="s">
        <v>74</v>
      </c>
      <c r="Y487" s="3" t="s">
        <v>75</v>
      </c>
      <c r="Z487" s="3" t="s">
        <v>76</v>
      </c>
      <c r="AA487" s="3" t="s">
        <v>830</v>
      </c>
      <c r="AB487" s="4">
        <v>1200000</v>
      </c>
      <c r="AC487" s="4">
        <v>0</v>
      </c>
      <c r="AD487" s="4">
        <v>0</v>
      </c>
      <c r="AE487" s="4">
        <v>1200000</v>
      </c>
      <c r="AF487" s="4">
        <v>0</v>
      </c>
      <c r="AG487" s="4">
        <v>0</v>
      </c>
      <c r="AH487" s="4">
        <v>0</v>
      </c>
      <c r="AI487" s="4">
        <v>0</v>
      </c>
      <c r="AJ487" s="4">
        <v>0</v>
      </c>
      <c r="AK487" s="4">
        <v>0</v>
      </c>
      <c r="AL487" s="4">
        <v>0</v>
      </c>
      <c r="AM487" s="4">
        <v>0</v>
      </c>
      <c r="AN487" s="4">
        <v>0</v>
      </c>
      <c r="AO487" s="4">
        <v>0</v>
      </c>
      <c r="AP487" s="4">
        <v>0</v>
      </c>
      <c r="AQ487" s="4">
        <v>1200000</v>
      </c>
      <c r="AR487" s="4">
        <v>0</v>
      </c>
      <c r="AS487" s="4">
        <v>0</v>
      </c>
      <c r="AT487" s="4">
        <v>0</v>
      </c>
      <c r="AU487" s="4">
        <v>0</v>
      </c>
      <c r="AV487" s="4">
        <v>0</v>
      </c>
      <c r="AW487" s="4">
        <v>0</v>
      </c>
      <c r="AX487" s="4">
        <v>1200000</v>
      </c>
      <c r="AY487" s="4">
        <v>1200000</v>
      </c>
    </row>
    <row r="488" spans="1:51">
      <c r="A488" s="3" t="s">
        <v>52</v>
      </c>
      <c r="B488" s="3" t="s">
        <v>53</v>
      </c>
      <c r="C488" s="3" t="s">
        <v>54</v>
      </c>
      <c r="D488" s="3" t="s">
        <v>55</v>
      </c>
      <c r="E488" s="3" t="s">
        <v>56</v>
      </c>
      <c r="F488" s="3" t="s">
        <v>57</v>
      </c>
      <c r="G488" s="3" t="s">
        <v>58</v>
      </c>
      <c r="H488" s="3" t="s">
        <v>59</v>
      </c>
      <c r="I488" s="3" t="s">
        <v>60</v>
      </c>
      <c r="J488" s="3" t="s">
        <v>61</v>
      </c>
      <c r="K488" s="3" t="s">
        <v>62</v>
      </c>
      <c r="L488" s="3" t="s">
        <v>63</v>
      </c>
      <c r="M488" s="3" t="s">
        <v>801</v>
      </c>
      <c r="N488" s="3" t="s">
        <v>802</v>
      </c>
      <c r="O488" s="3" t="s">
        <v>803</v>
      </c>
      <c r="P488" s="3" t="s">
        <v>804</v>
      </c>
      <c r="Q488" s="3" t="s">
        <v>805</v>
      </c>
      <c r="R488" s="3" t="s">
        <v>806</v>
      </c>
      <c r="S488" s="3" t="s">
        <v>159</v>
      </c>
      <c r="T488" s="3" t="s">
        <v>821</v>
      </c>
      <c r="U488" s="3" t="s">
        <v>54</v>
      </c>
      <c r="V488" s="3" t="s">
        <v>72</v>
      </c>
      <c r="W488" s="3" t="s">
        <v>73</v>
      </c>
      <c r="X488" s="3" t="s">
        <v>74</v>
      </c>
      <c r="Y488" s="3" t="s">
        <v>75</v>
      </c>
      <c r="Z488" s="3" t="s">
        <v>76</v>
      </c>
      <c r="AA488" s="3" t="s">
        <v>831</v>
      </c>
      <c r="AB488" s="4">
        <v>5208000</v>
      </c>
      <c r="AC488" s="4">
        <v>0</v>
      </c>
      <c r="AD488" s="4">
        <v>0</v>
      </c>
      <c r="AE488" s="4">
        <v>5208000</v>
      </c>
      <c r="AF488" s="4">
        <v>0</v>
      </c>
      <c r="AG488" s="4">
        <v>0</v>
      </c>
      <c r="AH488" s="4">
        <v>0</v>
      </c>
      <c r="AI488" s="4">
        <v>0</v>
      </c>
      <c r="AJ488" s="4">
        <v>0</v>
      </c>
      <c r="AK488" s="4">
        <v>0</v>
      </c>
      <c r="AL488" s="4">
        <v>0</v>
      </c>
      <c r="AM488" s="4">
        <v>0</v>
      </c>
      <c r="AN488" s="4">
        <v>0</v>
      </c>
      <c r="AO488" s="4">
        <v>0</v>
      </c>
      <c r="AP488" s="4">
        <v>0</v>
      </c>
      <c r="AQ488" s="4">
        <v>5208000</v>
      </c>
      <c r="AR488" s="4">
        <v>3000000</v>
      </c>
      <c r="AS488" s="4">
        <v>1250000</v>
      </c>
      <c r="AT488" s="4">
        <v>0</v>
      </c>
      <c r="AU488" s="4">
        <v>0</v>
      </c>
      <c r="AV488" s="4">
        <v>0</v>
      </c>
      <c r="AW488" s="4">
        <v>0</v>
      </c>
      <c r="AX488" s="4">
        <v>2208000</v>
      </c>
      <c r="AY488" s="4">
        <v>3958000</v>
      </c>
    </row>
    <row r="489" spans="1:51">
      <c r="A489" s="3" t="s">
        <v>52</v>
      </c>
      <c r="B489" s="3" t="s">
        <v>53</v>
      </c>
      <c r="C489" s="3" t="s">
        <v>54</v>
      </c>
      <c r="D489" s="3" t="s">
        <v>55</v>
      </c>
      <c r="E489" s="3" t="s">
        <v>56</v>
      </c>
      <c r="F489" s="3" t="s">
        <v>57</v>
      </c>
      <c r="G489" s="3" t="s">
        <v>58</v>
      </c>
      <c r="H489" s="3" t="s">
        <v>59</v>
      </c>
      <c r="I489" s="3" t="s">
        <v>60</v>
      </c>
      <c r="J489" s="3" t="s">
        <v>61</v>
      </c>
      <c r="K489" s="3" t="s">
        <v>62</v>
      </c>
      <c r="L489" s="3" t="s">
        <v>63</v>
      </c>
      <c r="M489" s="3" t="s">
        <v>801</v>
      </c>
      <c r="N489" s="3" t="s">
        <v>802</v>
      </c>
      <c r="O489" s="3" t="s">
        <v>803</v>
      </c>
      <c r="P489" s="3" t="s">
        <v>804</v>
      </c>
      <c r="Q489" s="3" t="s">
        <v>805</v>
      </c>
      <c r="R489" s="3" t="s">
        <v>806</v>
      </c>
      <c r="S489" s="3" t="s">
        <v>159</v>
      </c>
      <c r="T489" s="3" t="s">
        <v>821</v>
      </c>
      <c r="U489" s="3" t="s">
        <v>54</v>
      </c>
      <c r="V489" s="3" t="s">
        <v>72</v>
      </c>
      <c r="W489" s="3" t="s">
        <v>73</v>
      </c>
      <c r="X489" s="3" t="s">
        <v>74</v>
      </c>
      <c r="Y489" s="3" t="s">
        <v>75</v>
      </c>
      <c r="Z489" s="3" t="s">
        <v>76</v>
      </c>
      <c r="AA489" s="3" t="s">
        <v>832</v>
      </c>
      <c r="AB489" s="4">
        <v>294000</v>
      </c>
      <c r="AC489" s="4">
        <v>0</v>
      </c>
      <c r="AD489" s="4">
        <v>0</v>
      </c>
      <c r="AE489" s="4">
        <v>294000</v>
      </c>
      <c r="AF489" s="4">
        <v>0</v>
      </c>
      <c r="AG489" s="4">
        <v>0</v>
      </c>
      <c r="AH489" s="4">
        <v>0</v>
      </c>
      <c r="AI489" s="4">
        <v>0</v>
      </c>
      <c r="AJ489" s="4">
        <v>0</v>
      </c>
      <c r="AK489" s="4">
        <v>0</v>
      </c>
      <c r="AL489" s="4">
        <v>0</v>
      </c>
      <c r="AM489" s="4">
        <v>0</v>
      </c>
      <c r="AN489" s="4">
        <v>0</v>
      </c>
      <c r="AO489" s="4">
        <v>0</v>
      </c>
      <c r="AP489" s="4">
        <v>0</v>
      </c>
      <c r="AQ489" s="4">
        <v>294000</v>
      </c>
      <c r="AR489" s="4">
        <v>294000</v>
      </c>
      <c r="AS489" s="4">
        <v>235360</v>
      </c>
      <c r="AT489" s="4">
        <v>0</v>
      </c>
      <c r="AU489" s="4">
        <v>0</v>
      </c>
      <c r="AV489" s="4">
        <v>0</v>
      </c>
      <c r="AW489" s="4">
        <v>0</v>
      </c>
      <c r="AX489" s="4">
        <v>0</v>
      </c>
      <c r="AY489" s="4">
        <v>58640</v>
      </c>
    </row>
    <row r="490" spans="1:51">
      <c r="A490" s="3" t="s">
        <v>52</v>
      </c>
      <c r="B490" s="3" t="s">
        <v>53</v>
      </c>
      <c r="C490" s="3" t="s">
        <v>54</v>
      </c>
      <c r="D490" s="3" t="s">
        <v>55</v>
      </c>
      <c r="E490" s="3" t="s">
        <v>56</v>
      </c>
      <c r="F490" s="3" t="s">
        <v>57</v>
      </c>
      <c r="G490" s="3" t="s">
        <v>58</v>
      </c>
      <c r="H490" s="3" t="s">
        <v>59</v>
      </c>
      <c r="I490" s="3" t="s">
        <v>60</v>
      </c>
      <c r="J490" s="3" t="s">
        <v>61</v>
      </c>
      <c r="K490" s="3" t="s">
        <v>62</v>
      </c>
      <c r="L490" s="3" t="s">
        <v>63</v>
      </c>
      <c r="M490" s="3" t="s">
        <v>801</v>
      </c>
      <c r="N490" s="3" t="s">
        <v>802</v>
      </c>
      <c r="O490" s="3" t="s">
        <v>803</v>
      </c>
      <c r="P490" s="3" t="s">
        <v>804</v>
      </c>
      <c r="Q490" s="3" t="s">
        <v>805</v>
      </c>
      <c r="R490" s="3" t="s">
        <v>806</v>
      </c>
      <c r="S490" s="3" t="s">
        <v>159</v>
      </c>
      <c r="T490" s="3" t="s">
        <v>821</v>
      </c>
      <c r="U490" s="3" t="s">
        <v>54</v>
      </c>
      <c r="V490" s="3" t="s">
        <v>72</v>
      </c>
      <c r="W490" s="3" t="s">
        <v>73</v>
      </c>
      <c r="X490" s="3" t="s">
        <v>74</v>
      </c>
      <c r="Y490" s="3" t="s">
        <v>75</v>
      </c>
      <c r="Z490" s="3" t="s">
        <v>76</v>
      </c>
      <c r="AA490" s="3" t="s">
        <v>833</v>
      </c>
      <c r="AB490" s="4">
        <v>504000</v>
      </c>
      <c r="AC490" s="4">
        <v>0</v>
      </c>
      <c r="AD490" s="4">
        <v>0</v>
      </c>
      <c r="AE490" s="4">
        <v>504000</v>
      </c>
      <c r="AF490" s="4">
        <v>0</v>
      </c>
      <c r="AG490" s="4">
        <v>0</v>
      </c>
      <c r="AH490" s="4">
        <v>0</v>
      </c>
      <c r="AI490" s="4">
        <v>0</v>
      </c>
      <c r="AJ490" s="4">
        <v>0</v>
      </c>
      <c r="AK490" s="4">
        <v>0</v>
      </c>
      <c r="AL490" s="4">
        <v>0</v>
      </c>
      <c r="AM490" s="4">
        <v>0</v>
      </c>
      <c r="AN490" s="4">
        <v>0</v>
      </c>
      <c r="AO490" s="4">
        <v>0</v>
      </c>
      <c r="AP490" s="4">
        <v>0</v>
      </c>
      <c r="AQ490" s="4">
        <v>504000</v>
      </c>
      <c r="AR490" s="4">
        <v>433900</v>
      </c>
      <c r="AS490" s="4">
        <v>113180</v>
      </c>
      <c r="AT490" s="4">
        <v>0</v>
      </c>
      <c r="AU490" s="4">
        <v>0</v>
      </c>
      <c r="AV490" s="4">
        <v>0</v>
      </c>
      <c r="AW490" s="4">
        <v>0</v>
      </c>
      <c r="AX490" s="4">
        <v>70100</v>
      </c>
      <c r="AY490" s="4">
        <v>390820</v>
      </c>
    </row>
    <row r="491" spans="1:51">
      <c r="A491" s="3" t="s">
        <v>52</v>
      </c>
      <c r="B491" s="3" t="s">
        <v>53</v>
      </c>
      <c r="C491" s="3" t="s">
        <v>54</v>
      </c>
      <c r="D491" s="3" t="s">
        <v>55</v>
      </c>
      <c r="E491" s="3" t="s">
        <v>56</v>
      </c>
      <c r="F491" s="3" t="s">
        <v>57</v>
      </c>
      <c r="G491" s="3" t="s">
        <v>58</v>
      </c>
      <c r="H491" s="3" t="s">
        <v>59</v>
      </c>
      <c r="I491" s="3" t="s">
        <v>60</v>
      </c>
      <c r="J491" s="3" t="s">
        <v>61</v>
      </c>
      <c r="K491" s="3" t="s">
        <v>62</v>
      </c>
      <c r="L491" s="3" t="s">
        <v>63</v>
      </c>
      <c r="M491" s="3" t="s">
        <v>801</v>
      </c>
      <c r="N491" s="3" t="s">
        <v>802</v>
      </c>
      <c r="O491" s="3" t="s">
        <v>803</v>
      </c>
      <c r="P491" s="3" t="s">
        <v>804</v>
      </c>
      <c r="Q491" s="3" t="s">
        <v>805</v>
      </c>
      <c r="R491" s="3" t="s">
        <v>806</v>
      </c>
      <c r="S491" s="3" t="s">
        <v>159</v>
      </c>
      <c r="T491" s="3" t="s">
        <v>821</v>
      </c>
      <c r="U491" s="3" t="s">
        <v>54</v>
      </c>
      <c r="V491" s="3" t="s">
        <v>72</v>
      </c>
      <c r="W491" s="3" t="s">
        <v>73</v>
      </c>
      <c r="X491" s="3" t="s">
        <v>74</v>
      </c>
      <c r="Y491" s="3" t="s">
        <v>75</v>
      </c>
      <c r="Z491" s="3" t="s">
        <v>76</v>
      </c>
      <c r="AA491" s="3" t="s">
        <v>834</v>
      </c>
      <c r="AB491" s="4">
        <v>3000000</v>
      </c>
      <c r="AC491" s="4">
        <v>2200000</v>
      </c>
      <c r="AD491" s="4">
        <v>0</v>
      </c>
      <c r="AE491" s="4">
        <v>5200000</v>
      </c>
      <c r="AF491" s="4">
        <v>0</v>
      </c>
      <c r="AG491" s="4">
        <v>0</v>
      </c>
      <c r="AH491" s="4">
        <v>0</v>
      </c>
      <c r="AI491" s="4">
        <v>0</v>
      </c>
      <c r="AJ491" s="4">
        <v>0</v>
      </c>
      <c r="AK491" s="4">
        <v>0</v>
      </c>
      <c r="AL491" s="4">
        <v>0</v>
      </c>
      <c r="AM491" s="4">
        <v>0</v>
      </c>
      <c r="AN491" s="4">
        <v>0</v>
      </c>
      <c r="AO491" s="4">
        <v>0</v>
      </c>
      <c r="AP491" s="4">
        <v>0</v>
      </c>
      <c r="AQ491" s="4">
        <v>5200000</v>
      </c>
      <c r="AR491" s="4">
        <v>5161200</v>
      </c>
      <c r="AS491" s="4">
        <v>2150500</v>
      </c>
      <c r="AT491" s="4">
        <v>0</v>
      </c>
      <c r="AU491" s="4">
        <v>0</v>
      </c>
      <c r="AV491" s="4">
        <v>0</v>
      </c>
      <c r="AW491" s="4">
        <v>0</v>
      </c>
      <c r="AX491" s="4">
        <v>38800</v>
      </c>
      <c r="AY491" s="4">
        <v>3049500</v>
      </c>
    </row>
    <row r="492" spans="1:51">
      <c r="A492" s="3" t="s">
        <v>52</v>
      </c>
      <c r="B492" s="3" t="s">
        <v>53</v>
      </c>
      <c r="C492" s="3" t="s">
        <v>54</v>
      </c>
      <c r="D492" s="3" t="s">
        <v>55</v>
      </c>
      <c r="E492" s="3" t="s">
        <v>56</v>
      </c>
      <c r="F492" s="3" t="s">
        <v>57</v>
      </c>
      <c r="G492" s="3" t="s">
        <v>58</v>
      </c>
      <c r="H492" s="3" t="s">
        <v>59</v>
      </c>
      <c r="I492" s="3" t="s">
        <v>60</v>
      </c>
      <c r="J492" s="3" t="s">
        <v>61</v>
      </c>
      <c r="K492" s="3" t="s">
        <v>62</v>
      </c>
      <c r="L492" s="3" t="s">
        <v>63</v>
      </c>
      <c r="M492" s="3" t="s">
        <v>801</v>
      </c>
      <c r="N492" s="3" t="s">
        <v>802</v>
      </c>
      <c r="O492" s="3" t="s">
        <v>803</v>
      </c>
      <c r="P492" s="3" t="s">
        <v>804</v>
      </c>
      <c r="Q492" s="3" t="s">
        <v>805</v>
      </c>
      <c r="R492" s="3" t="s">
        <v>806</v>
      </c>
      <c r="S492" s="3" t="s">
        <v>159</v>
      </c>
      <c r="T492" s="3" t="s">
        <v>821</v>
      </c>
      <c r="U492" s="3" t="s">
        <v>54</v>
      </c>
      <c r="V492" s="3" t="s">
        <v>72</v>
      </c>
      <c r="W492" s="3" t="s">
        <v>73</v>
      </c>
      <c r="X492" s="3" t="s">
        <v>74</v>
      </c>
      <c r="Y492" s="3" t="s">
        <v>75</v>
      </c>
      <c r="Z492" s="3" t="s">
        <v>76</v>
      </c>
      <c r="AA492" s="3" t="s">
        <v>835</v>
      </c>
      <c r="AB492" s="4">
        <v>2040000</v>
      </c>
      <c r="AC492" s="4">
        <v>0</v>
      </c>
      <c r="AD492" s="4">
        <v>0</v>
      </c>
      <c r="AE492" s="4">
        <v>2040000</v>
      </c>
      <c r="AF492" s="4">
        <v>0</v>
      </c>
      <c r="AG492" s="4">
        <v>0</v>
      </c>
      <c r="AH492" s="4">
        <v>0</v>
      </c>
      <c r="AI492" s="4">
        <v>0</v>
      </c>
      <c r="AJ492" s="4">
        <v>0</v>
      </c>
      <c r="AK492" s="4">
        <v>0</v>
      </c>
      <c r="AL492" s="4">
        <v>0</v>
      </c>
      <c r="AM492" s="4">
        <v>0</v>
      </c>
      <c r="AN492" s="4">
        <v>0</v>
      </c>
      <c r="AO492" s="4">
        <v>0</v>
      </c>
      <c r="AP492" s="4">
        <v>0</v>
      </c>
      <c r="AQ492" s="4">
        <v>2040000</v>
      </c>
      <c r="AR492" s="4">
        <v>0</v>
      </c>
      <c r="AS492" s="4">
        <v>0</v>
      </c>
      <c r="AT492" s="4">
        <v>0</v>
      </c>
      <c r="AU492" s="4">
        <v>0</v>
      </c>
      <c r="AV492" s="4">
        <v>0</v>
      </c>
      <c r="AW492" s="4">
        <v>0</v>
      </c>
      <c r="AX492" s="4">
        <v>2040000</v>
      </c>
      <c r="AY492" s="4">
        <v>2040000</v>
      </c>
    </row>
    <row r="493" spans="1:51">
      <c r="A493" s="3" t="s">
        <v>52</v>
      </c>
      <c r="B493" s="3" t="s">
        <v>53</v>
      </c>
      <c r="C493" s="3" t="s">
        <v>54</v>
      </c>
      <c r="D493" s="3" t="s">
        <v>55</v>
      </c>
      <c r="E493" s="3" t="s">
        <v>56</v>
      </c>
      <c r="F493" s="3" t="s">
        <v>57</v>
      </c>
      <c r="G493" s="3" t="s">
        <v>58</v>
      </c>
      <c r="H493" s="3" t="s">
        <v>59</v>
      </c>
      <c r="I493" s="3" t="s">
        <v>60</v>
      </c>
      <c r="J493" s="3" t="s">
        <v>61</v>
      </c>
      <c r="K493" s="3" t="s">
        <v>62</v>
      </c>
      <c r="L493" s="3" t="s">
        <v>63</v>
      </c>
      <c r="M493" s="3" t="s">
        <v>801</v>
      </c>
      <c r="N493" s="3" t="s">
        <v>802</v>
      </c>
      <c r="O493" s="3" t="s">
        <v>803</v>
      </c>
      <c r="P493" s="3" t="s">
        <v>804</v>
      </c>
      <c r="Q493" s="3" t="s">
        <v>805</v>
      </c>
      <c r="R493" s="3" t="s">
        <v>806</v>
      </c>
      <c r="S493" s="3" t="s">
        <v>159</v>
      </c>
      <c r="T493" s="3" t="s">
        <v>821</v>
      </c>
      <c r="U493" s="3" t="s">
        <v>54</v>
      </c>
      <c r="V493" s="3" t="s">
        <v>72</v>
      </c>
      <c r="W493" s="3" t="s">
        <v>73</v>
      </c>
      <c r="X493" s="3" t="s">
        <v>74</v>
      </c>
      <c r="Y493" s="3" t="s">
        <v>75</v>
      </c>
      <c r="Z493" s="3" t="s">
        <v>76</v>
      </c>
      <c r="AA493" s="3" t="s">
        <v>836</v>
      </c>
      <c r="AB493" s="4">
        <v>2400000</v>
      </c>
      <c r="AC493" s="4">
        <v>240000</v>
      </c>
      <c r="AD493" s="4">
        <v>0</v>
      </c>
      <c r="AE493" s="4">
        <v>2640000</v>
      </c>
      <c r="AF493" s="4">
        <v>0</v>
      </c>
      <c r="AG493" s="4">
        <v>0</v>
      </c>
      <c r="AH493" s="4">
        <v>0</v>
      </c>
      <c r="AI493" s="4">
        <v>0</v>
      </c>
      <c r="AJ493" s="4">
        <v>0</v>
      </c>
      <c r="AK493" s="4">
        <v>0</v>
      </c>
      <c r="AL493" s="4">
        <v>0</v>
      </c>
      <c r="AM493" s="4">
        <v>0</v>
      </c>
      <c r="AN493" s="4">
        <v>0</v>
      </c>
      <c r="AO493" s="4">
        <v>0</v>
      </c>
      <c r="AP493" s="4">
        <v>0</v>
      </c>
      <c r="AQ493" s="4">
        <v>2640000</v>
      </c>
      <c r="AR493" s="4">
        <v>2640000</v>
      </c>
      <c r="AS493" s="4">
        <v>1100000</v>
      </c>
      <c r="AT493" s="4">
        <v>0</v>
      </c>
      <c r="AU493" s="4">
        <v>0</v>
      </c>
      <c r="AV493" s="4">
        <v>0</v>
      </c>
      <c r="AW493" s="4">
        <v>0</v>
      </c>
      <c r="AX493" s="4">
        <v>0</v>
      </c>
      <c r="AY493" s="4">
        <v>1540000</v>
      </c>
    </row>
    <row r="494" spans="1:51">
      <c r="A494" s="3" t="s">
        <v>52</v>
      </c>
      <c r="B494" s="3" t="s">
        <v>53</v>
      </c>
      <c r="C494" s="3" t="s">
        <v>54</v>
      </c>
      <c r="D494" s="3" t="s">
        <v>55</v>
      </c>
      <c r="E494" s="3" t="s">
        <v>56</v>
      </c>
      <c r="F494" s="3" t="s">
        <v>57</v>
      </c>
      <c r="G494" s="3" t="s">
        <v>58</v>
      </c>
      <c r="H494" s="3" t="s">
        <v>59</v>
      </c>
      <c r="I494" s="3" t="s">
        <v>60</v>
      </c>
      <c r="J494" s="3" t="s">
        <v>61</v>
      </c>
      <c r="K494" s="3" t="s">
        <v>62</v>
      </c>
      <c r="L494" s="3" t="s">
        <v>63</v>
      </c>
      <c r="M494" s="3" t="s">
        <v>801</v>
      </c>
      <c r="N494" s="3" t="s">
        <v>802</v>
      </c>
      <c r="O494" s="3" t="s">
        <v>803</v>
      </c>
      <c r="P494" s="3" t="s">
        <v>804</v>
      </c>
      <c r="Q494" s="3" t="s">
        <v>805</v>
      </c>
      <c r="R494" s="3" t="s">
        <v>806</v>
      </c>
      <c r="S494" s="3" t="s">
        <v>159</v>
      </c>
      <c r="T494" s="3" t="s">
        <v>821</v>
      </c>
      <c r="U494" s="3" t="s">
        <v>54</v>
      </c>
      <c r="V494" s="3" t="s">
        <v>72</v>
      </c>
      <c r="W494" s="3" t="s">
        <v>73</v>
      </c>
      <c r="X494" s="3" t="s">
        <v>74</v>
      </c>
      <c r="Y494" s="3" t="s">
        <v>75</v>
      </c>
      <c r="Z494" s="3" t="s">
        <v>76</v>
      </c>
      <c r="AA494" s="3" t="s">
        <v>837</v>
      </c>
      <c r="AB494" s="4">
        <v>14000000</v>
      </c>
      <c r="AC494" s="4">
        <v>0</v>
      </c>
      <c r="AD494" s="4">
        <v>0</v>
      </c>
      <c r="AE494" s="4">
        <v>14000000</v>
      </c>
      <c r="AF494" s="4">
        <v>0</v>
      </c>
      <c r="AG494" s="4">
        <v>0</v>
      </c>
      <c r="AH494" s="4">
        <v>0</v>
      </c>
      <c r="AI494" s="4">
        <v>0</v>
      </c>
      <c r="AJ494" s="4">
        <v>0</v>
      </c>
      <c r="AK494" s="4">
        <v>0</v>
      </c>
      <c r="AL494" s="4">
        <v>0</v>
      </c>
      <c r="AM494" s="4">
        <v>0</v>
      </c>
      <c r="AN494" s="4">
        <v>0</v>
      </c>
      <c r="AO494" s="4">
        <v>0</v>
      </c>
      <c r="AP494" s="4">
        <v>0</v>
      </c>
      <c r="AQ494" s="4">
        <v>14000000</v>
      </c>
      <c r="AR494" s="4">
        <v>3650000</v>
      </c>
      <c r="AS494" s="4">
        <v>2000000</v>
      </c>
      <c r="AT494" s="4">
        <v>0</v>
      </c>
      <c r="AU494" s="4">
        <v>0</v>
      </c>
      <c r="AV494" s="4">
        <v>0</v>
      </c>
      <c r="AW494" s="4">
        <v>0</v>
      </c>
      <c r="AX494" s="4">
        <v>10350000</v>
      </c>
      <c r="AY494" s="4">
        <v>12000000</v>
      </c>
    </row>
    <row r="495" spans="1:51">
      <c r="A495" s="3" t="s">
        <v>52</v>
      </c>
      <c r="B495" s="3" t="s">
        <v>53</v>
      </c>
      <c r="C495" s="3" t="s">
        <v>54</v>
      </c>
      <c r="D495" s="3" t="s">
        <v>55</v>
      </c>
      <c r="E495" s="3" t="s">
        <v>56</v>
      </c>
      <c r="F495" s="3" t="s">
        <v>57</v>
      </c>
      <c r="G495" s="3" t="s">
        <v>58</v>
      </c>
      <c r="H495" s="3" t="s">
        <v>59</v>
      </c>
      <c r="I495" s="3" t="s">
        <v>60</v>
      </c>
      <c r="J495" s="3" t="s">
        <v>61</v>
      </c>
      <c r="K495" s="3" t="s">
        <v>62</v>
      </c>
      <c r="L495" s="3" t="s">
        <v>63</v>
      </c>
      <c r="M495" s="3" t="s">
        <v>801</v>
      </c>
      <c r="N495" s="3" t="s">
        <v>802</v>
      </c>
      <c r="O495" s="3" t="s">
        <v>803</v>
      </c>
      <c r="P495" s="3" t="s">
        <v>804</v>
      </c>
      <c r="Q495" s="3" t="s">
        <v>805</v>
      </c>
      <c r="R495" s="3" t="s">
        <v>806</v>
      </c>
      <c r="S495" s="3" t="s">
        <v>159</v>
      </c>
      <c r="T495" s="3" t="s">
        <v>821</v>
      </c>
      <c r="U495" s="3" t="s">
        <v>54</v>
      </c>
      <c r="V495" s="3" t="s">
        <v>72</v>
      </c>
      <c r="W495" s="3" t="s">
        <v>73</v>
      </c>
      <c r="X495" s="3" t="s">
        <v>74</v>
      </c>
      <c r="Y495" s="3" t="s">
        <v>75</v>
      </c>
      <c r="Z495" s="3" t="s">
        <v>76</v>
      </c>
      <c r="AA495" s="3" t="s">
        <v>838</v>
      </c>
      <c r="AB495" s="4">
        <v>40600000</v>
      </c>
      <c r="AC495" s="4">
        <v>0</v>
      </c>
      <c r="AD495" s="4">
        <v>0</v>
      </c>
      <c r="AE495" s="4">
        <v>40600000</v>
      </c>
      <c r="AF495" s="4">
        <v>0</v>
      </c>
      <c r="AG495" s="4">
        <v>0</v>
      </c>
      <c r="AH495" s="4">
        <v>0</v>
      </c>
      <c r="AI495" s="4">
        <v>0</v>
      </c>
      <c r="AJ495" s="4">
        <v>0</v>
      </c>
      <c r="AK495" s="4">
        <v>0</v>
      </c>
      <c r="AL495" s="4">
        <v>0</v>
      </c>
      <c r="AM495" s="4">
        <v>0</v>
      </c>
      <c r="AN495" s="4">
        <v>0</v>
      </c>
      <c r="AO495" s="4">
        <v>0</v>
      </c>
      <c r="AP495" s="4">
        <v>0</v>
      </c>
      <c r="AQ495" s="4">
        <v>40600000</v>
      </c>
      <c r="AR495" s="4">
        <v>46198930</v>
      </c>
      <c r="AS495" s="4">
        <v>12486950</v>
      </c>
      <c r="AT495" s="4">
        <v>0</v>
      </c>
      <c r="AU495" s="4">
        <v>0</v>
      </c>
      <c r="AV495" s="4">
        <v>0</v>
      </c>
      <c r="AW495" s="4">
        <v>0</v>
      </c>
      <c r="AX495" s="4">
        <v>-5598930</v>
      </c>
      <c r="AY495" s="4">
        <v>28113050</v>
      </c>
    </row>
    <row r="496" spans="1:51">
      <c r="A496" s="3" t="s">
        <v>52</v>
      </c>
      <c r="B496" s="3" t="s">
        <v>53</v>
      </c>
      <c r="C496" s="3" t="s">
        <v>54</v>
      </c>
      <c r="D496" s="3" t="s">
        <v>55</v>
      </c>
      <c r="E496" s="3" t="s">
        <v>56</v>
      </c>
      <c r="F496" s="3" t="s">
        <v>57</v>
      </c>
      <c r="G496" s="3" t="s">
        <v>58</v>
      </c>
      <c r="H496" s="3" t="s">
        <v>59</v>
      </c>
      <c r="I496" s="3" t="s">
        <v>60</v>
      </c>
      <c r="J496" s="3" t="s">
        <v>61</v>
      </c>
      <c r="K496" s="3" t="s">
        <v>62</v>
      </c>
      <c r="L496" s="3" t="s">
        <v>63</v>
      </c>
      <c r="M496" s="3" t="s">
        <v>801</v>
      </c>
      <c r="N496" s="3" t="s">
        <v>802</v>
      </c>
      <c r="O496" s="3" t="s">
        <v>803</v>
      </c>
      <c r="P496" s="3" t="s">
        <v>804</v>
      </c>
      <c r="Q496" s="3" t="s">
        <v>805</v>
      </c>
      <c r="R496" s="3" t="s">
        <v>806</v>
      </c>
      <c r="S496" s="3" t="s">
        <v>159</v>
      </c>
      <c r="T496" s="3" t="s">
        <v>821</v>
      </c>
      <c r="U496" s="3" t="s">
        <v>54</v>
      </c>
      <c r="V496" s="3" t="s">
        <v>72</v>
      </c>
      <c r="W496" s="3" t="s">
        <v>73</v>
      </c>
      <c r="X496" s="3" t="s">
        <v>74</v>
      </c>
      <c r="Y496" s="3" t="s">
        <v>75</v>
      </c>
      <c r="Z496" s="3" t="s">
        <v>76</v>
      </c>
      <c r="AA496" s="3" t="s">
        <v>839</v>
      </c>
      <c r="AB496" s="4">
        <v>0</v>
      </c>
      <c r="AC496" s="4">
        <v>7631000</v>
      </c>
      <c r="AD496" s="4">
        <v>0</v>
      </c>
      <c r="AE496" s="4">
        <v>7631000</v>
      </c>
      <c r="AF496" s="4">
        <v>0</v>
      </c>
      <c r="AG496" s="4">
        <v>0</v>
      </c>
      <c r="AH496" s="4">
        <v>0</v>
      </c>
      <c r="AI496" s="4">
        <v>0</v>
      </c>
      <c r="AJ496" s="4">
        <v>0</v>
      </c>
      <c r="AK496" s="4">
        <v>0</v>
      </c>
      <c r="AL496" s="4">
        <v>0</v>
      </c>
      <c r="AM496" s="4">
        <v>0</v>
      </c>
      <c r="AN496" s="4">
        <v>0</v>
      </c>
      <c r="AO496" s="4">
        <v>0</v>
      </c>
      <c r="AP496" s="4">
        <v>0</v>
      </c>
      <c r="AQ496" s="4">
        <v>7631000</v>
      </c>
      <c r="AR496" s="4">
        <v>7630200</v>
      </c>
      <c r="AS496" s="4">
        <v>3815100</v>
      </c>
      <c r="AT496" s="4">
        <v>0</v>
      </c>
      <c r="AU496" s="4">
        <v>0</v>
      </c>
      <c r="AV496" s="4">
        <v>0</v>
      </c>
      <c r="AW496" s="4">
        <v>0</v>
      </c>
      <c r="AX496" s="4">
        <v>800</v>
      </c>
      <c r="AY496" s="4">
        <v>3815900</v>
      </c>
    </row>
    <row r="497" spans="1:51">
      <c r="A497" s="3" t="s">
        <v>52</v>
      </c>
      <c r="B497" s="3" t="s">
        <v>53</v>
      </c>
      <c r="C497" s="3" t="s">
        <v>54</v>
      </c>
      <c r="D497" s="3" t="s">
        <v>55</v>
      </c>
      <c r="E497" s="3" t="s">
        <v>56</v>
      </c>
      <c r="F497" s="3" t="s">
        <v>57</v>
      </c>
      <c r="G497" s="3" t="s">
        <v>58</v>
      </c>
      <c r="H497" s="3" t="s">
        <v>59</v>
      </c>
      <c r="I497" s="3" t="s">
        <v>60</v>
      </c>
      <c r="J497" s="3" t="s">
        <v>61</v>
      </c>
      <c r="K497" s="3" t="s">
        <v>62</v>
      </c>
      <c r="L497" s="3" t="s">
        <v>63</v>
      </c>
      <c r="M497" s="3" t="s">
        <v>801</v>
      </c>
      <c r="N497" s="3" t="s">
        <v>802</v>
      </c>
      <c r="O497" s="3" t="s">
        <v>803</v>
      </c>
      <c r="P497" s="3" t="s">
        <v>804</v>
      </c>
      <c r="Q497" s="3" t="s">
        <v>805</v>
      </c>
      <c r="R497" s="3" t="s">
        <v>806</v>
      </c>
      <c r="S497" s="3" t="s">
        <v>334</v>
      </c>
      <c r="T497" s="3" t="s">
        <v>840</v>
      </c>
      <c r="U497" s="3" t="s">
        <v>54</v>
      </c>
      <c r="V497" s="3" t="s">
        <v>72</v>
      </c>
      <c r="W497" s="3" t="s">
        <v>73</v>
      </c>
      <c r="X497" s="3" t="s">
        <v>74</v>
      </c>
      <c r="Y497" s="3" t="s">
        <v>75</v>
      </c>
      <c r="Z497" s="3" t="s">
        <v>76</v>
      </c>
      <c r="AA497" s="3" t="s">
        <v>841</v>
      </c>
      <c r="AB497" s="4">
        <v>800000</v>
      </c>
      <c r="AC497" s="4">
        <v>0</v>
      </c>
      <c r="AD497" s="4">
        <v>0</v>
      </c>
      <c r="AE497" s="4">
        <v>800000</v>
      </c>
      <c r="AF497" s="4">
        <v>0</v>
      </c>
      <c r="AG497" s="4">
        <v>0</v>
      </c>
      <c r="AH497" s="4">
        <v>0</v>
      </c>
      <c r="AI497" s="4">
        <v>0</v>
      </c>
      <c r="AJ497" s="4">
        <v>0</v>
      </c>
      <c r="AK497" s="4">
        <v>0</v>
      </c>
      <c r="AL497" s="4">
        <v>0</v>
      </c>
      <c r="AM497" s="4">
        <v>0</v>
      </c>
      <c r="AN497" s="4">
        <v>0</v>
      </c>
      <c r="AO497" s="4">
        <v>0</v>
      </c>
      <c r="AP497" s="4">
        <v>0</v>
      </c>
      <c r="AQ497" s="4">
        <v>800000</v>
      </c>
      <c r="AR497" s="4">
        <v>346120</v>
      </c>
      <c r="AS497" s="4">
        <v>346120</v>
      </c>
      <c r="AT497" s="4">
        <v>0</v>
      </c>
      <c r="AU497" s="4">
        <v>0</v>
      </c>
      <c r="AV497" s="4">
        <v>0</v>
      </c>
      <c r="AW497" s="4">
        <v>0</v>
      </c>
      <c r="AX497" s="4">
        <v>453880</v>
      </c>
      <c r="AY497" s="4">
        <v>453880</v>
      </c>
    </row>
    <row r="498" spans="1:51">
      <c r="A498" s="3" t="s">
        <v>52</v>
      </c>
      <c r="B498" s="3" t="s">
        <v>53</v>
      </c>
      <c r="C498" s="3" t="s">
        <v>54</v>
      </c>
      <c r="D498" s="3" t="s">
        <v>55</v>
      </c>
      <c r="E498" s="3" t="s">
        <v>56</v>
      </c>
      <c r="F498" s="3" t="s">
        <v>57</v>
      </c>
      <c r="G498" s="3" t="s">
        <v>58</v>
      </c>
      <c r="H498" s="3" t="s">
        <v>59</v>
      </c>
      <c r="I498" s="3" t="s">
        <v>60</v>
      </c>
      <c r="J498" s="3" t="s">
        <v>61</v>
      </c>
      <c r="K498" s="3" t="s">
        <v>62</v>
      </c>
      <c r="L498" s="3" t="s">
        <v>63</v>
      </c>
      <c r="M498" s="3" t="s">
        <v>801</v>
      </c>
      <c r="N498" s="3" t="s">
        <v>802</v>
      </c>
      <c r="O498" s="3" t="s">
        <v>803</v>
      </c>
      <c r="P498" s="3" t="s">
        <v>804</v>
      </c>
      <c r="Q498" s="3" t="s">
        <v>805</v>
      </c>
      <c r="R498" s="3" t="s">
        <v>806</v>
      </c>
      <c r="S498" s="3" t="s">
        <v>334</v>
      </c>
      <c r="T498" s="3" t="s">
        <v>840</v>
      </c>
      <c r="U498" s="3" t="s">
        <v>54</v>
      </c>
      <c r="V498" s="3" t="s">
        <v>72</v>
      </c>
      <c r="W498" s="3" t="s">
        <v>73</v>
      </c>
      <c r="X498" s="3" t="s">
        <v>74</v>
      </c>
      <c r="Y498" s="3" t="s">
        <v>75</v>
      </c>
      <c r="Z498" s="3" t="s">
        <v>76</v>
      </c>
      <c r="AA498" s="3" t="s">
        <v>842</v>
      </c>
      <c r="AB498" s="4">
        <v>2892000</v>
      </c>
      <c r="AC498" s="4">
        <v>0</v>
      </c>
      <c r="AD498" s="4">
        <v>0</v>
      </c>
      <c r="AE498" s="4">
        <v>2892000</v>
      </c>
      <c r="AF498" s="4">
        <v>0</v>
      </c>
      <c r="AG498" s="4">
        <v>0</v>
      </c>
      <c r="AH498" s="4">
        <v>0</v>
      </c>
      <c r="AI498" s="4">
        <v>0</v>
      </c>
      <c r="AJ498" s="4">
        <v>0</v>
      </c>
      <c r="AK498" s="4">
        <v>0</v>
      </c>
      <c r="AL498" s="4">
        <v>0</v>
      </c>
      <c r="AM498" s="4">
        <v>0</v>
      </c>
      <c r="AN498" s="4">
        <v>0</v>
      </c>
      <c r="AO498" s="4">
        <v>0</v>
      </c>
      <c r="AP498" s="4">
        <v>0</v>
      </c>
      <c r="AQ498" s="4">
        <v>2892000</v>
      </c>
      <c r="AR498" s="4">
        <v>836000</v>
      </c>
      <c r="AS498" s="4">
        <v>836000</v>
      </c>
      <c r="AT498" s="4">
        <v>0</v>
      </c>
      <c r="AU498" s="4">
        <v>0</v>
      </c>
      <c r="AV498" s="4">
        <v>0</v>
      </c>
      <c r="AW498" s="4">
        <v>0</v>
      </c>
      <c r="AX498" s="4">
        <v>2056000</v>
      </c>
      <c r="AY498" s="4">
        <v>2056000</v>
      </c>
    </row>
    <row r="499" spans="1:51">
      <c r="A499" s="3" t="s">
        <v>52</v>
      </c>
      <c r="B499" s="3" t="s">
        <v>53</v>
      </c>
      <c r="C499" s="3" t="s">
        <v>54</v>
      </c>
      <c r="D499" s="3" t="s">
        <v>55</v>
      </c>
      <c r="E499" s="3" t="s">
        <v>56</v>
      </c>
      <c r="F499" s="3" t="s">
        <v>57</v>
      </c>
      <c r="G499" s="3" t="s">
        <v>58</v>
      </c>
      <c r="H499" s="3" t="s">
        <v>59</v>
      </c>
      <c r="I499" s="3" t="s">
        <v>60</v>
      </c>
      <c r="J499" s="3" t="s">
        <v>61</v>
      </c>
      <c r="K499" s="3" t="s">
        <v>62</v>
      </c>
      <c r="L499" s="3" t="s">
        <v>63</v>
      </c>
      <c r="M499" s="3" t="s">
        <v>801</v>
      </c>
      <c r="N499" s="3" t="s">
        <v>802</v>
      </c>
      <c r="O499" s="3" t="s">
        <v>803</v>
      </c>
      <c r="P499" s="3" t="s">
        <v>804</v>
      </c>
      <c r="Q499" s="3" t="s">
        <v>805</v>
      </c>
      <c r="R499" s="3" t="s">
        <v>806</v>
      </c>
      <c r="S499" s="3" t="s">
        <v>334</v>
      </c>
      <c r="T499" s="3" t="s">
        <v>840</v>
      </c>
      <c r="U499" s="3" t="s">
        <v>54</v>
      </c>
      <c r="V499" s="3" t="s">
        <v>72</v>
      </c>
      <c r="W499" s="3" t="s">
        <v>73</v>
      </c>
      <c r="X499" s="3" t="s">
        <v>74</v>
      </c>
      <c r="Y499" s="3" t="s">
        <v>75</v>
      </c>
      <c r="Z499" s="3" t="s">
        <v>76</v>
      </c>
      <c r="AA499" s="3" t="s">
        <v>843</v>
      </c>
      <c r="AB499" s="4">
        <v>7200000</v>
      </c>
      <c r="AC499" s="4">
        <v>0</v>
      </c>
      <c r="AD499" s="4">
        <v>0</v>
      </c>
      <c r="AE499" s="4">
        <v>7200000</v>
      </c>
      <c r="AF499" s="4">
        <v>0</v>
      </c>
      <c r="AG499" s="4">
        <v>0</v>
      </c>
      <c r="AH499" s="4">
        <v>0</v>
      </c>
      <c r="AI499" s="4">
        <v>0</v>
      </c>
      <c r="AJ499" s="4">
        <v>0</v>
      </c>
      <c r="AK499" s="4">
        <v>0</v>
      </c>
      <c r="AL499" s="4">
        <v>0</v>
      </c>
      <c r="AM499" s="4">
        <v>0</v>
      </c>
      <c r="AN499" s="4">
        <v>0</v>
      </c>
      <c r="AO499" s="4">
        <v>0</v>
      </c>
      <c r="AP499" s="4">
        <v>0</v>
      </c>
      <c r="AQ499" s="4">
        <v>7200000</v>
      </c>
      <c r="AR499" s="4">
        <v>1867780</v>
      </c>
      <c r="AS499" s="4">
        <v>1867780</v>
      </c>
      <c r="AT499" s="4">
        <v>0</v>
      </c>
      <c r="AU499" s="4">
        <v>0</v>
      </c>
      <c r="AV499" s="4">
        <v>0</v>
      </c>
      <c r="AW499" s="4">
        <v>0</v>
      </c>
      <c r="AX499" s="4">
        <v>5332220</v>
      </c>
      <c r="AY499" s="4">
        <v>5332220</v>
      </c>
    </row>
    <row r="500" spans="1:51">
      <c r="A500" s="3" t="s">
        <v>52</v>
      </c>
      <c r="B500" s="3" t="s">
        <v>53</v>
      </c>
      <c r="C500" s="3" t="s">
        <v>54</v>
      </c>
      <c r="D500" s="3" t="s">
        <v>55</v>
      </c>
      <c r="E500" s="3" t="s">
        <v>56</v>
      </c>
      <c r="F500" s="3" t="s">
        <v>57</v>
      </c>
      <c r="G500" s="3" t="s">
        <v>58</v>
      </c>
      <c r="H500" s="3" t="s">
        <v>59</v>
      </c>
      <c r="I500" s="3" t="s">
        <v>60</v>
      </c>
      <c r="J500" s="3" t="s">
        <v>61</v>
      </c>
      <c r="K500" s="3" t="s">
        <v>62</v>
      </c>
      <c r="L500" s="3" t="s">
        <v>63</v>
      </c>
      <c r="M500" s="3" t="s">
        <v>801</v>
      </c>
      <c r="N500" s="3" t="s">
        <v>802</v>
      </c>
      <c r="O500" s="3" t="s">
        <v>803</v>
      </c>
      <c r="P500" s="3" t="s">
        <v>804</v>
      </c>
      <c r="Q500" s="3" t="s">
        <v>805</v>
      </c>
      <c r="R500" s="3" t="s">
        <v>806</v>
      </c>
      <c r="S500" s="3" t="s">
        <v>334</v>
      </c>
      <c r="T500" s="3" t="s">
        <v>840</v>
      </c>
      <c r="U500" s="3" t="s">
        <v>54</v>
      </c>
      <c r="V500" s="3" t="s">
        <v>72</v>
      </c>
      <c r="W500" s="3" t="s">
        <v>73</v>
      </c>
      <c r="X500" s="3" t="s">
        <v>74</v>
      </c>
      <c r="Y500" s="3" t="s">
        <v>75</v>
      </c>
      <c r="Z500" s="3" t="s">
        <v>76</v>
      </c>
      <c r="AA500" s="3" t="s">
        <v>844</v>
      </c>
      <c r="AB500" s="4">
        <v>750000</v>
      </c>
      <c r="AC500" s="4">
        <v>0</v>
      </c>
      <c r="AD500" s="4">
        <v>0</v>
      </c>
      <c r="AE500" s="4">
        <v>750000</v>
      </c>
      <c r="AF500" s="4">
        <v>0</v>
      </c>
      <c r="AG500" s="4">
        <v>0</v>
      </c>
      <c r="AH500" s="4">
        <v>0</v>
      </c>
      <c r="AI500" s="4">
        <v>0</v>
      </c>
      <c r="AJ500" s="4">
        <v>0</v>
      </c>
      <c r="AK500" s="4">
        <v>0</v>
      </c>
      <c r="AL500" s="4">
        <v>0</v>
      </c>
      <c r="AM500" s="4">
        <v>0</v>
      </c>
      <c r="AN500" s="4">
        <v>0</v>
      </c>
      <c r="AO500" s="4">
        <v>0</v>
      </c>
      <c r="AP500" s="4">
        <v>0</v>
      </c>
      <c r="AQ500" s="4">
        <v>750000</v>
      </c>
      <c r="AR500" s="4">
        <v>651700</v>
      </c>
      <c r="AS500" s="4">
        <v>651700</v>
      </c>
      <c r="AT500" s="4">
        <v>0</v>
      </c>
      <c r="AU500" s="4">
        <v>0</v>
      </c>
      <c r="AV500" s="4">
        <v>0</v>
      </c>
      <c r="AW500" s="4">
        <v>0</v>
      </c>
      <c r="AX500" s="4">
        <v>98300</v>
      </c>
      <c r="AY500" s="4">
        <v>98300</v>
      </c>
    </row>
    <row r="501" spans="1:51">
      <c r="A501" s="3" t="s">
        <v>52</v>
      </c>
      <c r="B501" s="3" t="s">
        <v>53</v>
      </c>
      <c r="C501" s="3" t="s">
        <v>54</v>
      </c>
      <c r="D501" s="3" t="s">
        <v>55</v>
      </c>
      <c r="E501" s="3" t="s">
        <v>56</v>
      </c>
      <c r="F501" s="3" t="s">
        <v>57</v>
      </c>
      <c r="G501" s="3" t="s">
        <v>58</v>
      </c>
      <c r="H501" s="3" t="s">
        <v>59</v>
      </c>
      <c r="I501" s="3" t="s">
        <v>60</v>
      </c>
      <c r="J501" s="3" t="s">
        <v>61</v>
      </c>
      <c r="K501" s="3" t="s">
        <v>62</v>
      </c>
      <c r="L501" s="3" t="s">
        <v>63</v>
      </c>
      <c r="M501" s="3" t="s">
        <v>801</v>
      </c>
      <c r="N501" s="3" t="s">
        <v>802</v>
      </c>
      <c r="O501" s="3" t="s">
        <v>803</v>
      </c>
      <c r="P501" s="3" t="s">
        <v>804</v>
      </c>
      <c r="Q501" s="3" t="s">
        <v>805</v>
      </c>
      <c r="R501" s="3" t="s">
        <v>806</v>
      </c>
      <c r="S501" s="3" t="s">
        <v>334</v>
      </c>
      <c r="T501" s="3" t="s">
        <v>840</v>
      </c>
      <c r="U501" s="3" t="s">
        <v>54</v>
      </c>
      <c r="V501" s="3" t="s">
        <v>72</v>
      </c>
      <c r="W501" s="3" t="s">
        <v>73</v>
      </c>
      <c r="X501" s="3" t="s">
        <v>74</v>
      </c>
      <c r="Y501" s="3" t="s">
        <v>75</v>
      </c>
      <c r="Z501" s="3" t="s">
        <v>76</v>
      </c>
      <c r="AA501" s="3" t="s">
        <v>845</v>
      </c>
      <c r="AB501" s="4">
        <v>2800000</v>
      </c>
      <c r="AC501" s="4">
        <v>0</v>
      </c>
      <c r="AD501" s="4">
        <v>0</v>
      </c>
      <c r="AE501" s="4">
        <v>2800000</v>
      </c>
      <c r="AF501" s="4">
        <v>0</v>
      </c>
      <c r="AG501" s="4">
        <v>0</v>
      </c>
      <c r="AH501" s="4">
        <v>0</v>
      </c>
      <c r="AI501" s="4">
        <v>0</v>
      </c>
      <c r="AJ501" s="4">
        <v>0</v>
      </c>
      <c r="AK501" s="4">
        <v>0</v>
      </c>
      <c r="AL501" s="4">
        <v>0</v>
      </c>
      <c r="AM501" s="4">
        <v>0</v>
      </c>
      <c r="AN501" s="4">
        <v>0</v>
      </c>
      <c r="AO501" s="4">
        <v>0</v>
      </c>
      <c r="AP501" s="4">
        <v>0</v>
      </c>
      <c r="AQ501" s="4">
        <v>2800000</v>
      </c>
      <c r="AR501" s="4">
        <v>37200</v>
      </c>
      <c r="AS501" s="4">
        <v>37200</v>
      </c>
      <c r="AT501" s="4">
        <v>0</v>
      </c>
      <c r="AU501" s="4">
        <v>0</v>
      </c>
      <c r="AV501" s="4">
        <v>0</v>
      </c>
      <c r="AW501" s="4">
        <v>0</v>
      </c>
      <c r="AX501" s="4">
        <v>2762800</v>
      </c>
      <c r="AY501" s="4">
        <v>2762800</v>
      </c>
    </row>
    <row r="502" spans="1:51">
      <c r="A502" s="3" t="s">
        <v>52</v>
      </c>
      <c r="B502" s="3" t="s">
        <v>53</v>
      </c>
      <c r="C502" s="3" t="s">
        <v>54</v>
      </c>
      <c r="D502" s="3" t="s">
        <v>55</v>
      </c>
      <c r="E502" s="3" t="s">
        <v>56</v>
      </c>
      <c r="F502" s="3" t="s">
        <v>57</v>
      </c>
      <c r="G502" s="3" t="s">
        <v>58</v>
      </c>
      <c r="H502" s="3" t="s">
        <v>59</v>
      </c>
      <c r="I502" s="3" t="s">
        <v>60</v>
      </c>
      <c r="J502" s="3" t="s">
        <v>61</v>
      </c>
      <c r="K502" s="3" t="s">
        <v>62</v>
      </c>
      <c r="L502" s="3" t="s">
        <v>63</v>
      </c>
      <c r="M502" s="3" t="s">
        <v>801</v>
      </c>
      <c r="N502" s="3" t="s">
        <v>802</v>
      </c>
      <c r="O502" s="3" t="s">
        <v>803</v>
      </c>
      <c r="P502" s="3" t="s">
        <v>804</v>
      </c>
      <c r="Q502" s="3" t="s">
        <v>805</v>
      </c>
      <c r="R502" s="3" t="s">
        <v>806</v>
      </c>
      <c r="S502" s="3" t="s">
        <v>334</v>
      </c>
      <c r="T502" s="3" t="s">
        <v>840</v>
      </c>
      <c r="U502" s="3" t="s">
        <v>54</v>
      </c>
      <c r="V502" s="3" t="s">
        <v>72</v>
      </c>
      <c r="W502" s="3" t="s">
        <v>73</v>
      </c>
      <c r="X502" s="3" t="s">
        <v>74</v>
      </c>
      <c r="Y502" s="3" t="s">
        <v>75</v>
      </c>
      <c r="Z502" s="3" t="s">
        <v>76</v>
      </c>
      <c r="AA502" s="3" t="s">
        <v>846</v>
      </c>
      <c r="AB502" s="4">
        <v>725000</v>
      </c>
      <c r="AC502" s="4">
        <v>0</v>
      </c>
      <c r="AD502" s="4">
        <v>0</v>
      </c>
      <c r="AE502" s="4">
        <v>725000</v>
      </c>
      <c r="AF502" s="4">
        <v>0</v>
      </c>
      <c r="AG502" s="4">
        <v>0</v>
      </c>
      <c r="AH502" s="4">
        <v>0</v>
      </c>
      <c r="AI502" s="4">
        <v>0</v>
      </c>
      <c r="AJ502" s="4">
        <v>0</v>
      </c>
      <c r="AK502" s="4">
        <v>0</v>
      </c>
      <c r="AL502" s="4">
        <v>0</v>
      </c>
      <c r="AM502" s="4">
        <v>0</v>
      </c>
      <c r="AN502" s="4">
        <v>0</v>
      </c>
      <c r="AO502" s="4">
        <v>0</v>
      </c>
      <c r="AP502" s="4">
        <v>0</v>
      </c>
      <c r="AQ502" s="4">
        <v>725000</v>
      </c>
      <c r="AR502" s="4">
        <v>0</v>
      </c>
      <c r="AS502" s="4">
        <v>0</v>
      </c>
      <c r="AT502" s="4">
        <v>0</v>
      </c>
      <c r="AU502" s="4">
        <v>0</v>
      </c>
      <c r="AV502" s="4">
        <v>0</v>
      </c>
      <c r="AW502" s="4">
        <v>0</v>
      </c>
      <c r="AX502" s="4">
        <v>725000</v>
      </c>
      <c r="AY502" s="4">
        <v>725000</v>
      </c>
    </row>
    <row r="503" spans="1:51">
      <c r="A503" s="3" t="s">
        <v>52</v>
      </c>
      <c r="B503" s="3" t="s">
        <v>53</v>
      </c>
      <c r="C503" s="3" t="s">
        <v>54</v>
      </c>
      <c r="D503" s="3" t="s">
        <v>55</v>
      </c>
      <c r="E503" s="3" t="s">
        <v>56</v>
      </c>
      <c r="F503" s="3" t="s">
        <v>57</v>
      </c>
      <c r="G503" s="3" t="s">
        <v>58</v>
      </c>
      <c r="H503" s="3" t="s">
        <v>59</v>
      </c>
      <c r="I503" s="3" t="s">
        <v>60</v>
      </c>
      <c r="J503" s="3" t="s">
        <v>61</v>
      </c>
      <c r="K503" s="3" t="s">
        <v>62</v>
      </c>
      <c r="L503" s="3" t="s">
        <v>63</v>
      </c>
      <c r="M503" s="3" t="s">
        <v>801</v>
      </c>
      <c r="N503" s="3" t="s">
        <v>802</v>
      </c>
      <c r="O503" s="3" t="s">
        <v>803</v>
      </c>
      <c r="P503" s="3" t="s">
        <v>804</v>
      </c>
      <c r="Q503" s="3" t="s">
        <v>805</v>
      </c>
      <c r="R503" s="3" t="s">
        <v>806</v>
      </c>
      <c r="S503" s="3" t="s">
        <v>847</v>
      </c>
      <c r="T503" s="3" t="s">
        <v>848</v>
      </c>
      <c r="U503" s="3" t="s">
        <v>54</v>
      </c>
      <c r="V503" s="3" t="s">
        <v>72</v>
      </c>
      <c r="W503" s="3" t="s">
        <v>73</v>
      </c>
      <c r="X503" s="3" t="s">
        <v>74</v>
      </c>
      <c r="Y503" s="3" t="s">
        <v>75</v>
      </c>
      <c r="Z503" s="3" t="s">
        <v>76</v>
      </c>
      <c r="AA503" s="3" t="s">
        <v>848</v>
      </c>
      <c r="AB503" s="4">
        <v>34846000</v>
      </c>
      <c r="AC503" s="4">
        <v>12954000</v>
      </c>
      <c r="AD503" s="4">
        <v>0</v>
      </c>
      <c r="AE503" s="4">
        <v>47800000</v>
      </c>
      <c r="AF503" s="4">
        <v>0</v>
      </c>
      <c r="AG503" s="4">
        <v>0</v>
      </c>
      <c r="AH503" s="4">
        <v>0</v>
      </c>
      <c r="AI503" s="4">
        <v>0</v>
      </c>
      <c r="AJ503" s="4">
        <v>0</v>
      </c>
      <c r="AK503" s="4">
        <v>0</v>
      </c>
      <c r="AL503" s="4">
        <v>0</v>
      </c>
      <c r="AM503" s="4">
        <v>0</v>
      </c>
      <c r="AN503" s="4">
        <v>0</v>
      </c>
      <c r="AO503" s="4">
        <v>0</v>
      </c>
      <c r="AP503" s="4">
        <v>0</v>
      </c>
      <c r="AQ503" s="4">
        <v>47800000</v>
      </c>
      <c r="AR503" s="4">
        <v>33882000</v>
      </c>
      <c r="AS503" s="4">
        <v>27670000</v>
      </c>
      <c r="AT503" s="4">
        <v>0</v>
      </c>
      <c r="AU503" s="4">
        <v>0</v>
      </c>
      <c r="AV503" s="4">
        <v>0</v>
      </c>
      <c r="AW503" s="4">
        <v>0</v>
      </c>
      <c r="AX503" s="4">
        <v>13918000</v>
      </c>
      <c r="AY503" s="4">
        <v>20130000</v>
      </c>
    </row>
    <row r="504" spans="1:51">
      <c r="A504" s="3" t="s">
        <v>52</v>
      </c>
      <c r="B504" s="3" t="s">
        <v>53</v>
      </c>
      <c r="C504" s="3" t="s">
        <v>54</v>
      </c>
      <c r="D504" s="3" t="s">
        <v>55</v>
      </c>
      <c r="E504" s="3" t="s">
        <v>56</v>
      </c>
      <c r="F504" s="3" t="s">
        <v>57</v>
      </c>
      <c r="G504" s="3" t="s">
        <v>58</v>
      </c>
      <c r="H504" s="3" t="s">
        <v>59</v>
      </c>
      <c r="I504" s="3" t="s">
        <v>60</v>
      </c>
      <c r="J504" s="3" t="s">
        <v>61</v>
      </c>
      <c r="K504" s="3" t="s">
        <v>62</v>
      </c>
      <c r="L504" s="3" t="s">
        <v>63</v>
      </c>
      <c r="M504" s="3" t="s">
        <v>801</v>
      </c>
      <c r="N504" s="3" t="s">
        <v>802</v>
      </c>
      <c r="O504" s="3" t="s">
        <v>803</v>
      </c>
      <c r="P504" s="3" t="s">
        <v>804</v>
      </c>
      <c r="Q504" s="3" t="s">
        <v>805</v>
      </c>
      <c r="R504" s="3" t="s">
        <v>806</v>
      </c>
      <c r="S504" s="3" t="s">
        <v>102</v>
      </c>
      <c r="T504" s="3" t="s">
        <v>849</v>
      </c>
      <c r="U504" s="3" t="s">
        <v>54</v>
      </c>
      <c r="V504" s="3" t="s">
        <v>72</v>
      </c>
      <c r="W504" s="3" t="s">
        <v>73</v>
      </c>
      <c r="X504" s="3" t="s">
        <v>74</v>
      </c>
      <c r="Y504" s="3" t="s">
        <v>75</v>
      </c>
      <c r="Z504" s="3" t="s">
        <v>76</v>
      </c>
      <c r="AA504" s="3" t="s">
        <v>850</v>
      </c>
      <c r="AB504" s="4">
        <v>0</v>
      </c>
      <c r="AC504" s="4">
        <v>21736000</v>
      </c>
      <c r="AD504" s="4">
        <v>0</v>
      </c>
      <c r="AE504" s="4">
        <v>21736000</v>
      </c>
      <c r="AF504" s="4">
        <v>0</v>
      </c>
      <c r="AG504" s="4">
        <v>0</v>
      </c>
      <c r="AH504" s="4">
        <v>0</v>
      </c>
      <c r="AI504" s="4">
        <v>0</v>
      </c>
      <c r="AJ504" s="4">
        <v>0</v>
      </c>
      <c r="AK504" s="4">
        <v>0</v>
      </c>
      <c r="AL504" s="4">
        <v>0</v>
      </c>
      <c r="AM504" s="4">
        <v>0</v>
      </c>
      <c r="AN504" s="4">
        <v>0</v>
      </c>
      <c r="AO504" s="4">
        <v>0</v>
      </c>
      <c r="AP504" s="4">
        <v>0</v>
      </c>
      <c r="AQ504" s="4">
        <v>21736000</v>
      </c>
      <c r="AR504" s="4">
        <v>21736000</v>
      </c>
      <c r="AS504" s="4">
        <v>21736000</v>
      </c>
      <c r="AT504" s="4">
        <v>0</v>
      </c>
      <c r="AU504" s="4">
        <v>0</v>
      </c>
      <c r="AV504" s="4">
        <v>0</v>
      </c>
      <c r="AW504" s="4">
        <v>0</v>
      </c>
      <c r="AX504" s="4">
        <v>0</v>
      </c>
      <c r="AY504" s="4">
        <v>0</v>
      </c>
    </row>
    <row r="505" spans="1:51">
      <c r="A505" s="3" t="s">
        <v>52</v>
      </c>
      <c r="B505" s="3" t="s">
        <v>53</v>
      </c>
      <c r="C505" s="3" t="s">
        <v>54</v>
      </c>
      <c r="D505" s="3" t="s">
        <v>55</v>
      </c>
      <c r="E505" s="3" t="s">
        <v>56</v>
      </c>
      <c r="F505" s="3" t="s">
        <v>57</v>
      </c>
      <c r="G505" s="3" t="s">
        <v>58</v>
      </c>
      <c r="H505" s="3" t="s">
        <v>59</v>
      </c>
      <c r="I505" s="3" t="s">
        <v>60</v>
      </c>
      <c r="J505" s="3" t="s">
        <v>61</v>
      </c>
      <c r="K505" s="3" t="s">
        <v>62</v>
      </c>
      <c r="L505" s="3" t="s">
        <v>63</v>
      </c>
      <c r="M505" s="3" t="s">
        <v>801</v>
      </c>
      <c r="N505" s="3" t="s">
        <v>802</v>
      </c>
      <c r="O505" s="3" t="s">
        <v>803</v>
      </c>
      <c r="P505" s="3" t="s">
        <v>804</v>
      </c>
      <c r="Q505" s="3" t="s">
        <v>805</v>
      </c>
      <c r="R505" s="3" t="s">
        <v>806</v>
      </c>
      <c r="S505" s="3" t="s">
        <v>102</v>
      </c>
      <c r="T505" s="3" t="s">
        <v>849</v>
      </c>
      <c r="U505" s="3" t="s">
        <v>191</v>
      </c>
      <c r="V505" s="3" t="s">
        <v>192</v>
      </c>
      <c r="W505" s="3" t="s">
        <v>193</v>
      </c>
      <c r="X505" s="3" t="s">
        <v>192</v>
      </c>
      <c r="Y505" s="3" t="s">
        <v>194</v>
      </c>
      <c r="Z505" s="3" t="s">
        <v>192</v>
      </c>
      <c r="AA505" s="3" t="s">
        <v>851</v>
      </c>
      <c r="AB505" s="4">
        <v>0</v>
      </c>
      <c r="AC505" s="4">
        <v>15094000</v>
      </c>
      <c r="AD505" s="4">
        <v>0</v>
      </c>
      <c r="AE505" s="4">
        <v>15094000</v>
      </c>
      <c r="AF505" s="4">
        <v>0</v>
      </c>
      <c r="AG505" s="4">
        <v>0</v>
      </c>
      <c r="AH505" s="4">
        <v>0</v>
      </c>
      <c r="AI505" s="4">
        <v>0</v>
      </c>
      <c r="AJ505" s="4">
        <v>0</v>
      </c>
      <c r="AK505" s="4">
        <v>0</v>
      </c>
      <c r="AL505" s="4">
        <v>0</v>
      </c>
      <c r="AM505" s="4">
        <v>0</v>
      </c>
      <c r="AN505" s="4">
        <v>0</v>
      </c>
      <c r="AO505" s="4">
        <v>0</v>
      </c>
      <c r="AP505" s="4">
        <v>0</v>
      </c>
      <c r="AQ505" s="4">
        <v>15094000</v>
      </c>
      <c r="AR505" s="4">
        <v>15094000</v>
      </c>
      <c r="AS505" s="4">
        <v>15094000</v>
      </c>
      <c r="AT505" s="4">
        <v>0</v>
      </c>
      <c r="AU505" s="4">
        <v>0</v>
      </c>
      <c r="AV505" s="4">
        <v>0</v>
      </c>
      <c r="AW505" s="4">
        <v>0</v>
      </c>
      <c r="AX505" s="4">
        <v>0</v>
      </c>
      <c r="AY505" s="4">
        <v>0</v>
      </c>
    </row>
    <row r="506" spans="1:51">
      <c r="A506" s="3" t="s">
        <v>52</v>
      </c>
      <c r="B506" s="3" t="s">
        <v>53</v>
      </c>
      <c r="C506" s="3" t="s">
        <v>54</v>
      </c>
      <c r="D506" s="3" t="s">
        <v>55</v>
      </c>
      <c r="E506" s="3" t="s">
        <v>56</v>
      </c>
      <c r="F506" s="3" t="s">
        <v>57</v>
      </c>
      <c r="G506" s="3" t="s">
        <v>58</v>
      </c>
      <c r="H506" s="3" t="s">
        <v>59</v>
      </c>
      <c r="I506" s="3" t="s">
        <v>60</v>
      </c>
      <c r="J506" s="3" t="s">
        <v>61</v>
      </c>
      <c r="K506" s="3" t="s">
        <v>62</v>
      </c>
      <c r="L506" s="3" t="s">
        <v>63</v>
      </c>
      <c r="M506" s="3" t="s">
        <v>801</v>
      </c>
      <c r="N506" s="3" t="s">
        <v>802</v>
      </c>
      <c r="O506" s="3" t="s">
        <v>803</v>
      </c>
      <c r="P506" s="3" t="s">
        <v>804</v>
      </c>
      <c r="Q506" s="3" t="s">
        <v>805</v>
      </c>
      <c r="R506" s="3" t="s">
        <v>806</v>
      </c>
      <c r="S506" s="3" t="s">
        <v>128</v>
      </c>
      <c r="T506" s="3" t="s">
        <v>852</v>
      </c>
      <c r="U506" s="3" t="s">
        <v>54</v>
      </c>
      <c r="V506" s="3" t="s">
        <v>72</v>
      </c>
      <c r="W506" s="3" t="s">
        <v>73</v>
      </c>
      <c r="X506" s="3" t="s">
        <v>74</v>
      </c>
      <c r="Y506" s="3" t="s">
        <v>75</v>
      </c>
      <c r="Z506" s="3" t="s">
        <v>76</v>
      </c>
      <c r="AA506" s="3" t="s">
        <v>853</v>
      </c>
      <c r="AB506" s="4">
        <v>0</v>
      </c>
      <c r="AC506" s="4">
        <v>6170000</v>
      </c>
      <c r="AD506" s="4">
        <v>0</v>
      </c>
      <c r="AE506" s="4">
        <v>6170000</v>
      </c>
      <c r="AF506" s="4">
        <v>0</v>
      </c>
      <c r="AG506" s="4">
        <v>0</v>
      </c>
      <c r="AH506" s="4">
        <v>0</v>
      </c>
      <c r="AI506" s="4">
        <v>0</v>
      </c>
      <c r="AJ506" s="4">
        <v>0</v>
      </c>
      <c r="AK506" s="4">
        <v>0</v>
      </c>
      <c r="AL506" s="4">
        <v>0</v>
      </c>
      <c r="AM506" s="4">
        <v>0</v>
      </c>
      <c r="AN506" s="4">
        <v>0</v>
      </c>
      <c r="AO506" s="4">
        <v>0</v>
      </c>
      <c r="AP506" s="4">
        <v>0</v>
      </c>
      <c r="AQ506" s="4">
        <v>6170000</v>
      </c>
      <c r="AR506" s="4">
        <v>0</v>
      </c>
      <c r="AS506" s="4">
        <v>0</v>
      </c>
      <c r="AT506" s="4">
        <v>0</v>
      </c>
      <c r="AU506" s="4">
        <v>0</v>
      </c>
      <c r="AV506" s="4">
        <v>0</v>
      </c>
      <c r="AW506" s="4">
        <v>0</v>
      </c>
      <c r="AX506" s="4">
        <v>6170000</v>
      </c>
      <c r="AY506" s="4">
        <v>6170000</v>
      </c>
    </row>
    <row r="507" spans="1:51">
      <c r="A507" s="3" t="s">
        <v>52</v>
      </c>
      <c r="B507" s="3" t="s">
        <v>53</v>
      </c>
      <c r="C507" s="3" t="s">
        <v>54</v>
      </c>
      <c r="D507" s="3" t="s">
        <v>55</v>
      </c>
      <c r="E507" s="3" t="s">
        <v>56</v>
      </c>
      <c r="F507" s="3" t="s">
        <v>57</v>
      </c>
      <c r="G507" s="3" t="s">
        <v>58</v>
      </c>
      <c r="H507" s="3" t="s">
        <v>59</v>
      </c>
      <c r="I507" s="3" t="s">
        <v>60</v>
      </c>
      <c r="J507" s="3" t="s">
        <v>61</v>
      </c>
      <c r="K507" s="3" t="s">
        <v>62</v>
      </c>
      <c r="L507" s="3" t="s">
        <v>63</v>
      </c>
      <c r="M507" s="3" t="s">
        <v>801</v>
      </c>
      <c r="N507" s="3" t="s">
        <v>802</v>
      </c>
      <c r="O507" s="3" t="s">
        <v>803</v>
      </c>
      <c r="P507" s="3" t="s">
        <v>804</v>
      </c>
      <c r="Q507" s="3" t="s">
        <v>805</v>
      </c>
      <c r="R507" s="3" t="s">
        <v>806</v>
      </c>
      <c r="S507" s="3" t="s">
        <v>140</v>
      </c>
      <c r="T507" s="3" t="s">
        <v>854</v>
      </c>
      <c r="U507" s="3" t="s">
        <v>191</v>
      </c>
      <c r="V507" s="3" t="s">
        <v>192</v>
      </c>
      <c r="W507" s="3" t="s">
        <v>193</v>
      </c>
      <c r="X507" s="3" t="s">
        <v>192</v>
      </c>
      <c r="Y507" s="3" t="s">
        <v>194</v>
      </c>
      <c r="Z507" s="3" t="s">
        <v>192</v>
      </c>
      <c r="AA507" s="3" t="s">
        <v>855</v>
      </c>
      <c r="AB507" s="4">
        <v>0</v>
      </c>
      <c r="AC507" s="4">
        <v>17000000</v>
      </c>
      <c r="AD507" s="4">
        <v>0</v>
      </c>
      <c r="AE507" s="4">
        <v>17000000</v>
      </c>
      <c r="AF507" s="4">
        <v>0</v>
      </c>
      <c r="AG507" s="4">
        <v>0</v>
      </c>
      <c r="AH507" s="4">
        <v>0</v>
      </c>
      <c r="AI507" s="4">
        <v>0</v>
      </c>
      <c r="AJ507" s="4">
        <v>0</v>
      </c>
      <c r="AK507" s="4">
        <v>0</v>
      </c>
      <c r="AL507" s="4">
        <v>0</v>
      </c>
      <c r="AM507" s="4">
        <v>0</v>
      </c>
      <c r="AN507" s="4">
        <v>0</v>
      </c>
      <c r="AO507" s="4">
        <v>0</v>
      </c>
      <c r="AP507" s="4">
        <v>0</v>
      </c>
      <c r="AQ507" s="4">
        <v>17000000</v>
      </c>
      <c r="AR507" s="4">
        <v>17000000</v>
      </c>
      <c r="AS507" s="4">
        <v>17000000</v>
      </c>
      <c r="AT507" s="4">
        <v>0</v>
      </c>
      <c r="AU507" s="4">
        <v>0</v>
      </c>
      <c r="AV507" s="4">
        <v>0</v>
      </c>
      <c r="AW507" s="4">
        <v>0</v>
      </c>
      <c r="AX507" s="4">
        <v>0</v>
      </c>
      <c r="AY507" s="4">
        <v>0</v>
      </c>
    </row>
    <row r="508" spans="1:51">
      <c r="A508" s="3" t="s">
        <v>52</v>
      </c>
      <c r="B508" s="3" t="s">
        <v>53</v>
      </c>
      <c r="C508" s="3" t="s">
        <v>54</v>
      </c>
      <c r="D508" s="3" t="s">
        <v>55</v>
      </c>
      <c r="E508" s="3" t="s">
        <v>56</v>
      </c>
      <c r="F508" s="3" t="s">
        <v>57</v>
      </c>
      <c r="G508" s="3" t="s">
        <v>58</v>
      </c>
      <c r="H508" s="3" t="s">
        <v>59</v>
      </c>
      <c r="I508" s="3" t="s">
        <v>60</v>
      </c>
      <c r="J508" s="3" t="s">
        <v>61</v>
      </c>
      <c r="K508" s="3" t="s">
        <v>62</v>
      </c>
      <c r="L508" s="3" t="s">
        <v>63</v>
      </c>
      <c r="M508" s="3" t="s">
        <v>801</v>
      </c>
      <c r="N508" s="3" t="s">
        <v>802</v>
      </c>
      <c r="O508" s="3" t="s">
        <v>803</v>
      </c>
      <c r="P508" s="3" t="s">
        <v>804</v>
      </c>
      <c r="Q508" s="3" t="s">
        <v>805</v>
      </c>
      <c r="R508" s="3" t="s">
        <v>806</v>
      </c>
      <c r="S508" s="3" t="s">
        <v>146</v>
      </c>
      <c r="T508" s="3" t="s">
        <v>856</v>
      </c>
      <c r="U508" s="3" t="s">
        <v>191</v>
      </c>
      <c r="V508" s="3" t="s">
        <v>192</v>
      </c>
      <c r="W508" s="3" t="s">
        <v>193</v>
      </c>
      <c r="X508" s="3" t="s">
        <v>192</v>
      </c>
      <c r="Y508" s="3" t="s">
        <v>194</v>
      </c>
      <c r="Z508" s="3" t="s">
        <v>192</v>
      </c>
      <c r="AA508" s="3" t="s">
        <v>857</v>
      </c>
      <c r="AB508" s="4">
        <v>0</v>
      </c>
      <c r="AC508" s="4">
        <v>28000000</v>
      </c>
      <c r="AD508" s="4">
        <v>0</v>
      </c>
      <c r="AE508" s="4">
        <v>28000000</v>
      </c>
      <c r="AF508" s="4">
        <v>0</v>
      </c>
      <c r="AG508" s="4">
        <v>0</v>
      </c>
      <c r="AH508" s="4">
        <v>0</v>
      </c>
      <c r="AI508" s="4">
        <v>0</v>
      </c>
      <c r="AJ508" s="4">
        <v>0</v>
      </c>
      <c r="AK508" s="4">
        <v>0</v>
      </c>
      <c r="AL508" s="4">
        <v>0</v>
      </c>
      <c r="AM508" s="4">
        <v>0</v>
      </c>
      <c r="AN508" s="4">
        <v>0</v>
      </c>
      <c r="AO508" s="4">
        <v>0</v>
      </c>
      <c r="AP508" s="4">
        <v>0</v>
      </c>
      <c r="AQ508" s="4">
        <v>28000000</v>
      </c>
      <c r="AR508" s="4">
        <v>28000000</v>
      </c>
      <c r="AS508" s="4">
        <v>28000000</v>
      </c>
      <c r="AT508" s="4">
        <v>0</v>
      </c>
      <c r="AU508" s="4">
        <v>0</v>
      </c>
      <c r="AV508" s="4">
        <v>0</v>
      </c>
      <c r="AW508" s="4">
        <v>0</v>
      </c>
      <c r="AX508" s="4">
        <v>0</v>
      </c>
      <c r="AY508" s="4">
        <v>0</v>
      </c>
    </row>
    <row r="509" spans="1:51">
      <c r="A509" s="3" t="s">
        <v>52</v>
      </c>
      <c r="B509" s="3" t="s">
        <v>53</v>
      </c>
      <c r="C509" s="3" t="s">
        <v>54</v>
      </c>
      <c r="D509" s="3" t="s">
        <v>55</v>
      </c>
      <c r="E509" s="3" t="s">
        <v>56</v>
      </c>
      <c r="F509" s="3" t="s">
        <v>57</v>
      </c>
      <c r="G509" s="3" t="s">
        <v>58</v>
      </c>
      <c r="H509" s="3" t="s">
        <v>59</v>
      </c>
      <c r="I509" s="3" t="s">
        <v>60</v>
      </c>
      <c r="J509" s="3" t="s">
        <v>61</v>
      </c>
      <c r="K509" s="3" t="s">
        <v>62</v>
      </c>
      <c r="L509" s="3" t="s">
        <v>63</v>
      </c>
      <c r="M509" s="3" t="s">
        <v>801</v>
      </c>
      <c r="N509" s="3" t="s">
        <v>802</v>
      </c>
      <c r="O509" s="3" t="s">
        <v>858</v>
      </c>
      <c r="P509" s="3" t="s">
        <v>859</v>
      </c>
      <c r="Q509" s="3" t="s">
        <v>860</v>
      </c>
      <c r="R509" s="3" t="s">
        <v>861</v>
      </c>
      <c r="S509" s="3" t="s">
        <v>199</v>
      </c>
      <c r="T509" s="3" t="s">
        <v>862</v>
      </c>
      <c r="U509" s="3" t="s">
        <v>54</v>
      </c>
      <c r="V509" s="3" t="s">
        <v>72</v>
      </c>
      <c r="W509" s="3" t="s">
        <v>73</v>
      </c>
      <c r="X509" s="3" t="s">
        <v>74</v>
      </c>
      <c r="Y509" s="3" t="s">
        <v>75</v>
      </c>
      <c r="Z509" s="3" t="s">
        <v>76</v>
      </c>
      <c r="AA509" s="3" t="s">
        <v>863</v>
      </c>
      <c r="AB509" s="4">
        <v>500000</v>
      </c>
      <c r="AC509" s="4">
        <v>0</v>
      </c>
      <c r="AD509" s="4">
        <v>0</v>
      </c>
      <c r="AE509" s="4">
        <v>500000</v>
      </c>
      <c r="AF509" s="4">
        <v>0</v>
      </c>
      <c r="AG509" s="4">
        <v>0</v>
      </c>
      <c r="AH509" s="4">
        <v>0</v>
      </c>
      <c r="AI509" s="4">
        <v>0</v>
      </c>
      <c r="AJ509" s="4">
        <v>0</v>
      </c>
      <c r="AK509" s="4">
        <v>0</v>
      </c>
      <c r="AL509" s="4">
        <v>0</v>
      </c>
      <c r="AM509" s="4">
        <v>0</v>
      </c>
      <c r="AN509" s="4">
        <v>0</v>
      </c>
      <c r="AO509" s="4">
        <v>0</v>
      </c>
      <c r="AP509" s="4">
        <v>0</v>
      </c>
      <c r="AQ509" s="4">
        <v>500000</v>
      </c>
      <c r="AR509" s="4">
        <v>316550</v>
      </c>
      <c r="AS509" s="4">
        <v>316550</v>
      </c>
      <c r="AT509" s="4">
        <v>0</v>
      </c>
      <c r="AU509" s="4">
        <v>0</v>
      </c>
      <c r="AV509" s="4">
        <v>0</v>
      </c>
      <c r="AW509" s="4">
        <v>0</v>
      </c>
      <c r="AX509" s="4">
        <v>183450</v>
      </c>
      <c r="AY509" s="4">
        <v>183450</v>
      </c>
    </row>
    <row r="510" spans="1:51">
      <c r="A510" s="3" t="s">
        <v>52</v>
      </c>
      <c r="B510" s="3" t="s">
        <v>53</v>
      </c>
      <c r="C510" s="3" t="s">
        <v>54</v>
      </c>
      <c r="D510" s="3" t="s">
        <v>55</v>
      </c>
      <c r="E510" s="3" t="s">
        <v>56</v>
      </c>
      <c r="F510" s="3" t="s">
        <v>57</v>
      </c>
      <c r="G510" s="3" t="s">
        <v>58</v>
      </c>
      <c r="H510" s="3" t="s">
        <v>59</v>
      </c>
      <c r="I510" s="3" t="s">
        <v>60</v>
      </c>
      <c r="J510" s="3" t="s">
        <v>61</v>
      </c>
      <c r="K510" s="3" t="s">
        <v>62</v>
      </c>
      <c r="L510" s="3" t="s">
        <v>63</v>
      </c>
      <c r="M510" s="3" t="s">
        <v>801</v>
      </c>
      <c r="N510" s="3" t="s">
        <v>802</v>
      </c>
      <c r="O510" s="3" t="s">
        <v>858</v>
      </c>
      <c r="P510" s="3" t="s">
        <v>859</v>
      </c>
      <c r="Q510" s="3" t="s">
        <v>860</v>
      </c>
      <c r="R510" s="3" t="s">
        <v>861</v>
      </c>
      <c r="S510" s="3" t="s">
        <v>199</v>
      </c>
      <c r="T510" s="3" t="s">
        <v>862</v>
      </c>
      <c r="U510" s="3" t="s">
        <v>54</v>
      </c>
      <c r="V510" s="3" t="s">
        <v>72</v>
      </c>
      <c r="W510" s="3" t="s">
        <v>73</v>
      </c>
      <c r="X510" s="3" t="s">
        <v>74</v>
      </c>
      <c r="Y510" s="3" t="s">
        <v>78</v>
      </c>
      <c r="Z510" s="3" t="s">
        <v>79</v>
      </c>
      <c r="AA510" s="3" t="s">
        <v>864</v>
      </c>
      <c r="AB510" s="4">
        <v>800000</v>
      </c>
      <c r="AC510" s="4">
        <v>0</v>
      </c>
      <c r="AD510" s="4">
        <v>0</v>
      </c>
      <c r="AE510" s="4">
        <v>800000</v>
      </c>
      <c r="AF510" s="4">
        <v>0</v>
      </c>
      <c r="AG510" s="4">
        <v>0</v>
      </c>
      <c r="AH510" s="4">
        <v>0</v>
      </c>
      <c r="AI510" s="4">
        <v>0</v>
      </c>
      <c r="AJ510" s="4">
        <v>0</v>
      </c>
      <c r="AK510" s="4">
        <v>0</v>
      </c>
      <c r="AL510" s="4">
        <v>0</v>
      </c>
      <c r="AM510" s="4">
        <v>0</v>
      </c>
      <c r="AN510" s="4">
        <v>0</v>
      </c>
      <c r="AO510" s="4">
        <v>0</v>
      </c>
      <c r="AP510" s="4">
        <v>0</v>
      </c>
      <c r="AQ510" s="4">
        <v>800000</v>
      </c>
      <c r="AR510" s="4">
        <v>400000</v>
      </c>
      <c r="AS510" s="4">
        <v>400000</v>
      </c>
      <c r="AT510" s="4">
        <v>0</v>
      </c>
      <c r="AU510" s="4">
        <v>0</v>
      </c>
      <c r="AV510" s="4">
        <v>0</v>
      </c>
      <c r="AW510" s="4">
        <v>0</v>
      </c>
      <c r="AX510" s="4">
        <v>400000</v>
      </c>
      <c r="AY510" s="4">
        <v>400000</v>
      </c>
    </row>
    <row r="511" spans="1:51">
      <c r="A511" s="3" t="s">
        <v>52</v>
      </c>
      <c r="B511" s="3" t="s">
        <v>53</v>
      </c>
      <c r="C511" s="3" t="s">
        <v>54</v>
      </c>
      <c r="D511" s="3" t="s">
        <v>55</v>
      </c>
      <c r="E511" s="3" t="s">
        <v>56</v>
      </c>
      <c r="F511" s="3" t="s">
        <v>57</v>
      </c>
      <c r="G511" s="3" t="s">
        <v>58</v>
      </c>
      <c r="H511" s="3" t="s">
        <v>59</v>
      </c>
      <c r="I511" s="3" t="s">
        <v>60</v>
      </c>
      <c r="J511" s="3" t="s">
        <v>61</v>
      </c>
      <c r="K511" s="3" t="s">
        <v>62</v>
      </c>
      <c r="L511" s="3" t="s">
        <v>63</v>
      </c>
      <c r="M511" s="3" t="s">
        <v>801</v>
      </c>
      <c r="N511" s="3" t="s">
        <v>802</v>
      </c>
      <c r="O511" s="3" t="s">
        <v>858</v>
      </c>
      <c r="P511" s="3" t="s">
        <v>859</v>
      </c>
      <c r="Q511" s="3" t="s">
        <v>860</v>
      </c>
      <c r="R511" s="3" t="s">
        <v>861</v>
      </c>
      <c r="S511" s="3" t="s">
        <v>199</v>
      </c>
      <c r="T511" s="3" t="s">
        <v>862</v>
      </c>
      <c r="U511" s="3" t="s">
        <v>86</v>
      </c>
      <c r="V511" s="3" t="s">
        <v>87</v>
      </c>
      <c r="W511" s="3" t="s">
        <v>88</v>
      </c>
      <c r="X511" s="3" t="s">
        <v>89</v>
      </c>
      <c r="Y511" s="3" t="s">
        <v>90</v>
      </c>
      <c r="Z511" s="3" t="s">
        <v>89</v>
      </c>
      <c r="AA511" s="3" t="s">
        <v>865</v>
      </c>
      <c r="AB511" s="4">
        <v>200000</v>
      </c>
      <c r="AC511" s="4">
        <v>0</v>
      </c>
      <c r="AD511" s="4">
        <v>0</v>
      </c>
      <c r="AE511" s="4">
        <v>200000</v>
      </c>
      <c r="AF511" s="4">
        <v>0</v>
      </c>
      <c r="AG511" s="4">
        <v>0</v>
      </c>
      <c r="AH511" s="4">
        <v>0</v>
      </c>
      <c r="AI511" s="4">
        <v>0</v>
      </c>
      <c r="AJ511" s="4">
        <v>0</v>
      </c>
      <c r="AK511" s="4">
        <v>0</v>
      </c>
      <c r="AL511" s="4">
        <v>0</v>
      </c>
      <c r="AM511" s="4">
        <v>0</v>
      </c>
      <c r="AN511" s="4">
        <v>0</v>
      </c>
      <c r="AO511" s="4">
        <v>0</v>
      </c>
      <c r="AP511" s="4">
        <v>0</v>
      </c>
      <c r="AQ511" s="4">
        <v>200000</v>
      </c>
      <c r="AR511" s="4">
        <v>0</v>
      </c>
      <c r="AS511" s="4">
        <v>0</v>
      </c>
      <c r="AT511" s="4">
        <v>0</v>
      </c>
      <c r="AU511" s="4">
        <v>0</v>
      </c>
      <c r="AV511" s="4">
        <v>0</v>
      </c>
      <c r="AW511" s="4">
        <v>0</v>
      </c>
      <c r="AX511" s="4">
        <v>200000</v>
      </c>
      <c r="AY511" s="4">
        <v>200000</v>
      </c>
    </row>
    <row r="512" spans="1:51">
      <c r="A512" s="3" t="s">
        <v>52</v>
      </c>
      <c r="B512" s="3" t="s">
        <v>53</v>
      </c>
      <c r="C512" s="3" t="s">
        <v>54</v>
      </c>
      <c r="D512" s="3" t="s">
        <v>55</v>
      </c>
      <c r="E512" s="3" t="s">
        <v>56</v>
      </c>
      <c r="F512" s="3" t="s">
        <v>57</v>
      </c>
      <c r="G512" s="3" t="s">
        <v>58</v>
      </c>
      <c r="H512" s="3" t="s">
        <v>59</v>
      </c>
      <c r="I512" s="3" t="s">
        <v>60</v>
      </c>
      <c r="J512" s="3" t="s">
        <v>61</v>
      </c>
      <c r="K512" s="3" t="s">
        <v>62</v>
      </c>
      <c r="L512" s="3" t="s">
        <v>63</v>
      </c>
      <c r="M512" s="3" t="s">
        <v>801</v>
      </c>
      <c r="N512" s="3" t="s">
        <v>802</v>
      </c>
      <c r="O512" s="3" t="s">
        <v>866</v>
      </c>
      <c r="P512" s="3" t="s">
        <v>867</v>
      </c>
      <c r="Q512" s="3" t="s">
        <v>868</v>
      </c>
      <c r="R512" s="3" t="s">
        <v>869</v>
      </c>
      <c r="S512" s="3" t="s">
        <v>199</v>
      </c>
      <c r="T512" s="3" t="s">
        <v>870</v>
      </c>
      <c r="U512" s="3" t="s">
        <v>86</v>
      </c>
      <c r="V512" s="3" t="s">
        <v>87</v>
      </c>
      <c r="W512" s="3" t="s">
        <v>88</v>
      </c>
      <c r="X512" s="3" t="s">
        <v>89</v>
      </c>
      <c r="Y512" s="3" t="s">
        <v>90</v>
      </c>
      <c r="Z512" s="3" t="s">
        <v>89</v>
      </c>
      <c r="AA512" s="3" t="s">
        <v>871</v>
      </c>
      <c r="AB512" s="4">
        <v>3240000</v>
      </c>
      <c r="AC512" s="4">
        <v>0</v>
      </c>
      <c r="AD512" s="4">
        <v>0</v>
      </c>
      <c r="AE512" s="4">
        <v>3240000</v>
      </c>
      <c r="AF512" s="4">
        <v>0</v>
      </c>
      <c r="AG512" s="4">
        <v>0</v>
      </c>
      <c r="AH512" s="4">
        <v>0</v>
      </c>
      <c r="AI512" s="4">
        <v>0</v>
      </c>
      <c r="AJ512" s="4">
        <v>0</v>
      </c>
      <c r="AK512" s="4">
        <v>0</v>
      </c>
      <c r="AL512" s="4">
        <v>0</v>
      </c>
      <c r="AM512" s="4">
        <v>0</v>
      </c>
      <c r="AN512" s="4">
        <v>0</v>
      </c>
      <c r="AO512" s="4">
        <v>0</v>
      </c>
      <c r="AP512" s="4">
        <v>0</v>
      </c>
      <c r="AQ512" s="4">
        <v>3240000</v>
      </c>
      <c r="AR512" s="4">
        <v>2101100</v>
      </c>
      <c r="AS512" s="4">
        <v>2101100</v>
      </c>
      <c r="AT512" s="4">
        <v>0</v>
      </c>
      <c r="AU512" s="4">
        <v>0</v>
      </c>
      <c r="AV512" s="4">
        <v>0</v>
      </c>
      <c r="AW512" s="4">
        <v>0</v>
      </c>
      <c r="AX512" s="4">
        <v>1138900</v>
      </c>
      <c r="AY512" s="4">
        <v>1138900</v>
      </c>
    </row>
    <row r="513" spans="1:51">
      <c r="A513" s="3" t="s">
        <v>52</v>
      </c>
      <c r="B513" s="3" t="s">
        <v>53</v>
      </c>
      <c r="C513" s="3" t="s">
        <v>54</v>
      </c>
      <c r="D513" s="3" t="s">
        <v>55</v>
      </c>
      <c r="E513" s="3" t="s">
        <v>56</v>
      </c>
      <c r="F513" s="3" t="s">
        <v>57</v>
      </c>
      <c r="G513" s="3" t="s">
        <v>58</v>
      </c>
      <c r="H513" s="3" t="s">
        <v>59</v>
      </c>
      <c r="I513" s="3" t="s">
        <v>60</v>
      </c>
      <c r="J513" s="3" t="s">
        <v>61</v>
      </c>
      <c r="K513" s="3" t="s">
        <v>62</v>
      </c>
      <c r="L513" s="3" t="s">
        <v>63</v>
      </c>
      <c r="M513" s="3" t="s">
        <v>801</v>
      </c>
      <c r="N513" s="3" t="s">
        <v>802</v>
      </c>
      <c r="O513" s="3" t="s">
        <v>866</v>
      </c>
      <c r="P513" s="3" t="s">
        <v>867</v>
      </c>
      <c r="Q513" s="3" t="s">
        <v>868</v>
      </c>
      <c r="R513" s="3" t="s">
        <v>869</v>
      </c>
      <c r="S513" s="3" t="s">
        <v>199</v>
      </c>
      <c r="T513" s="3" t="s">
        <v>870</v>
      </c>
      <c r="U513" s="3" t="s">
        <v>86</v>
      </c>
      <c r="V513" s="3" t="s">
        <v>87</v>
      </c>
      <c r="W513" s="3" t="s">
        <v>88</v>
      </c>
      <c r="X513" s="3" t="s">
        <v>89</v>
      </c>
      <c r="Y513" s="3" t="s">
        <v>872</v>
      </c>
      <c r="Z513" s="3" t="s">
        <v>873</v>
      </c>
      <c r="AA513" s="3" t="s">
        <v>874</v>
      </c>
      <c r="AB513" s="4">
        <v>3960000</v>
      </c>
      <c r="AC513" s="4">
        <v>0</v>
      </c>
      <c r="AD513" s="4">
        <v>0</v>
      </c>
      <c r="AE513" s="4">
        <v>3960000</v>
      </c>
      <c r="AF513" s="4">
        <v>0</v>
      </c>
      <c r="AG513" s="4">
        <v>0</v>
      </c>
      <c r="AH513" s="4">
        <v>0</v>
      </c>
      <c r="AI513" s="4">
        <v>0</v>
      </c>
      <c r="AJ513" s="4">
        <v>0</v>
      </c>
      <c r="AK513" s="4">
        <v>0</v>
      </c>
      <c r="AL513" s="4">
        <v>0</v>
      </c>
      <c r="AM513" s="4">
        <v>0</v>
      </c>
      <c r="AN513" s="4">
        <v>0</v>
      </c>
      <c r="AO513" s="4">
        <v>0</v>
      </c>
      <c r="AP513" s="4">
        <v>0</v>
      </c>
      <c r="AQ513" s="4">
        <v>3960000</v>
      </c>
      <c r="AR513" s="4">
        <v>3816000</v>
      </c>
      <c r="AS513" s="4">
        <v>1590000</v>
      </c>
      <c r="AT513" s="4">
        <v>0</v>
      </c>
      <c r="AU513" s="4">
        <v>0</v>
      </c>
      <c r="AV513" s="4">
        <v>0</v>
      </c>
      <c r="AW513" s="4">
        <v>0</v>
      </c>
      <c r="AX513" s="4">
        <v>144000</v>
      </c>
      <c r="AY513" s="4">
        <v>2370000</v>
      </c>
    </row>
    <row r="514" spans="1:51">
      <c r="A514" s="3" t="s">
        <v>52</v>
      </c>
      <c r="B514" s="3" t="s">
        <v>53</v>
      </c>
      <c r="C514" s="3" t="s">
        <v>54</v>
      </c>
      <c r="D514" s="3" t="s">
        <v>55</v>
      </c>
      <c r="E514" s="3" t="s">
        <v>56</v>
      </c>
      <c r="F514" s="3" t="s">
        <v>57</v>
      </c>
      <c r="G514" s="3" t="s">
        <v>58</v>
      </c>
      <c r="H514" s="3" t="s">
        <v>59</v>
      </c>
      <c r="I514" s="3" t="s">
        <v>60</v>
      </c>
      <c r="J514" s="3" t="s">
        <v>61</v>
      </c>
      <c r="K514" s="3" t="s">
        <v>62</v>
      </c>
      <c r="L514" s="3" t="s">
        <v>63</v>
      </c>
      <c r="M514" s="3" t="s">
        <v>801</v>
      </c>
      <c r="N514" s="3" t="s">
        <v>802</v>
      </c>
      <c r="O514" s="3" t="s">
        <v>866</v>
      </c>
      <c r="P514" s="3" t="s">
        <v>867</v>
      </c>
      <c r="Q514" s="3" t="s">
        <v>868</v>
      </c>
      <c r="R514" s="3" t="s">
        <v>869</v>
      </c>
      <c r="S514" s="3" t="s">
        <v>150</v>
      </c>
      <c r="T514" s="3" t="s">
        <v>875</v>
      </c>
      <c r="U514" s="3" t="s">
        <v>54</v>
      </c>
      <c r="V514" s="3" t="s">
        <v>72</v>
      </c>
      <c r="W514" s="3" t="s">
        <v>73</v>
      </c>
      <c r="X514" s="3" t="s">
        <v>74</v>
      </c>
      <c r="Y514" s="3" t="s">
        <v>75</v>
      </c>
      <c r="Z514" s="3" t="s">
        <v>76</v>
      </c>
      <c r="AA514" s="3" t="s">
        <v>876</v>
      </c>
      <c r="AB514" s="4">
        <v>1500000</v>
      </c>
      <c r="AC514" s="4">
        <v>0</v>
      </c>
      <c r="AD514" s="4">
        <v>0</v>
      </c>
      <c r="AE514" s="4">
        <v>1500000</v>
      </c>
      <c r="AF514" s="4">
        <v>0</v>
      </c>
      <c r="AG514" s="4">
        <v>0</v>
      </c>
      <c r="AH514" s="4">
        <v>0</v>
      </c>
      <c r="AI514" s="4">
        <v>0</v>
      </c>
      <c r="AJ514" s="4">
        <v>0</v>
      </c>
      <c r="AK514" s="4">
        <v>0</v>
      </c>
      <c r="AL514" s="4">
        <v>0</v>
      </c>
      <c r="AM514" s="4">
        <v>0</v>
      </c>
      <c r="AN514" s="4">
        <v>0</v>
      </c>
      <c r="AO514" s="4">
        <v>0</v>
      </c>
      <c r="AP514" s="4">
        <v>0</v>
      </c>
      <c r="AQ514" s="4">
        <v>1500000</v>
      </c>
      <c r="AR514" s="4">
        <v>1124380</v>
      </c>
      <c r="AS514" s="4">
        <v>1124380</v>
      </c>
      <c r="AT514" s="4">
        <v>0</v>
      </c>
      <c r="AU514" s="4">
        <v>0</v>
      </c>
      <c r="AV514" s="4">
        <v>0</v>
      </c>
      <c r="AW514" s="4">
        <v>0</v>
      </c>
      <c r="AX514" s="4">
        <v>375620</v>
      </c>
      <c r="AY514" s="4">
        <v>375620</v>
      </c>
    </row>
    <row r="515" spans="1:51">
      <c r="A515" s="3" t="s">
        <v>52</v>
      </c>
      <c r="B515" s="3" t="s">
        <v>53</v>
      </c>
      <c r="C515" s="3" t="s">
        <v>54</v>
      </c>
      <c r="D515" s="3" t="s">
        <v>55</v>
      </c>
      <c r="E515" s="3" t="s">
        <v>56</v>
      </c>
      <c r="F515" s="3" t="s">
        <v>57</v>
      </c>
      <c r="G515" s="3" t="s">
        <v>58</v>
      </c>
      <c r="H515" s="3" t="s">
        <v>59</v>
      </c>
      <c r="I515" s="3" t="s">
        <v>60</v>
      </c>
      <c r="J515" s="3" t="s">
        <v>61</v>
      </c>
      <c r="K515" s="3" t="s">
        <v>62</v>
      </c>
      <c r="L515" s="3" t="s">
        <v>63</v>
      </c>
      <c r="M515" s="3" t="s">
        <v>801</v>
      </c>
      <c r="N515" s="3" t="s">
        <v>802</v>
      </c>
      <c r="O515" s="3" t="s">
        <v>866</v>
      </c>
      <c r="P515" s="3" t="s">
        <v>867</v>
      </c>
      <c r="Q515" s="3" t="s">
        <v>868</v>
      </c>
      <c r="R515" s="3" t="s">
        <v>869</v>
      </c>
      <c r="S515" s="3" t="s">
        <v>150</v>
      </c>
      <c r="T515" s="3" t="s">
        <v>875</v>
      </c>
      <c r="U515" s="3" t="s">
        <v>54</v>
      </c>
      <c r="V515" s="3" t="s">
        <v>72</v>
      </c>
      <c r="W515" s="3" t="s">
        <v>73</v>
      </c>
      <c r="X515" s="3" t="s">
        <v>74</v>
      </c>
      <c r="Y515" s="3" t="s">
        <v>75</v>
      </c>
      <c r="Z515" s="3" t="s">
        <v>76</v>
      </c>
      <c r="AA515" s="3" t="s">
        <v>877</v>
      </c>
      <c r="AB515" s="4">
        <v>2000000</v>
      </c>
      <c r="AC515" s="4">
        <v>0</v>
      </c>
      <c r="AD515" s="4">
        <v>0</v>
      </c>
      <c r="AE515" s="4">
        <v>2000000</v>
      </c>
      <c r="AF515" s="4">
        <v>0</v>
      </c>
      <c r="AG515" s="4">
        <v>0</v>
      </c>
      <c r="AH515" s="4">
        <v>0</v>
      </c>
      <c r="AI515" s="4">
        <v>0</v>
      </c>
      <c r="AJ515" s="4">
        <v>0</v>
      </c>
      <c r="AK515" s="4">
        <v>0</v>
      </c>
      <c r="AL515" s="4">
        <v>0</v>
      </c>
      <c r="AM515" s="4">
        <v>0</v>
      </c>
      <c r="AN515" s="4">
        <v>0</v>
      </c>
      <c r="AO515" s="4">
        <v>0</v>
      </c>
      <c r="AP515" s="4">
        <v>0</v>
      </c>
      <c r="AQ515" s="4">
        <v>2000000</v>
      </c>
      <c r="AR515" s="4">
        <v>5749020</v>
      </c>
      <c r="AS515" s="4">
        <v>1728910</v>
      </c>
      <c r="AT515" s="4">
        <v>0</v>
      </c>
      <c r="AU515" s="4">
        <v>0</v>
      </c>
      <c r="AV515" s="4">
        <v>0</v>
      </c>
      <c r="AW515" s="4">
        <v>0</v>
      </c>
      <c r="AX515" s="4">
        <v>-3749020</v>
      </c>
      <c r="AY515" s="4">
        <v>271090</v>
      </c>
    </row>
    <row r="516" spans="1:51">
      <c r="A516" s="3" t="s">
        <v>52</v>
      </c>
      <c r="B516" s="3" t="s">
        <v>53</v>
      </c>
      <c r="C516" s="3" t="s">
        <v>54</v>
      </c>
      <c r="D516" s="3" t="s">
        <v>55</v>
      </c>
      <c r="E516" s="3" t="s">
        <v>56</v>
      </c>
      <c r="F516" s="3" t="s">
        <v>57</v>
      </c>
      <c r="G516" s="3" t="s">
        <v>58</v>
      </c>
      <c r="H516" s="3" t="s">
        <v>59</v>
      </c>
      <c r="I516" s="3" t="s">
        <v>60</v>
      </c>
      <c r="J516" s="3" t="s">
        <v>61</v>
      </c>
      <c r="K516" s="3" t="s">
        <v>62</v>
      </c>
      <c r="L516" s="3" t="s">
        <v>63</v>
      </c>
      <c r="M516" s="3" t="s">
        <v>801</v>
      </c>
      <c r="N516" s="3" t="s">
        <v>802</v>
      </c>
      <c r="O516" s="3" t="s">
        <v>866</v>
      </c>
      <c r="P516" s="3" t="s">
        <v>867</v>
      </c>
      <c r="Q516" s="3" t="s">
        <v>868</v>
      </c>
      <c r="R516" s="3" t="s">
        <v>869</v>
      </c>
      <c r="S516" s="3" t="s">
        <v>150</v>
      </c>
      <c r="T516" s="3" t="s">
        <v>875</v>
      </c>
      <c r="U516" s="3" t="s">
        <v>54</v>
      </c>
      <c r="V516" s="3" t="s">
        <v>72</v>
      </c>
      <c r="W516" s="3" t="s">
        <v>73</v>
      </c>
      <c r="X516" s="3" t="s">
        <v>74</v>
      </c>
      <c r="Y516" s="3" t="s">
        <v>75</v>
      </c>
      <c r="Z516" s="3" t="s">
        <v>76</v>
      </c>
      <c r="AA516" s="3" t="s">
        <v>878</v>
      </c>
      <c r="AB516" s="4">
        <v>2000000</v>
      </c>
      <c r="AC516" s="4">
        <v>0</v>
      </c>
      <c r="AD516" s="4">
        <v>0</v>
      </c>
      <c r="AE516" s="4">
        <v>2000000</v>
      </c>
      <c r="AF516" s="4">
        <v>0</v>
      </c>
      <c r="AG516" s="4">
        <v>0</v>
      </c>
      <c r="AH516" s="4">
        <v>0</v>
      </c>
      <c r="AI516" s="4">
        <v>0</v>
      </c>
      <c r="AJ516" s="4">
        <v>0</v>
      </c>
      <c r="AK516" s="4">
        <v>0</v>
      </c>
      <c r="AL516" s="4">
        <v>0</v>
      </c>
      <c r="AM516" s="4">
        <v>0</v>
      </c>
      <c r="AN516" s="4">
        <v>0</v>
      </c>
      <c r="AO516" s="4">
        <v>0</v>
      </c>
      <c r="AP516" s="4">
        <v>0</v>
      </c>
      <c r="AQ516" s="4">
        <v>2000000</v>
      </c>
      <c r="AR516" s="4">
        <v>3096000</v>
      </c>
      <c r="AS516" s="4">
        <v>3096000</v>
      </c>
      <c r="AT516" s="4">
        <v>0</v>
      </c>
      <c r="AU516" s="4">
        <v>0</v>
      </c>
      <c r="AV516" s="4">
        <v>0</v>
      </c>
      <c r="AW516" s="4">
        <v>0</v>
      </c>
      <c r="AX516" s="4">
        <v>-1096000</v>
      </c>
      <c r="AY516" s="4">
        <v>-1096000</v>
      </c>
    </row>
    <row r="517" spans="1:51">
      <c r="A517" s="3" t="s">
        <v>52</v>
      </c>
      <c r="B517" s="3" t="s">
        <v>53</v>
      </c>
      <c r="C517" s="3" t="s">
        <v>54</v>
      </c>
      <c r="D517" s="3" t="s">
        <v>55</v>
      </c>
      <c r="E517" s="3" t="s">
        <v>56</v>
      </c>
      <c r="F517" s="3" t="s">
        <v>57</v>
      </c>
      <c r="G517" s="3" t="s">
        <v>58</v>
      </c>
      <c r="H517" s="3" t="s">
        <v>59</v>
      </c>
      <c r="I517" s="3" t="s">
        <v>60</v>
      </c>
      <c r="J517" s="3" t="s">
        <v>61</v>
      </c>
      <c r="K517" s="3" t="s">
        <v>62</v>
      </c>
      <c r="L517" s="3" t="s">
        <v>63</v>
      </c>
      <c r="M517" s="3" t="s">
        <v>801</v>
      </c>
      <c r="N517" s="3" t="s">
        <v>802</v>
      </c>
      <c r="O517" s="3" t="s">
        <v>866</v>
      </c>
      <c r="P517" s="3" t="s">
        <v>867</v>
      </c>
      <c r="Q517" s="3" t="s">
        <v>868</v>
      </c>
      <c r="R517" s="3" t="s">
        <v>869</v>
      </c>
      <c r="S517" s="3" t="s">
        <v>150</v>
      </c>
      <c r="T517" s="3" t="s">
        <v>875</v>
      </c>
      <c r="U517" s="3" t="s">
        <v>54</v>
      </c>
      <c r="V517" s="3" t="s">
        <v>72</v>
      </c>
      <c r="W517" s="3" t="s">
        <v>73</v>
      </c>
      <c r="X517" s="3" t="s">
        <v>74</v>
      </c>
      <c r="Y517" s="3" t="s">
        <v>879</v>
      </c>
      <c r="Z517" s="3" t="s">
        <v>880</v>
      </c>
      <c r="AA517" s="3" t="s">
        <v>881</v>
      </c>
      <c r="AB517" s="4">
        <v>13000000</v>
      </c>
      <c r="AC517" s="4">
        <v>0</v>
      </c>
      <c r="AD517" s="4">
        <v>0</v>
      </c>
      <c r="AE517" s="4">
        <v>13000000</v>
      </c>
      <c r="AF517" s="4">
        <v>0</v>
      </c>
      <c r="AG517" s="4">
        <v>0</v>
      </c>
      <c r="AH517" s="4">
        <v>0</v>
      </c>
      <c r="AI517" s="4">
        <v>0</v>
      </c>
      <c r="AJ517" s="4">
        <v>0</v>
      </c>
      <c r="AK517" s="4">
        <v>0</v>
      </c>
      <c r="AL517" s="4">
        <v>0</v>
      </c>
      <c r="AM517" s="4">
        <v>0</v>
      </c>
      <c r="AN517" s="4">
        <v>0</v>
      </c>
      <c r="AO517" s="4">
        <v>0</v>
      </c>
      <c r="AP517" s="4">
        <v>0</v>
      </c>
      <c r="AQ517" s="4">
        <v>13000000</v>
      </c>
      <c r="AR517" s="4">
        <v>2090000</v>
      </c>
      <c r="AS517" s="4">
        <v>2090000</v>
      </c>
      <c r="AT517" s="4">
        <v>0</v>
      </c>
      <c r="AU517" s="4">
        <v>0</v>
      </c>
      <c r="AV517" s="4">
        <v>0</v>
      </c>
      <c r="AW517" s="4">
        <v>0</v>
      </c>
      <c r="AX517" s="4">
        <v>10910000</v>
      </c>
      <c r="AY517" s="4">
        <v>10910000</v>
      </c>
    </row>
    <row r="518" spans="1:51">
      <c r="A518" s="3" t="s">
        <v>52</v>
      </c>
      <c r="B518" s="3" t="s">
        <v>53</v>
      </c>
      <c r="C518" s="3" t="s">
        <v>54</v>
      </c>
      <c r="D518" s="3" t="s">
        <v>55</v>
      </c>
      <c r="E518" s="3" t="s">
        <v>56</v>
      </c>
      <c r="F518" s="3" t="s">
        <v>57</v>
      </c>
      <c r="G518" s="3" t="s">
        <v>58</v>
      </c>
      <c r="H518" s="3" t="s">
        <v>59</v>
      </c>
      <c r="I518" s="3" t="s">
        <v>60</v>
      </c>
      <c r="J518" s="3" t="s">
        <v>61</v>
      </c>
      <c r="K518" s="3" t="s">
        <v>62</v>
      </c>
      <c r="L518" s="3" t="s">
        <v>63</v>
      </c>
      <c r="M518" s="3" t="s">
        <v>801</v>
      </c>
      <c r="N518" s="3" t="s">
        <v>802</v>
      </c>
      <c r="O518" s="3" t="s">
        <v>866</v>
      </c>
      <c r="P518" s="3" t="s">
        <v>867</v>
      </c>
      <c r="Q518" s="3" t="s">
        <v>868</v>
      </c>
      <c r="R518" s="3" t="s">
        <v>869</v>
      </c>
      <c r="S518" s="3" t="s">
        <v>150</v>
      </c>
      <c r="T518" s="3" t="s">
        <v>875</v>
      </c>
      <c r="U518" s="3" t="s">
        <v>54</v>
      </c>
      <c r="V518" s="3" t="s">
        <v>72</v>
      </c>
      <c r="W518" s="3" t="s">
        <v>73</v>
      </c>
      <c r="X518" s="3" t="s">
        <v>74</v>
      </c>
      <c r="Y518" s="3" t="s">
        <v>879</v>
      </c>
      <c r="Z518" s="3" t="s">
        <v>880</v>
      </c>
      <c r="AA518" s="3" t="s">
        <v>882</v>
      </c>
      <c r="AB518" s="4">
        <v>300000</v>
      </c>
      <c r="AC518" s="4">
        <v>0</v>
      </c>
      <c r="AD518" s="4">
        <v>0</v>
      </c>
      <c r="AE518" s="4">
        <v>300000</v>
      </c>
      <c r="AF518" s="4">
        <v>0</v>
      </c>
      <c r="AG518" s="4">
        <v>0</v>
      </c>
      <c r="AH518" s="4">
        <v>0</v>
      </c>
      <c r="AI518" s="4">
        <v>0</v>
      </c>
      <c r="AJ518" s="4">
        <v>0</v>
      </c>
      <c r="AK518" s="4">
        <v>0</v>
      </c>
      <c r="AL518" s="4">
        <v>0</v>
      </c>
      <c r="AM518" s="4">
        <v>0</v>
      </c>
      <c r="AN518" s="4">
        <v>0</v>
      </c>
      <c r="AO518" s="4">
        <v>0</v>
      </c>
      <c r="AP518" s="4">
        <v>0</v>
      </c>
      <c r="AQ518" s="4">
        <v>300000</v>
      </c>
      <c r="AR518" s="4">
        <v>195000</v>
      </c>
      <c r="AS518" s="4">
        <v>195000</v>
      </c>
      <c r="AT518" s="4">
        <v>0</v>
      </c>
      <c r="AU518" s="4">
        <v>0</v>
      </c>
      <c r="AV518" s="4">
        <v>0</v>
      </c>
      <c r="AW518" s="4">
        <v>0</v>
      </c>
      <c r="AX518" s="4">
        <v>105000</v>
      </c>
      <c r="AY518" s="4">
        <v>105000</v>
      </c>
    </row>
    <row r="519" spans="1:51">
      <c r="A519" s="3" t="s">
        <v>52</v>
      </c>
      <c r="B519" s="3" t="s">
        <v>53</v>
      </c>
      <c r="C519" s="3" t="s">
        <v>54</v>
      </c>
      <c r="D519" s="3" t="s">
        <v>55</v>
      </c>
      <c r="E519" s="3" t="s">
        <v>56</v>
      </c>
      <c r="F519" s="3" t="s">
        <v>57</v>
      </c>
      <c r="G519" s="3" t="s">
        <v>58</v>
      </c>
      <c r="H519" s="3" t="s">
        <v>59</v>
      </c>
      <c r="I519" s="3" t="s">
        <v>60</v>
      </c>
      <c r="J519" s="3" t="s">
        <v>61</v>
      </c>
      <c r="K519" s="3" t="s">
        <v>62</v>
      </c>
      <c r="L519" s="3" t="s">
        <v>63</v>
      </c>
      <c r="M519" s="3" t="s">
        <v>801</v>
      </c>
      <c r="N519" s="3" t="s">
        <v>802</v>
      </c>
      <c r="O519" s="3" t="s">
        <v>866</v>
      </c>
      <c r="P519" s="3" t="s">
        <v>867</v>
      </c>
      <c r="Q519" s="3" t="s">
        <v>868</v>
      </c>
      <c r="R519" s="3" t="s">
        <v>869</v>
      </c>
      <c r="S519" s="3" t="s">
        <v>150</v>
      </c>
      <c r="T519" s="3" t="s">
        <v>875</v>
      </c>
      <c r="U519" s="3" t="s">
        <v>54</v>
      </c>
      <c r="V519" s="3" t="s">
        <v>72</v>
      </c>
      <c r="W519" s="3" t="s">
        <v>73</v>
      </c>
      <c r="X519" s="3" t="s">
        <v>74</v>
      </c>
      <c r="Y519" s="3" t="s">
        <v>81</v>
      </c>
      <c r="Z519" s="3" t="s">
        <v>82</v>
      </c>
      <c r="AA519" s="3" t="s">
        <v>883</v>
      </c>
      <c r="AB519" s="4">
        <v>150000</v>
      </c>
      <c r="AC519" s="4">
        <v>0</v>
      </c>
      <c r="AD519" s="4">
        <v>0</v>
      </c>
      <c r="AE519" s="4">
        <v>150000</v>
      </c>
      <c r="AF519" s="4">
        <v>0</v>
      </c>
      <c r="AG519" s="4">
        <v>0</v>
      </c>
      <c r="AH519" s="4">
        <v>0</v>
      </c>
      <c r="AI519" s="4">
        <v>0</v>
      </c>
      <c r="AJ519" s="4">
        <v>0</v>
      </c>
      <c r="AK519" s="4">
        <v>0</v>
      </c>
      <c r="AL519" s="4">
        <v>0</v>
      </c>
      <c r="AM519" s="4">
        <v>0</v>
      </c>
      <c r="AN519" s="4">
        <v>0</v>
      </c>
      <c r="AO519" s="4">
        <v>0</v>
      </c>
      <c r="AP519" s="4">
        <v>0</v>
      </c>
      <c r="AQ519" s="4">
        <v>150000</v>
      </c>
      <c r="AR519" s="4">
        <v>0</v>
      </c>
      <c r="AS519" s="4">
        <v>0</v>
      </c>
      <c r="AT519" s="4">
        <v>0</v>
      </c>
      <c r="AU519" s="4">
        <v>0</v>
      </c>
      <c r="AV519" s="4">
        <v>0</v>
      </c>
      <c r="AW519" s="4">
        <v>0</v>
      </c>
      <c r="AX519" s="4">
        <v>150000</v>
      </c>
      <c r="AY519" s="4">
        <v>150000</v>
      </c>
    </row>
    <row r="520" spans="1:51">
      <c r="A520" s="3" t="s">
        <v>52</v>
      </c>
      <c r="B520" s="3" t="s">
        <v>53</v>
      </c>
      <c r="C520" s="3" t="s">
        <v>54</v>
      </c>
      <c r="D520" s="3" t="s">
        <v>55</v>
      </c>
      <c r="E520" s="3" t="s">
        <v>56</v>
      </c>
      <c r="F520" s="3" t="s">
        <v>57</v>
      </c>
      <c r="G520" s="3" t="s">
        <v>58</v>
      </c>
      <c r="H520" s="3" t="s">
        <v>59</v>
      </c>
      <c r="I520" s="3" t="s">
        <v>60</v>
      </c>
      <c r="J520" s="3" t="s">
        <v>61</v>
      </c>
      <c r="K520" s="3" t="s">
        <v>62</v>
      </c>
      <c r="L520" s="3" t="s">
        <v>63</v>
      </c>
      <c r="M520" s="3" t="s">
        <v>801</v>
      </c>
      <c r="N520" s="3" t="s">
        <v>802</v>
      </c>
      <c r="O520" s="3" t="s">
        <v>866</v>
      </c>
      <c r="P520" s="3" t="s">
        <v>867</v>
      </c>
      <c r="Q520" s="3" t="s">
        <v>868</v>
      </c>
      <c r="R520" s="3" t="s">
        <v>869</v>
      </c>
      <c r="S520" s="3" t="s">
        <v>150</v>
      </c>
      <c r="T520" s="3" t="s">
        <v>875</v>
      </c>
      <c r="U520" s="3" t="s">
        <v>54</v>
      </c>
      <c r="V520" s="3" t="s">
        <v>72</v>
      </c>
      <c r="W520" s="3" t="s">
        <v>73</v>
      </c>
      <c r="X520" s="3" t="s">
        <v>74</v>
      </c>
      <c r="Y520" s="3" t="s">
        <v>81</v>
      </c>
      <c r="Z520" s="3" t="s">
        <v>82</v>
      </c>
      <c r="AA520" s="3" t="s">
        <v>884</v>
      </c>
      <c r="AB520" s="4">
        <v>1480000</v>
      </c>
      <c r="AC520" s="4">
        <v>0</v>
      </c>
      <c r="AD520" s="4">
        <v>0</v>
      </c>
      <c r="AE520" s="4">
        <v>1480000</v>
      </c>
      <c r="AF520" s="4">
        <v>0</v>
      </c>
      <c r="AG520" s="4">
        <v>0</v>
      </c>
      <c r="AH520" s="4">
        <v>0</v>
      </c>
      <c r="AI520" s="4">
        <v>0</v>
      </c>
      <c r="AJ520" s="4">
        <v>0</v>
      </c>
      <c r="AK520" s="4">
        <v>0</v>
      </c>
      <c r="AL520" s="4">
        <v>0</v>
      </c>
      <c r="AM520" s="4">
        <v>0</v>
      </c>
      <c r="AN520" s="4">
        <v>0</v>
      </c>
      <c r="AO520" s="4">
        <v>0</v>
      </c>
      <c r="AP520" s="4">
        <v>0</v>
      </c>
      <c r="AQ520" s="4">
        <v>1480000</v>
      </c>
      <c r="AR520" s="4">
        <v>650400</v>
      </c>
      <c r="AS520" s="4">
        <v>650400</v>
      </c>
      <c r="AT520" s="4">
        <v>0</v>
      </c>
      <c r="AU520" s="4">
        <v>0</v>
      </c>
      <c r="AV520" s="4">
        <v>0</v>
      </c>
      <c r="AW520" s="4">
        <v>0</v>
      </c>
      <c r="AX520" s="4">
        <v>829600</v>
      </c>
      <c r="AY520" s="4">
        <v>829600</v>
      </c>
    </row>
    <row r="521" spans="1:51">
      <c r="A521" s="3" t="s">
        <v>52</v>
      </c>
      <c r="B521" s="3" t="s">
        <v>53</v>
      </c>
      <c r="C521" s="3" t="s">
        <v>54</v>
      </c>
      <c r="D521" s="3" t="s">
        <v>55</v>
      </c>
      <c r="E521" s="3" t="s">
        <v>56</v>
      </c>
      <c r="F521" s="3" t="s">
        <v>57</v>
      </c>
      <c r="G521" s="3" t="s">
        <v>58</v>
      </c>
      <c r="H521" s="3" t="s">
        <v>59</v>
      </c>
      <c r="I521" s="3" t="s">
        <v>60</v>
      </c>
      <c r="J521" s="3" t="s">
        <v>61</v>
      </c>
      <c r="K521" s="3" t="s">
        <v>62</v>
      </c>
      <c r="L521" s="3" t="s">
        <v>63</v>
      </c>
      <c r="M521" s="3" t="s">
        <v>801</v>
      </c>
      <c r="N521" s="3" t="s">
        <v>802</v>
      </c>
      <c r="O521" s="3" t="s">
        <v>866</v>
      </c>
      <c r="P521" s="3" t="s">
        <v>867</v>
      </c>
      <c r="Q521" s="3" t="s">
        <v>868</v>
      </c>
      <c r="R521" s="3" t="s">
        <v>869</v>
      </c>
      <c r="S521" s="3" t="s">
        <v>150</v>
      </c>
      <c r="T521" s="3" t="s">
        <v>875</v>
      </c>
      <c r="U521" s="3" t="s">
        <v>86</v>
      </c>
      <c r="V521" s="3" t="s">
        <v>87</v>
      </c>
      <c r="W521" s="3" t="s">
        <v>88</v>
      </c>
      <c r="X521" s="3" t="s">
        <v>89</v>
      </c>
      <c r="Y521" s="3" t="s">
        <v>90</v>
      </c>
      <c r="Z521" s="3" t="s">
        <v>89</v>
      </c>
      <c r="AA521" s="3" t="s">
        <v>885</v>
      </c>
      <c r="AB521" s="4">
        <v>400000</v>
      </c>
      <c r="AC521" s="4">
        <v>0</v>
      </c>
      <c r="AD521" s="4">
        <v>0</v>
      </c>
      <c r="AE521" s="4">
        <v>400000</v>
      </c>
      <c r="AF521" s="4">
        <v>0</v>
      </c>
      <c r="AG521" s="4">
        <v>0</v>
      </c>
      <c r="AH521" s="4">
        <v>0</v>
      </c>
      <c r="AI521" s="4">
        <v>0</v>
      </c>
      <c r="AJ521" s="4">
        <v>0</v>
      </c>
      <c r="AK521" s="4">
        <v>0</v>
      </c>
      <c r="AL521" s="4">
        <v>0</v>
      </c>
      <c r="AM521" s="4">
        <v>0</v>
      </c>
      <c r="AN521" s="4">
        <v>0</v>
      </c>
      <c r="AO521" s="4">
        <v>0</v>
      </c>
      <c r="AP521" s="4">
        <v>0</v>
      </c>
      <c r="AQ521" s="4">
        <v>400000</v>
      </c>
      <c r="AR521" s="4">
        <v>423290</v>
      </c>
      <c r="AS521" s="4">
        <v>423290</v>
      </c>
      <c r="AT521" s="4">
        <v>0</v>
      </c>
      <c r="AU521" s="4">
        <v>0</v>
      </c>
      <c r="AV521" s="4">
        <v>0</v>
      </c>
      <c r="AW521" s="4">
        <v>0</v>
      </c>
      <c r="AX521" s="4">
        <v>-23290</v>
      </c>
      <c r="AY521" s="4">
        <v>-23290</v>
      </c>
    </row>
    <row r="522" spans="1:51">
      <c r="A522" s="3" t="s">
        <v>52</v>
      </c>
      <c r="B522" s="3" t="s">
        <v>53</v>
      </c>
      <c r="C522" s="3" t="s">
        <v>54</v>
      </c>
      <c r="D522" s="3" t="s">
        <v>55</v>
      </c>
      <c r="E522" s="3" t="s">
        <v>56</v>
      </c>
      <c r="F522" s="3" t="s">
        <v>57</v>
      </c>
      <c r="G522" s="3" t="s">
        <v>58</v>
      </c>
      <c r="H522" s="3" t="s">
        <v>59</v>
      </c>
      <c r="I522" s="3" t="s">
        <v>60</v>
      </c>
      <c r="J522" s="3" t="s">
        <v>61</v>
      </c>
      <c r="K522" s="3" t="s">
        <v>62</v>
      </c>
      <c r="L522" s="3" t="s">
        <v>63</v>
      </c>
      <c r="M522" s="3" t="s">
        <v>801</v>
      </c>
      <c r="N522" s="3" t="s">
        <v>802</v>
      </c>
      <c r="O522" s="3" t="s">
        <v>866</v>
      </c>
      <c r="P522" s="3" t="s">
        <v>867</v>
      </c>
      <c r="Q522" s="3" t="s">
        <v>868</v>
      </c>
      <c r="R522" s="3" t="s">
        <v>869</v>
      </c>
      <c r="S522" s="3" t="s">
        <v>150</v>
      </c>
      <c r="T522" s="3" t="s">
        <v>875</v>
      </c>
      <c r="U522" s="3" t="s">
        <v>86</v>
      </c>
      <c r="V522" s="3" t="s">
        <v>87</v>
      </c>
      <c r="W522" s="3" t="s">
        <v>88</v>
      </c>
      <c r="X522" s="3" t="s">
        <v>89</v>
      </c>
      <c r="Y522" s="3" t="s">
        <v>90</v>
      </c>
      <c r="Z522" s="3" t="s">
        <v>89</v>
      </c>
      <c r="AA522" s="3" t="s">
        <v>886</v>
      </c>
      <c r="AB522" s="4">
        <v>1500000</v>
      </c>
      <c r="AC522" s="4">
        <v>0</v>
      </c>
      <c r="AD522" s="4">
        <v>0</v>
      </c>
      <c r="AE522" s="4">
        <v>1500000</v>
      </c>
      <c r="AF522" s="4">
        <v>0</v>
      </c>
      <c r="AG522" s="4">
        <v>0</v>
      </c>
      <c r="AH522" s="4">
        <v>0</v>
      </c>
      <c r="AI522" s="4">
        <v>0</v>
      </c>
      <c r="AJ522" s="4">
        <v>0</v>
      </c>
      <c r="AK522" s="4">
        <v>0</v>
      </c>
      <c r="AL522" s="4">
        <v>0</v>
      </c>
      <c r="AM522" s="4">
        <v>0</v>
      </c>
      <c r="AN522" s="4">
        <v>0</v>
      </c>
      <c r="AO522" s="4">
        <v>0</v>
      </c>
      <c r="AP522" s="4">
        <v>0</v>
      </c>
      <c r="AQ522" s="4">
        <v>1500000</v>
      </c>
      <c r="AR522" s="4">
        <v>1038000</v>
      </c>
      <c r="AS522" s="4">
        <v>1038000</v>
      </c>
      <c r="AT522" s="4">
        <v>0</v>
      </c>
      <c r="AU522" s="4">
        <v>0</v>
      </c>
      <c r="AV522" s="4">
        <v>0</v>
      </c>
      <c r="AW522" s="4">
        <v>0</v>
      </c>
      <c r="AX522" s="4">
        <v>462000</v>
      </c>
      <c r="AY522" s="4">
        <v>462000</v>
      </c>
    </row>
    <row r="523" spans="1:51">
      <c r="A523" s="3" t="s">
        <v>52</v>
      </c>
      <c r="B523" s="3" t="s">
        <v>53</v>
      </c>
      <c r="C523" s="3" t="s">
        <v>54</v>
      </c>
      <c r="D523" s="3" t="s">
        <v>55</v>
      </c>
      <c r="E523" s="3" t="s">
        <v>56</v>
      </c>
      <c r="F523" s="3" t="s">
        <v>57</v>
      </c>
      <c r="G523" s="3" t="s">
        <v>58</v>
      </c>
      <c r="H523" s="3" t="s">
        <v>59</v>
      </c>
      <c r="I523" s="3" t="s">
        <v>60</v>
      </c>
      <c r="J523" s="3" t="s">
        <v>61</v>
      </c>
      <c r="K523" s="3" t="s">
        <v>62</v>
      </c>
      <c r="L523" s="3" t="s">
        <v>63</v>
      </c>
      <c r="M523" s="3" t="s">
        <v>801</v>
      </c>
      <c r="N523" s="3" t="s">
        <v>802</v>
      </c>
      <c r="O523" s="3" t="s">
        <v>866</v>
      </c>
      <c r="P523" s="3" t="s">
        <v>867</v>
      </c>
      <c r="Q523" s="3" t="s">
        <v>868</v>
      </c>
      <c r="R523" s="3" t="s">
        <v>869</v>
      </c>
      <c r="S523" s="3" t="s">
        <v>150</v>
      </c>
      <c r="T523" s="3" t="s">
        <v>875</v>
      </c>
      <c r="U523" s="3" t="s">
        <v>191</v>
      </c>
      <c r="V523" s="3" t="s">
        <v>192</v>
      </c>
      <c r="W523" s="3" t="s">
        <v>193</v>
      </c>
      <c r="X523" s="3" t="s">
        <v>192</v>
      </c>
      <c r="Y523" s="3" t="s">
        <v>194</v>
      </c>
      <c r="Z523" s="3" t="s">
        <v>192</v>
      </c>
      <c r="AA523" s="3" t="s">
        <v>887</v>
      </c>
      <c r="AB523" s="4">
        <v>8000000</v>
      </c>
      <c r="AC523" s="4">
        <v>0</v>
      </c>
      <c r="AD523" s="4">
        <v>0</v>
      </c>
      <c r="AE523" s="4">
        <v>8000000</v>
      </c>
      <c r="AF523" s="4">
        <v>0</v>
      </c>
      <c r="AG523" s="4">
        <v>0</v>
      </c>
      <c r="AH523" s="4">
        <v>0</v>
      </c>
      <c r="AI523" s="4">
        <v>0</v>
      </c>
      <c r="AJ523" s="4">
        <v>0</v>
      </c>
      <c r="AK523" s="4">
        <v>0</v>
      </c>
      <c r="AL523" s="4">
        <v>0</v>
      </c>
      <c r="AM523" s="4">
        <v>0</v>
      </c>
      <c r="AN523" s="4">
        <v>0</v>
      </c>
      <c r="AO523" s="4">
        <v>0</v>
      </c>
      <c r="AP523" s="4">
        <v>0</v>
      </c>
      <c r="AQ523" s="4">
        <v>8000000</v>
      </c>
      <c r="AR523" s="4">
        <v>7999090</v>
      </c>
      <c r="AS523" s="4">
        <v>4944090</v>
      </c>
      <c r="AT523" s="4">
        <v>0</v>
      </c>
      <c r="AU523" s="4">
        <v>0</v>
      </c>
      <c r="AV523" s="4">
        <v>0</v>
      </c>
      <c r="AW523" s="4">
        <v>0</v>
      </c>
      <c r="AX523" s="4">
        <v>910</v>
      </c>
      <c r="AY523" s="4">
        <v>3055910</v>
      </c>
    </row>
    <row r="524" spans="1:51">
      <c r="A524" s="3" t="s">
        <v>52</v>
      </c>
      <c r="B524" s="3" t="s">
        <v>53</v>
      </c>
      <c r="C524" s="3" t="s">
        <v>54</v>
      </c>
      <c r="D524" s="3" t="s">
        <v>55</v>
      </c>
      <c r="E524" s="3" t="s">
        <v>56</v>
      </c>
      <c r="F524" s="3" t="s">
        <v>57</v>
      </c>
      <c r="G524" s="3" t="s">
        <v>58</v>
      </c>
      <c r="H524" s="3" t="s">
        <v>59</v>
      </c>
      <c r="I524" s="3" t="s">
        <v>60</v>
      </c>
      <c r="J524" s="3" t="s">
        <v>61</v>
      </c>
      <c r="K524" s="3" t="s">
        <v>62</v>
      </c>
      <c r="L524" s="3" t="s">
        <v>63</v>
      </c>
      <c r="M524" s="3" t="s">
        <v>801</v>
      </c>
      <c r="N524" s="3" t="s">
        <v>802</v>
      </c>
      <c r="O524" s="3" t="s">
        <v>866</v>
      </c>
      <c r="P524" s="3" t="s">
        <v>867</v>
      </c>
      <c r="Q524" s="3" t="s">
        <v>888</v>
      </c>
      <c r="R524" s="3" t="s">
        <v>889</v>
      </c>
      <c r="S524" s="3" t="s">
        <v>150</v>
      </c>
      <c r="T524" s="3" t="s">
        <v>890</v>
      </c>
      <c r="U524" s="3" t="s">
        <v>54</v>
      </c>
      <c r="V524" s="3" t="s">
        <v>72</v>
      </c>
      <c r="W524" s="3" t="s">
        <v>123</v>
      </c>
      <c r="X524" s="3" t="s">
        <v>124</v>
      </c>
      <c r="Y524" s="3" t="s">
        <v>137</v>
      </c>
      <c r="Z524" s="3" t="s">
        <v>138</v>
      </c>
      <c r="AA524" s="3" t="s">
        <v>891</v>
      </c>
      <c r="AB524" s="4">
        <v>2000000</v>
      </c>
      <c r="AC524" s="4">
        <v>0</v>
      </c>
      <c r="AD524" s="4">
        <v>0</v>
      </c>
      <c r="AE524" s="4">
        <v>2000000</v>
      </c>
      <c r="AF524" s="4">
        <v>0</v>
      </c>
      <c r="AG524" s="4">
        <v>0</v>
      </c>
      <c r="AH524" s="4">
        <v>0</v>
      </c>
      <c r="AI524" s="4">
        <v>0</v>
      </c>
      <c r="AJ524" s="4">
        <v>0</v>
      </c>
      <c r="AK524" s="4">
        <v>0</v>
      </c>
      <c r="AL524" s="4">
        <v>0</v>
      </c>
      <c r="AM524" s="4">
        <v>0</v>
      </c>
      <c r="AN524" s="4">
        <v>0</v>
      </c>
      <c r="AO524" s="4">
        <v>0</v>
      </c>
      <c r="AP524" s="4">
        <v>0</v>
      </c>
      <c r="AQ524" s="4">
        <v>2000000</v>
      </c>
      <c r="AR524" s="4">
        <v>540820</v>
      </c>
      <c r="AS524" s="4">
        <v>540820</v>
      </c>
      <c r="AT524" s="4">
        <v>0</v>
      </c>
      <c r="AU524" s="4">
        <v>0</v>
      </c>
      <c r="AV524" s="4">
        <v>0</v>
      </c>
      <c r="AW524" s="4">
        <v>0</v>
      </c>
      <c r="AX524" s="4">
        <v>1459180</v>
      </c>
      <c r="AY524" s="4">
        <v>1459180</v>
      </c>
    </row>
    <row r="525" spans="1:51">
      <c r="A525" s="3" t="s">
        <v>52</v>
      </c>
      <c r="B525" s="3" t="s">
        <v>53</v>
      </c>
      <c r="C525" s="3" t="s">
        <v>54</v>
      </c>
      <c r="D525" s="3" t="s">
        <v>55</v>
      </c>
      <c r="E525" s="3" t="s">
        <v>56</v>
      </c>
      <c r="F525" s="3" t="s">
        <v>57</v>
      </c>
      <c r="G525" s="3" t="s">
        <v>58</v>
      </c>
      <c r="H525" s="3" t="s">
        <v>59</v>
      </c>
      <c r="I525" s="3" t="s">
        <v>60</v>
      </c>
      <c r="J525" s="3" t="s">
        <v>61</v>
      </c>
      <c r="K525" s="3" t="s">
        <v>62</v>
      </c>
      <c r="L525" s="3" t="s">
        <v>63</v>
      </c>
      <c r="M525" s="3" t="s">
        <v>801</v>
      </c>
      <c r="N525" s="3" t="s">
        <v>802</v>
      </c>
      <c r="O525" s="3" t="s">
        <v>866</v>
      </c>
      <c r="P525" s="3" t="s">
        <v>867</v>
      </c>
      <c r="Q525" s="3" t="s">
        <v>888</v>
      </c>
      <c r="R525" s="3" t="s">
        <v>889</v>
      </c>
      <c r="S525" s="3" t="s">
        <v>206</v>
      </c>
      <c r="T525" s="3" t="s">
        <v>892</v>
      </c>
      <c r="U525" s="3" t="s">
        <v>54</v>
      </c>
      <c r="V525" s="3" t="s">
        <v>72</v>
      </c>
      <c r="W525" s="3" t="s">
        <v>73</v>
      </c>
      <c r="X525" s="3" t="s">
        <v>74</v>
      </c>
      <c r="Y525" s="3" t="s">
        <v>75</v>
      </c>
      <c r="Z525" s="3" t="s">
        <v>76</v>
      </c>
      <c r="AA525" s="3" t="s">
        <v>893</v>
      </c>
      <c r="AB525" s="4">
        <v>0</v>
      </c>
      <c r="AC525" s="4">
        <v>9206000</v>
      </c>
      <c r="AD525" s="4">
        <v>5217000</v>
      </c>
      <c r="AE525" s="4">
        <v>14423000</v>
      </c>
      <c r="AF525" s="4">
        <v>0</v>
      </c>
      <c r="AG525" s="4">
        <v>0</v>
      </c>
      <c r="AH525" s="4">
        <v>0</v>
      </c>
      <c r="AI525" s="4">
        <v>0</v>
      </c>
      <c r="AJ525" s="4">
        <v>0</v>
      </c>
      <c r="AK525" s="4">
        <v>0</v>
      </c>
      <c r="AL525" s="4">
        <v>0</v>
      </c>
      <c r="AM525" s="4">
        <v>0</v>
      </c>
      <c r="AN525" s="4">
        <v>0</v>
      </c>
      <c r="AO525" s="4">
        <v>0</v>
      </c>
      <c r="AP525" s="4">
        <v>0</v>
      </c>
      <c r="AQ525" s="4">
        <v>14423000</v>
      </c>
      <c r="AR525" s="4">
        <v>11621020</v>
      </c>
      <c r="AS525" s="4">
        <v>11621020</v>
      </c>
      <c r="AT525" s="4">
        <v>0</v>
      </c>
      <c r="AU525" s="4">
        <v>0</v>
      </c>
      <c r="AV525" s="4">
        <v>0</v>
      </c>
      <c r="AW525" s="4">
        <v>0</v>
      </c>
      <c r="AX525" s="4">
        <v>2801980</v>
      </c>
      <c r="AY525" s="4">
        <v>2801980</v>
      </c>
    </row>
    <row r="526" spans="1:51">
      <c r="A526" s="3" t="s">
        <v>52</v>
      </c>
      <c r="B526" s="3" t="s">
        <v>53</v>
      </c>
      <c r="C526" s="3" t="s">
        <v>54</v>
      </c>
      <c r="D526" s="3" t="s">
        <v>55</v>
      </c>
      <c r="E526" s="3" t="s">
        <v>56</v>
      </c>
      <c r="F526" s="3" t="s">
        <v>57</v>
      </c>
      <c r="G526" s="3" t="s">
        <v>58</v>
      </c>
      <c r="H526" s="3" t="s">
        <v>59</v>
      </c>
      <c r="I526" s="3" t="s">
        <v>60</v>
      </c>
      <c r="J526" s="3" t="s">
        <v>61</v>
      </c>
      <c r="K526" s="3" t="s">
        <v>62</v>
      </c>
      <c r="L526" s="3" t="s">
        <v>63</v>
      </c>
      <c r="M526" s="3" t="s">
        <v>801</v>
      </c>
      <c r="N526" s="3" t="s">
        <v>802</v>
      </c>
      <c r="O526" s="3" t="s">
        <v>866</v>
      </c>
      <c r="P526" s="3" t="s">
        <v>867</v>
      </c>
      <c r="Q526" s="3" t="s">
        <v>888</v>
      </c>
      <c r="R526" s="3" t="s">
        <v>889</v>
      </c>
      <c r="S526" s="3" t="s">
        <v>206</v>
      </c>
      <c r="T526" s="3" t="s">
        <v>892</v>
      </c>
      <c r="U526" s="3" t="s">
        <v>54</v>
      </c>
      <c r="V526" s="3" t="s">
        <v>72</v>
      </c>
      <c r="W526" s="3" t="s">
        <v>73</v>
      </c>
      <c r="X526" s="3" t="s">
        <v>74</v>
      </c>
      <c r="Y526" s="3" t="s">
        <v>75</v>
      </c>
      <c r="Z526" s="3" t="s">
        <v>76</v>
      </c>
      <c r="AA526" s="3" t="s">
        <v>894</v>
      </c>
      <c r="AB526" s="4">
        <v>0</v>
      </c>
      <c r="AC526" s="4">
        <v>310000</v>
      </c>
      <c r="AD526" s="4">
        <v>0</v>
      </c>
      <c r="AE526" s="4">
        <v>310000</v>
      </c>
      <c r="AF526" s="4">
        <v>0</v>
      </c>
      <c r="AG526" s="4">
        <v>0</v>
      </c>
      <c r="AH526" s="4">
        <v>0</v>
      </c>
      <c r="AI526" s="4">
        <v>0</v>
      </c>
      <c r="AJ526" s="4">
        <v>0</v>
      </c>
      <c r="AK526" s="4">
        <v>0</v>
      </c>
      <c r="AL526" s="4">
        <v>0</v>
      </c>
      <c r="AM526" s="4">
        <v>0</v>
      </c>
      <c r="AN526" s="4">
        <v>0</v>
      </c>
      <c r="AO526" s="4">
        <v>0</v>
      </c>
      <c r="AP526" s="4">
        <v>0</v>
      </c>
      <c r="AQ526" s="4">
        <v>310000</v>
      </c>
      <c r="AR526" s="4">
        <v>309000</v>
      </c>
      <c r="AS526" s="4">
        <v>309000</v>
      </c>
      <c r="AT526" s="4">
        <v>0</v>
      </c>
      <c r="AU526" s="4">
        <v>0</v>
      </c>
      <c r="AV526" s="4">
        <v>0</v>
      </c>
      <c r="AW526" s="4">
        <v>0</v>
      </c>
      <c r="AX526" s="4">
        <v>1000</v>
      </c>
      <c r="AY526" s="4">
        <v>1000</v>
      </c>
    </row>
    <row r="527" spans="1:51">
      <c r="A527" s="3" t="s">
        <v>52</v>
      </c>
      <c r="B527" s="3" t="s">
        <v>53</v>
      </c>
      <c r="C527" s="3" t="s">
        <v>54</v>
      </c>
      <c r="D527" s="3" t="s">
        <v>55</v>
      </c>
      <c r="E527" s="3" t="s">
        <v>56</v>
      </c>
      <c r="F527" s="3" t="s">
        <v>57</v>
      </c>
      <c r="G527" s="3" t="s">
        <v>58</v>
      </c>
      <c r="H527" s="3" t="s">
        <v>59</v>
      </c>
      <c r="I527" s="3" t="s">
        <v>60</v>
      </c>
      <c r="J527" s="3" t="s">
        <v>61</v>
      </c>
      <c r="K527" s="3" t="s">
        <v>62</v>
      </c>
      <c r="L527" s="3" t="s">
        <v>63</v>
      </c>
      <c r="M527" s="3" t="s">
        <v>895</v>
      </c>
      <c r="N527" s="3" t="s">
        <v>896</v>
      </c>
      <c r="O527" s="3" t="s">
        <v>897</v>
      </c>
      <c r="P527" s="3" t="s">
        <v>898</v>
      </c>
      <c r="Q527" s="3" t="s">
        <v>899</v>
      </c>
      <c r="R527" s="3" t="s">
        <v>900</v>
      </c>
      <c r="S527" s="3" t="s">
        <v>102</v>
      </c>
      <c r="T527" s="3" t="s">
        <v>901</v>
      </c>
      <c r="U527" s="3" t="s">
        <v>902</v>
      </c>
      <c r="V527" s="3" t="s">
        <v>903</v>
      </c>
      <c r="W527" s="3" t="s">
        <v>904</v>
      </c>
      <c r="X527" s="3" t="s">
        <v>903</v>
      </c>
      <c r="Y527" s="3" t="s">
        <v>905</v>
      </c>
      <c r="Z527" s="3" t="s">
        <v>903</v>
      </c>
      <c r="AA527" s="3" t="s">
        <v>906</v>
      </c>
      <c r="AB527" s="4">
        <v>6000000</v>
      </c>
      <c r="AC527" s="4">
        <v>0</v>
      </c>
      <c r="AD527" s="4">
        <v>0</v>
      </c>
      <c r="AE527" s="4">
        <v>6000000</v>
      </c>
      <c r="AF527" s="4">
        <v>0</v>
      </c>
      <c r="AG527" s="4">
        <v>0</v>
      </c>
      <c r="AH527" s="4">
        <v>0</v>
      </c>
      <c r="AI527" s="4">
        <v>0</v>
      </c>
      <c r="AJ527" s="4">
        <v>0</v>
      </c>
      <c r="AK527" s="4">
        <v>0</v>
      </c>
      <c r="AL527" s="4">
        <v>0</v>
      </c>
      <c r="AM527" s="4">
        <v>0</v>
      </c>
      <c r="AN527" s="4">
        <v>0</v>
      </c>
      <c r="AO527" s="4">
        <v>0</v>
      </c>
      <c r="AP527" s="4">
        <v>0</v>
      </c>
      <c r="AQ527" s="4">
        <v>6000000</v>
      </c>
      <c r="AR527" s="4">
        <v>0</v>
      </c>
      <c r="AS527" s="4">
        <v>0</v>
      </c>
      <c r="AT527" s="4">
        <v>0</v>
      </c>
      <c r="AU527" s="4">
        <v>0</v>
      </c>
      <c r="AV527" s="4">
        <v>0</v>
      </c>
      <c r="AW527" s="4">
        <v>0</v>
      </c>
      <c r="AX527" s="4">
        <v>6000000</v>
      </c>
      <c r="AY527" s="4">
        <v>6000000</v>
      </c>
    </row>
  </sheetData>
  <mergeCells count="1">
    <mergeCell ref="A1:AY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67D8-C475-4D86-8A69-2994BDF162B3}">
  <dimension ref="A1:O532"/>
  <sheetViews>
    <sheetView workbookViewId="0">
      <pane ySplit="7" topLeftCell="A8" activePane="bottomLeft" state="frozen"/>
      <selection pane="bottomLeft" activeCell="A8" sqref="A8"/>
    </sheetView>
  </sheetViews>
  <sheetFormatPr defaultRowHeight="17.399999999999999"/>
  <cols>
    <col min="1" max="1" width="21.59765625" style="21" bestFit="1" customWidth="1"/>
    <col min="2" max="2" width="22.19921875" style="21" bestFit="1" customWidth="1"/>
    <col min="3" max="3" width="24.09765625" style="21" bestFit="1" customWidth="1"/>
    <col min="4" max="4" width="49.59765625" style="21" bestFit="1" customWidth="1"/>
    <col min="5" max="5" width="13.19921875" style="21" bestFit="1" customWidth="1"/>
    <col min="6" max="6" width="16.296875" style="21" bestFit="1" customWidth="1"/>
    <col min="7" max="7" width="22.19921875" style="21" bestFit="1" customWidth="1"/>
    <col min="8" max="8" width="61.296875" style="21" bestFit="1" customWidth="1"/>
    <col min="9" max="9" width="13.19921875" style="21" bestFit="1" customWidth="1"/>
    <col min="10" max="10" width="16.3984375" style="21" bestFit="1" customWidth="1"/>
    <col min="11" max="12" width="13.19921875" style="21" bestFit="1" customWidth="1"/>
    <col min="13" max="14" width="20.296875" style="21" bestFit="1" customWidth="1"/>
    <col min="15" max="15" width="12" style="21" bestFit="1" customWidth="1"/>
    <col min="16" max="16384" width="8.796875" style="21"/>
  </cols>
  <sheetData>
    <row r="1" spans="1:15" ht="25.2">
      <c r="A1" s="41" t="s">
        <v>931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</row>
    <row r="3" spans="1:15">
      <c r="A3" s="26" t="s">
        <v>932</v>
      </c>
      <c r="B3" s="26" t="s">
        <v>916</v>
      </c>
      <c r="C3" s="26" t="s">
        <v>918</v>
      </c>
      <c r="D3" s="26" t="s">
        <v>920</v>
      </c>
      <c r="E3" s="26" t="s">
        <v>922</v>
      </c>
      <c r="F3" s="26" t="s">
        <v>923</v>
      </c>
    </row>
    <row r="4" spans="1:15">
      <c r="A4" s="27" t="s">
        <v>933</v>
      </c>
      <c r="B4" s="28">
        <f>SUBTOTAL(109,I8:I531)</f>
        <v>2341568000</v>
      </c>
      <c r="C4" s="28">
        <f>SUBTOTAL(109,J8:J531)</f>
        <v>1311300066</v>
      </c>
      <c r="D4" s="28">
        <f>SUBTOTAL(109,K8:K531)</f>
        <v>1122881466</v>
      </c>
      <c r="E4" s="28">
        <f>SUBTOTAL(109,L8:L531)</f>
        <v>1030267934</v>
      </c>
      <c r="F4" s="28">
        <f>SUBTOTAL(109,O8:O531)</f>
        <v>0</v>
      </c>
    </row>
    <row r="5" spans="1:15">
      <c r="A5" s="27" t="s">
        <v>89</v>
      </c>
      <c r="B5" s="28">
        <f ca="1">SUMPRODUCT(SUBTOTAL(109,OFFSET(I8,ROW(I8:I531)-ROW(I8),0,1)),--($G$8:$G$531="일반업무추진비"))</f>
        <v>22960000</v>
      </c>
      <c r="C5" s="28">
        <f ca="1">SUMPRODUCT(SUBTOTAL(109,OFFSET(J8,ROW(J8:J531)-ROW(J8),0,1)),--($G$8:$G$531="일반업무추진비"))</f>
        <v>8976340</v>
      </c>
      <c r="D5" s="28">
        <f ca="1">SUMPRODUCT(SUBTOTAL(109,OFFSET(K8,ROW(K8:K531)-ROW(K8),0,1)),--($G$8:$G$531="일반업무추진비"))</f>
        <v>8661850</v>
      </c>
      <c r="E5" s="28">
        <f ca="1">SUMPRODUCT(SUBTOTAL(109,OFFSET(L8,ROW(L8:L531)-ROW(L8),0,1)),--($G$8:$G$531="일반업무추진비"))</f>
        <v>13983660</v>
      </c>
      <c r="F5" s="28">
        <f ca="1">SUMPRODUCT(SUBTOTAL(109,OFFSET(O8,ROW(O8:O531)-ROW(O8),0,1)),--($G$8:$G$531="일반업무추진비"))</f>
        <v>0</v>
      </c>
    </row>
    <row r="7" spans="1:15" ht="34.950000000000003" customHeight="1">
      <c r="A7" s="22" t="s">
        <v>14</v>
      </c>
      <c r="B7" s="22" t="s">
        <v>16</v>
      </c>
      <c r="C7" s="22" t="s">
        <v>18</v>
      </c>
      <c r="D7" s="22" t="s">
        <v>20</v>
      </c>
      <c r="E7" s="22" t="s">
        <v>22</v>
      </c>
      <c r="F7" s="22" t="s">
        <v>24</v>
      </c>
      <c r="G7" s="22" t="s">
        <v>913</v>
      </c>
      <c r="H7" s="22" t="s">
        <v>27</v>
      </c>
      <c r="I7" s="22" t="s">
        <v>916</v>
      </c>
      <c r="J7" s="22" t="s">
        <v>918</v>
      </c>
      <c r="K7" s="22" t="s">
        <v>920</v>
      </c>
      <c r="L7" s="22" t="s">
        <v>922</v>
      </c>
      <c r="M7" s="22" t="s">
        <v>934</v>
      </c>
      <c r="N7" s="22" t="s">
        <v>935</v>
      </c>
      <c r="O7" s="22" t="s">
        <v>923</v>
      </c>
    </row>
    <row r="8" spans="1:15">
      <c r="A8" s="23" t="s">
        <v>65</v>
      </c>
      <c r="B8" s="23" t="s">
        <v>67</v>
      </c>
      <c r="C8" s="23" t="s">
        <v>69</v>
      </c>
      <c r="D8" s="23" t="s">
        <v>71</v>
      </c>
      <c r="E8" s="23" t="s">
        <v>72</v>
      </c>
      <c r="F8" s="23" t="s">
        <v>74</v>
      </c>
      <c r="G8" s="23" t="s">
        <v>76</v>
      </c>
      <c r="H8" s="23" t="s">
        <v>77</v>
      </c>
      <c r="I8" s="24">
        <v>3000000</v>
      </c>
      <c r="J8" s="24">
        <v>0</v>
      </c>
      <c r="K8" s="24">
        <v>0</v>
      </c>
      <c r="L8" s="24">
        <v>3000000</v>
      </c>
      <c r="M8" s="29"/>
      <c r="N8" s="24">
        <f t="shared" ref="N8:N71" si="0">L8-M8</f>
        <v>3000000</v>
      </c>
      <c r="O8" s="29"/>
    </row>
    <row r="9" spans="1:15">
      <c r="A9" s="23" t="s">
        <v>65</v>
      </c>
      <c r="B9" s="23" t="s">
        <v>67</v>
      </c>
      <c r="C9" s="23" t="s">
        <v>69</v>
      </c>
      <c r="D9" s="23" t="s">
        <v>71</v>
      </c>
      <c r="E9" s="23" t="s">
        <v>72</v>
      </c>
      <c r="F9" s="23" t="s">
        <v>74</v>
      </c>
      <c r="G9" s="23" t="s">
        <v>79</v>
      </c>
      <c r="H9" s="23" t="s">
        <v>80</v>
      </c>
      <c r="I9" s="24">
        <v>3000000</v>
      </c>
      <c r="J9" s="24">
        <v>0</v>
      </c>
      <c r="K9" s="24">
        <v>0</v>
      </c>
      <c r="L9" s="24">
        <v>3000000</v>
      </c>
      <c r="M9" s="29"/>
      <c r="N9" s="24">
        <f t="shared" si="0"/>
        <v>3000000</v>
      </c>
      <c r="O9" s="29"/>
    </row>
    <row r="10" spans="1:15">
      <c r="A10" s="23" t="s">
        <v>65</v>
      </c>
      <c r="B10" s="23" t="s">
        <v>67</v>
      </c>
      <c r="C10" s="23" t="s">
        <v>69</v>
      </c>
      <c r="D10" s="23" t="s">
        <v>71</v>
      </c>
      <c r="E10" s="23" t="s">
        <v>72</v>
      </c>
      <c r="F10" s="23" t="s">
        <v>74</v>
      </c>
      <c r="G10" s="23" t="s">
        <v>82</v>
      </c>
      <c r="H10" s="23" t="s">
        <v>83</v>
      </c>
      <c r="I10" s="24">
        <v>6750000</v>
      </c>
      <c r="J10" s="24">
        <v>0</v>
      </c>
      <c r="K10" s="24">
        <v>0</v>
      </c>
      <c r="L10" s="24">
        <v>6750000</v>
      </c>
      <c r="M10" s="29"/>
      <c r="N10" s="24">
        <f t="shared" si="0"/>
        <v>6750000</v>
      </c>
      <c r="O10" s="29"/>
    </row>
    <row r="11" spans="1:15">
      <c r="A11" s="23" t="s">
        <v>65</v>
      </c>
      <c r="B11" s="23" t="s">
        <v>67</v>
      </c>
      <c r="C11" s="23" t="s">
        <v>69</v>
      </c>
      <c r="D11" s="23" t="s">
        <v>71</v>
      </c>
      <c r="E11" s="23" t="s">
        <v>72</v>
      </c>
      <c r="F11" s="23" t="s">
        <v>74</v>
      </c>
      <c r="G11" s="23" t="s">
        <v>82</v>
      </c>
      <c r="H11" s="23" t="s">
        <v>84</v>
      </c>
      <c r="I11" s="24">
        <v>750000</v>
      </c>
      <c r="J11" s="24">
        <v>300000</v>
      </c>
      <c r="K11" s="24">
        <v>300000</v>
      </c>
      <c r="L11" s="24">
        <v>450000</v>
      </c>
      <c r="M11" s="29"/>
      <c r="N11" s="24">
        <f t="shared" si="0"/>
        <v>450000</v>
      </c>
      <c r="O11" s="29"/>
    </row>
    <row r="12" spans="1:15">
      <c r="A12" s="23" t="s">
        <v>65</v>
      </c>
      <c r="B12" s="23" t="s">
        <v>67</v>
      </c>
      <c r="C12" s="23" t="s">
        <v>69</v>
      </c>
      <c r="D12" s="23" t="s">
        <v>71</v>
      </c>
      <c r="E12" s="23" t="s">
        <v>72</v>
      </c>
      <c r="F12" s="23" t="s">
        <v>74</v>
      </c>
      <c r="G12" s="23" t="s">
        <v>82</v>
      </c>
      <c r="H12" s="23" t="s">
        <v>85</v>
      </c>
      <c r="I12" s="24">
        <v>800000</v>
      </c>
      <c r="J12" s="24">
        <v>46000</v>
      </c>
      <c r="K12" s="24">
        <v>46000</v>
      </c>
      <c r="L12" s="24">
        <v>754000</v>
      </c>
      <c r="M12" s="29"/>
      <c r="N12" s="24">
        <f t="shared" si="0"/>
        <v>754000</v>
      </c>
      <c r="O12" s="29"/>
    </row>
    <row r="13" spans="1:15">
      <c r="A13" s="23" t="s">
        <v>65</v>
      </c>
      <c r="B13" s="23" t="s">
        <v>67</v>
      </c>
      <c r="C13" s="23" t="s">
        <v>69</v>
      </c>
      <c r="D13" s="23" t="s">
        <v>71</v>
      </c>
      <c r="E13" s="23" t="s">
        <v>87</v>
      </c>
      <c r="F13" s="23" t="s">
        <v>89</v>
      </c>
      <c r="G13" s="23" t="s">
        <v>89</v>
      </c>
      <c r="H13" s="23" t="s">
        <v>91</v>
      </c>
      <c r="I13" s="24">
        <v>640000</v>
      </c>
      <c r="J13" s="24">
        <v>0</v>
      </c>
      <c r="K13" s="24">
        <v>0</v>
      </c>
      <c r="L13" s="24">
        <v>640000</v>
      </c>
      <c r="M13" s="29"/>
      <c r="N13" s="24">
        <f t="shared" si="0"/>
        <v>640000</v>
      </c>
      <c r="O13" s="29"/>
    </row>
    <row r="14" spans="1:15">
      <c r="A14" s="23" t="s">
        <v>65</v>
      </c>
      <c r="B14" s="23" t="s">
        <v>67</v>
      </c>
      <c r="C14" s="23" t="s">
        <v>69</v>
      </c>
      <c r="D14" s="23" t="s">
        <v>93</v>
      </c>
      <c r="E14" s="23" t="s">
        <v>72</v>
      </c>
      <c r="F14" s="23" t="s">
        <v>95</v>
      </c>
      <c r="G14" s="23" t="s">
        <v>95</v>
      </c>
      <c r="H14" s="23" t="s">
        <v>97</v>
      </c>
      <c r="I14" s="24">
        <v>2000000</v>
      </c>
      <c r="J14" s="24">
        <v>818240</v>
      </c>
      <c r="K14" s="24">
        <v>818240</v>
      </c>
      <c r="L14" s="24">
        <v>1181760</v>
      </c>
      <c r="M14" s="29"/>
      <c r="N14" s="24">
        <f t="shared" si="0"/>
        <v>1181760</v>
      </c>
      <c r="O14" s="29"/>
    </row>
    <row r="15" spans="1:15">
      <c r="A15" s="23" t="s">
        <v>65</v>
      </c>
      <c r="B15" s="23" t="s">
        <v>67</v>
      </c>
      <c r="C15" s="23" t="s">
        <v>69</v>
      </c>
      <c r="D15" s="23" t="s">
        <v>93</v>
      </c>
      <c r="E15" s="23" t="s">
        <v>87</v>
      </c>
      <c r="F15" s="23" t="s">
        <v>89</v>
      </c>
      <c r="G15" s="23" t="s">
        <v>89</v>
      </c>
      <c r="H15" s="23" t="s">
        <v>98</v>
      </c>
      <c r="I15" s="24">
        <v>1000000</v>
      </c>
      <c r="J15" s="24">
        <v>0</v>
      </c>
      <c r="K15" s="24">
        <v>0</v>
      </c>
      <c r="L15" s="24">
        <v>1000000</v>
      </c>
      <c r="M15" s="29"/>
      <c r="N15" s="24">
        <f t="shared" si="0"/>
        <v>1000000</v>
      </c>
      <c r="O15" s="29"/>
    </row>
    <row r="16" spans="1:15">
      <c r="A16" s="23" t="s">
        <v>65</v>
      </c>
      <c r="B16" s="23" t="s">
        <v>67</v>
      </c>
      <c r="C16" s="23" t="s">
        <v>69</v>
      </c>
      <c r="D16" s="23" t="s">
        <v>100</v>
      </c>
      <c r="E16" s="23" t="s">
        <v>72</v>
      </c>
      <c r="F16" s="23" t="s">
        <v>95</v>
      </c>
      <c r="G16" s="23" t="s">
        <v>95</v>
      </c>
      <c r="H16" s="23" t="s">
        <v>101</v>
      </c>
      <c r="I16" s="24">
        <v>600000</v>
      </c>
      <c r="J16" s="24">
        <v>0</v>
      </c>
      <c r="K16" s="24">
        <v>0</v>
      </c>
      <c r="L16" s="24">
        <v>600000</v>
      </c>
      <c r="M16" s="29"/>
      <c r="N16" s="24">
        <f t="shared" si="0"/>
        <v>600000</v>
      </c>
      <c r="O16" s="29"/>
    </row>
    <row r="17" spans="1:15">
      <c r="A17" s="23" t="s">
        <v>65</v>
      </c>
      <c r="B17" s="23" t="s">
        <v>67</v>
      </c>
      <c r="C17" s="23" t="s">
        <v>69</v>
      </c>
      <c r="D17" s="23" t="s">
        <v>100</v>
      </c>
      <c r="E17" s="23" t="s">
        <v>87</v>
      </c>
      <c r="F17" s="23" t="s">
        <v>89</v>
      </c>
      <c r="G17" s="23" t="s">
        <v>89</v>
      </c>
      <c r="H17" s="23" t="s">
        <v>101</v>
      </c>
      <c r="I17" s="24">
        <v>400000</v>
      </c>
      <c r="J17" s="24">
        <v>0</v>
      </c>
      <c r="K17" s="24">
        <v>0</v>
      </c>
      <c r="L17" s="24">
        <v>400000</v>
      </c>
      <c r="M17" s="29"/>
      <c r="N17" s="24">
        <f t="shared" si="0"/>
        <v>400000</v>
      </c>
      <c r="O17" s="29"/>
    </row>
    <row r="18" spans="1:15">
      <c r="A18" s="23" t="s">
        <v>65</v>
      </c>
      <c r="B18" s="23" t="s">
        <v>67</v>
      </c>
      <c r="C18" s="23" t="s">
        <v>69</v>
      </c>
      <c r="D18" s="23" t="s">
        <v>103</v>
      </c>
      <c r="E18" s="23" t="s">
        <v>72</v>
      </c>
      <c r="F18" s="23" t="s">
        <v>74</v>
      </c>
      <c r="G18" s="23" t="s">
        <v>76</v>
      </c>
      <c r="H18" s="23" t="s">
        <v>104</v>
      </c>
      <c r="I18" s="24">
        <v>279000</v>
      </c>
      <c r="J18" s="24">
        <v>279000</v>
      </c>
      <c r="K18" s="24">
        <v>219000</v>
      </c>
      <c r="L18" s="24">
        <v>0</v>
      </c>
      <c r="M18" s="29"/>
      <c r="N18" s="24">
        <f t="shared" si="0"/>
        <v>0</v>
      </c>
      <c r="O18" s="29"/>
    </row>
    <row r="19" spans="1:15">
      <c r="A19" s="23" t="s">
        <v>65</v>
      </c>
      <c r="B19" s="23" t="s">
        <v>67</v>
      </c>
      <c r="C19" s="23" t="s">
        <v>69</v>
      </c>
      <c r="D19" s="23" t="s">
        <v>103</v>
      </c>
      <c r="E19" s="23" t="s">
        <v>87</v>
      </c>
      <c r="F19" s="23" t="s">
        <v>89</v>
      </c>
      <c r="G19" s="23" t="s">
        <v>106</v>
      </c>
      <c r="H19" s="23" t="s">
        <v>107</v>
      </c>
      <c r="I19" s="24">
        <v>31000</v>
      </c>
      <c r="J19" s="24">
        <v>31000</v>
      </c>
      <c r="K19" s="24">
        <v>0</v>
      </c>
      <c r="L19" s="24">
        <v>0</v>
      </c>
      <c r="M19" s="29"/>
      <c r="N19" s="24">
        <f t="shared" si="0"/>
        <v>0</v>
      </c>
      <c r="O19" s="29"/>
    </row>
    <row r="20" spans="1:15">
      <c r="A20" s="23" t="s">
        <v>65</v>
      </c>
      <c r="B20" s="23" t="s">
        <v>67</v>
      </c>
      <c r="C20" s="23" t="s">
        <v>109</v>
      </c>
      <c r="D20" s="23" t="s">
        <v>110</v>
      </c>
      <c r="E20" s="23" t="s">
        <v>72</v>
      </c>
      <c r="F20" s="23" t="s">
        <v>74</v>
      </c>
      <c r="G20" s="23" t="s">
        <v>112</v>
      </c>
      <c r="H20" s="23" t="s">
        <v>113</v>
      </c>
      <c r="I20" s="24">
        <v>2000000</v>
      </c>
      <c r="J20" s="24">
        <v>2000000</v>
      </c>
      <c r="K20" s="24">
        <v>2000000</v>
      </c>
      <c r="L20" s="24">
        <v>0</v>
      </c>
      <c r="M20" s="29"/>
      <c r="N20" s="24">
        <f t="shared" si="0"/>
        <v>0</v>
      </c>
      <c r="O20" s="29"/>
    </row>
    <row r="21" spans="1:15">
      <c r="A21" s="23" t="s">
        <v>65</v>
      </c>
      <c r="B21" s="23" t="s">
        <v>67</v>
      </c>
      <c r="C21" s="23" t="s">
        <v>109</v>
      </c>
      <c r="D21" s="23" t="s">
        <v>110</v>
      </c>
      <c r="E21" s="23" t="s">
        <v>72</v>
      </c>
      <c r="F21" s="23" t="s">
        <v>74</v>
      </c>
      <c r="G21" s="23" t="s">
        <v>112</v>
      </c>
      <c r="H21" s="23" t="s">
        <v>114</v>
      </c>
      <c r="I21" s="24">
        <v>250000</v>
      </c>
      <c r="J21" s="24">
        <v>250000</v>
      </c>
      <c r="K21" s="24">
        <v>250000</v>
      </c>
      <c r="L21" s="24">
        <v>0</v>
      </c>
      <c r="M21" s="29"/>
      <c r="N21" s="24">
        <f t="shared" si="0"/>
        <v>0</v>
      </c>
      <c r="O21" s="29"/>
    </row>
    <row r="22" spans="1:15">
      <c r="A22" s="23" t="s">
        <v>65</v>
      </c>
      <c r="B22" s="23" t="s">
        <v>67</v>
      </c>
      <c r="C22" s="23" t="s">
        <v>109</v>
      </c>
      <c r="D22" s="23" t="s">
        <v>110</v>
      </c>
      <c r="E22" s="23" t="s">
        <v>72</v>
      </c>
      <c r="F22" s="23" t="s">
        <v>74</v>
      </c>
      <c r="G22" s="23" t="s">
        <v>112</v>
      </c>
      <c r="H22" s="23" t="s">
        <v>115</v>
      </c>
      <c r="I22" s="24">
        <v>3640000</v>
      </c>
      <c r="J22" s="24">
        <v>3640000</v>
      </c>
      <c r="K22" s="24">
        <v>3640000</v>
      </c>
      <c r="L22" s="24">
        <v>0</v>
      </c>
      <c r="M22" s="29"/>
      <c r="N22" s="24">
        <f t="shared" si="0"/>
        <v>0</v>
      </c>
      <c r="O22" s="29"/>
    </row>
    <row r="23" spans="1:15">
      <c r="A23" s="23" t="s">
        <v>65</v>
      </c>
      <c r="B23" s="23" t="s">
        <v>67</v>
      </c>
      <c r="C23" s="23" t="s">
        <v>109</v>
      </c>
      <c r="D23" s="23" t="s">
        <v>110</v>
      </c>
      <c r="E23" s="23" t="s">
        <v>72</v>
      </c>
      <c r="F23" s="23" t="s">
        <v>74</v>
      </c>
      <c r="G23" s="23" t="s">
        <v>112</v>
      </c>
      <c r="H23" s="23" t="s">
        <v>116</v>
      </c>
      <c r="I23" s="24">
        <v>220000</v>
      </c>
      <c r="J23" s="24">
        <v>220000</v>
      </c>
      <c r="K23" s="24">
        <v>220000</v>
      </c>
      <c r="L23" s="24">
        <v>0</v>
      </c>
      <c r="M23" s="29"/>
      <c r="N23" s="24">
        <f t="shared" si="0"/>
        <v>0</v>
      </c>
      <c r="O23" s="29"/>
    </row>
    <row r="24" spans="1:15">
      <c r="A24" s="23" t="s">
        <v>65</v>
      </c>
      <c r="B24" s="23" t="s">
        <v>67</v>
      </c>
      <c r="C24" s="23" t="s">
        <v>109</v>
      </c>
      <c r="D24" s="23" t="s">
        <v>110</v>
      </c>
      <c r="E24" s="23" t="s">
        <v>72</v>
      </c>
      <c r="F24" s="23" t="s">
        <v>74</v>
      </c>
      <c r="G24" s="23" t="s">
        <v>112</v>
      </c>
      <c r="H24" s="23" t="s">
        <v>117</v>
      </c>
      <c r="I24" s="24">
        <v>100000</v>
      </c>
      <c r="J24" s="24">
        <v>100000</v>
      </c>
      <c r="K24" s="24">
        <v>100000</v>
      </c>
      <c r="L24" s="24">
        <v>0</v>
      </c>
      <c r="M24" s="29"/>
      <c r="N24" s="24">
        <f t="shared" si="0"/>
        <v>0</v>
      </c>
      <c r="O24" s="29"/>
    </row>
    <row r="25" spans="1:15">
      <c r="A25" s="23" t="s">
        <v>65</v>
      </c>
      <c r="B25" s="23" t="s">
        <v>119</v>
      </c>
      <c r="C25" s="23" t="s">
        <v>121</v>
      </c>
      <c r="D25" s="23" t="s">
        <v>122</v>
      </c>
      <c r="E25" s="23" t="s">
        <v>72</v>
      </c>
      <c r="F25" s="23" t="s">
        <v>124</v>
      </c>
      <c r="G25" s="23" t="s">
        <v>126</v>
      </c>
      <c r="H25" s="23" t="s">
        <v>127</v>
      </c>
      <c r="I25" s="24">
        <v>3630000</v>
      </c>
      <c r="J25" s="24">
        <v>2262410</v>
      </c>
      <c r="K25" s="24">
        <v>2262410</v>
      </c>
      <c r="L25" s="24">
        <v>1367590</v>
      </c>
      <c r="M25" s="29"/>
      <c r="N25" s="24">
        <f t="shared" si="0"/>
        <v>1367590</v>
      </c>
      <c r="O25" s="29"/>
    </row>
    <row r="26" spans="1:15">
      <c r="A26" s="23" t="s">
        <v>65</v>
      </c>
      <c r="B26" s="23" t="s">
        <v>119</v>
      </c>
      <c r="C26" s="23" t="s">
        <v>121</v>
      </c>
      <c r="D26" s="23" t="s">
        <v>129</v>
      </c>
      <c r="E26" s="23" t="s">
        <v>131</v>
      </c>
      <c r="F26" s="23" t="s">
        <v>133</v>
      </c>
      <c r="G26" s="23" t="s">
        <v>135</v>
      </c>
      <c r="H26" s="23" t="s">
        <v>136</v>
      </c>
      <c r="I26" s="24">
        <v>57964000</v>
      </c>
      <c r="J26" s="24">
        <v>47270660</v>
      </c>
      <c r="K26" s="24">
        <v>47270660</v>
      </c>
      <c r="L26" s="24">
        <v>10693340</v>
      </c>
      <c r="M26" s="29"/>
      <c r="N26" s="24">
        <f t="shared" si="0"/>
        <v>10693340</v>
      </c>
      <c r="O26" s="29"/>
    </row>
    <row r="27" spans="1:15">
      <c r="A27" s="23" t="s">
        <v>65</v>
      </c>
      <c r="B27" s="23" t="s">
        <v>119</v>
      </c>
      <c r="C27" s="23" t="s">
        <v>121</v>
      </c>
      <c r="D27" s="23" t="s">
        <v>129</v>
      </c>
      <c r="E27" s="23" t="s">
        <v>72</v>
      </c>
      <c r="F27" s="23" t="s">
        <v>124</v>
      </c>
      <c r="G27" s="23" t="s">
        <v>138</v>
      </c>
      <c r="H27" s="23" t="s">
        <v>139</v>
      </c>
      <c r="I27" s="24">
        <v>5413000</v>
      </c>
      <c r="J27" s="24">
        <v>3426650</v>
      </c>
      <c r="K27" s="24">
        <v>3426650</v>
      </c>
      <c r="L27" s="24">
        <v>1986350</v>
      </c>
      <c r="M27" s="29"/>
      <c r="N27" s="24">
        <f t="shared" si="0"/>
        <v>1986350</v>
      </c>
      <c r="O27" s="29"/>
    </row>
    <row r="28" spans="1:15">
      <c r="A28" s="23" t="s">
        <v>65</v>
      </c>
      <c r="B28" s="23" t="s">
        <v>119</v>
      </c>
      <c r="C28" s="23" t="s">
        <v>121</v>
      </c>
      <c r="D28" s="23" t="s">
        <v>141</v>
      </c>
      <c r="E28" s="23" t="s">
        <v>131</v>
      </c>
      <c r="F28" s="23" t="s">
        <v>133</v>
      </c>
      <c r="G28" s="23" t="s">
        <v>143</v>
      </c>
      <c r="H28" s="23" t="s">
        <v>144</v>
      </c>
      <c r="I28" s="24">
        <v>10400000</v>
      </c>
      <c r="J28" s="24">
        <v>10390000</v>
      </c>
      <c r="K28" s="24">
        <v>10390000</v>
      </c>
      <c r="L28" s="24">
        <v>10000</v>
      </c>
      <c r="M28" s="29"/>
      <c r="N28" s="24">
        <f t="shared" si="0"/>
        <v>10000</v>
      </c>
      <c r="O28" s="29"/>
    </row>
    <row r="29" spans="1:15">
      <c r="A29" s="23" t="s">
        <v>65</v>
      </c>
      <c r="B29" s="23" t="s">
        <v>119</v>
      </c>
      <c r="C29" s="23" t="s">
        <v>121</v>
      </c>
      <c r="D29" s="23" t="s">
        <v>141</v>
      </c>
      <c r="E29" s="23" t="s">
        <v>72</v>
      </c>
      <c r="F29" s="23" t="s">
        <v>124</v>
      </c>
      <c r="G29" s="23" t="s">
        <v>126</v>
      </c>
      <c r="H29" s="23" t="s">
        <v>145</v>
      </c>
      <c r="I29" s="24">
        <v>534000</v>
      </c>
      <c r="J29" s="24">
        <v>481830</v>
      </c>
      <c r="K29" s="24">
        <v>481830</v>
      </c>
      <c r="L29" s="24">
        <v>52170</v>
      </c>
      <c r="M29" s="29"/>
      <c r="N29" s="24">
        <f t="shared" si="0"/>
        <v>52170</v>
      </c>
      <c r="O29" s="29"/>
    </row>
    <row r="30" spans="1:15">
      <c r="A30" s="23" t="s">
        <v>65</v>
      </c>
      <c r="B30" s="23" t="s">
        <v>119</v>
      </c>
      <c r="C30" s="23" t="s">
        <v>121</v>
      </c>
      <c r="D30" s="23" t="s">
        <v>147</v>
      </c>
      <c r="E30" s="23" t="s">
        <v>131</v>
      </c>
      <c r="F30" s="23" t="s">
        <v>133</v>
      </c>
      <c r="G30" s="23" t="s">
        <v>143</v>
      </c>
      <c r="H30" s="23" t="s">
        <v>147</v>
      </c>
      <c r="I30" s="24">
        <v>1575000</v>
      </c>
      <c r="J30" s="24">
        <v>1574550</v>
      </c>
      <c r="K30" s="24">
        <v>1574550</v>
      </c>
      <c r="L30" s="24">
        <v>450</v>
      </c>
      <c r="M30" s="29"/>
      <c r="N30" s="24">
        <f t="shared" si="0"/>
        <v>450</v>
      </c>
      <c r="O30" s="29"/>
    </row>
    <row r="31" spans="1:15">
      <c r="A31" s="23" t="s">
        <v>65</v>
      </c>
      <c r="B31" s="23" t="s">
        <v>119</v>
      </c>
      <c r="C31" s="23" t="s">
        <v>149</v>
      </c>
      <c r="D31" s="23" t="s">
        <v>151</v>
      </c>
      <c r="E31" s="23" t="s">
        <v>72</v>
      </c>
      <c r="F31" s="23" t="s">
        <v>74</v>
      </c>
      <c r="G31" s="23" t="s">
        <v>79</v>
      </c>
      <c r="H31" s="23" t="s">
        <v>152</v>
      </c>
      <c r="I31" s="24">
        <v>4800000</v>
      </c>
      <c r="J31" s="24">
        <v>4800000</v>
      </c>
      <c r="K31" s="24">
        <v>2000000</v>
      </c>
      <c r="L31" s="24">
        <v>0</v>
      </c>
      <c r="M31" s="29"/>
      <c r="N31" s="24">
        <f t="shared" si="0"/>
        <v>0</v>
      </c>
      <c r="O31" s="29"/>
    </row>
    <row r="32" spans="1:15">
      <c r="A32" s="23" t="s">
        <v>154</v>
      </c>
      <c r="B32" s="23" t="s">
        <v>156</v>
      </c>
      <c r="C32" s="23" t="s">
        <v>158</v>
      </c>
      <c r="D32" s="23" t="s">
        <v>160</v>
      </c>
      <c r="E32" s="23" t="s">
        <v>72</v>
      </c>
      <c r="F32" s="23" t="s">
        <v>74</v>
      </c>
      <c r="G32" s="23" t="s">
        <v>76</v>
      </c>
      <c r="H32" s="23" t="s">
        <v>161</v>
      </c>
      <c r="I32" s="24">
        <v>7200000</v>
      </c>
      <c r="J32" s="24">
        <v>6720000</v>
      </c>
      <c r="K32" s="24">
        <v>3181500</v>
      </c>
      <c r="L32" s="24">
        <v>480000</v>
      </c>
      <c r="M32" s="29"/>
      <c r="N32" s="24">
        <f t="shared" si="0"/>
        <v>480000</v>
      </c>
      <c r="O32" s="29"/>
    </row>
    <row r="33" spans="1:15">
      <c r="A33" s="23" t="s">
        <v>154</v>
      </c>
      <c r="B33" s="23" t="s">
        <v>156</v>
      </c>
      <c r="C33" s="23" t="s">
        <v>158</v>
      </c>
      <c r="D33" s="23" t="s">
        <v>160</v>
      </c>
      <c r="E33" s="23" t="s">
        <v>72</v>
      </c>
      <c r="F33" s="23" t="s">
        <v>74</v>
      </c>
      <c r="G33" s="23" t="s">
        <v>76</v>
      </c>
      <c r="H33" s="23" t="s">
        <v>162</v>
      </c>
      <c r="I33" s="24">
        <v>15876000</v>
      </c>
      <c r="J33" s="24">
        <v>6786570</v>
      </c>
      <c r="K33" s="24">
        <v>3904680</v>
      </c>
      <c r="L33" s="24">
        <v>9089430</v>
      </c>
      <c r="M33" s="29"/>
      <c r="N33" s="24">
        <f t="shared" si="0"/>
        <v>9089430</v>
      </c>
      <c r="O33" s="29"/>
    </row>
    <row r="34" spans="1:15">
      <c r="A34" s="23" t="s">
        <v>154</v>
      </c>
      <c r="B34" s="23" t="s">
        <v>156</v>
      </c>
      <c r="C34" s="23" t="s">
        <v>158</v>
      </c>
      <c r="D34" s="23" t="s">
        <v>160</v>
      </c>
      <c r="E34" s="23" t="s">
        <v>72</v>
      </c>
      <c r="F34" s="23" t="s">
        <v>74</v>
      </c>
      <c r="G34" s="23" t="s">
        <v>76</v>
      </c>
      <c r="H34" s="23" t="s">
        <v>163</v>
      </c>
      <c r="I34" s="24">
        <v>792000</v>
      </c>
      <c r="J34" s="24">
        <v>175000</v>
      </c>
      <c r="K34" s="24">
        <v>175000</v>
      </c>
      <c r="L34" s="24">
        <v>617000</v>
      </c>
      <c r="M34" s="29"/>
      <c r="N34" s="24">
        <f t="shared" si="0"/>
        <v>617000</v>
      </c>
      <c r="O34" s="29"/>
    </row>
    <row r="35" spans="1:15">
      <c r="A35" s="23" t="s">
        <v>154</v>
      </c>
      <c r="B35" s="23" t="s">
        <v>156</v>
      </c>
      <c r="C35" s="23" t="s">
        <v>158</v>
      </c>
      <c r="D35" s="23" t="s">
        <v>160</v>
      </c>
      <c r="E35" s="23" t="s">
        <v>72</v>
      </c>
      <c r="F35" s="23" t="s">
        <v>74</v>
      </c>
      <c r="G35" s="23" t="s">
        <v>76</v>
      </c>
      <c r="H35" s="23" t="s">
        <v>164</v>
      </c>
      <c r="I35" s="24">
        <v>2500000</v>
      </c>
      <c r="J35" s="24">
        <v>1078000</v>
      </c>
      <c r="K35" s="24">
        <v>1078000</v>
      </c>
      <c r="L35" s="24">
        <v>1422000</v>
      </c>
      <c r="M35" s="29"/>
      <c r="N35" s="24">
        <f t="shared" si="0"/>
        <v>1422000</v>
      </c>
      <c r="O35" s="29"/>
    </row>
    <row r="36" spans="1:15">
      <c r="A36" s="23" t="s">
        <v>154</v>
      </c>
      <c r="B36" s="23" t="s">
        <v>156</v>
      </c>
      <c r="C36" s="23" t="s">
        <v>158</v>
      </c>
      <c r="D36" s="23" t="s">
        <v>160</v>
      </c>
      <c r="E36" s="23" t="s">
        <v>72</v>
      </c>
      <c r="F36" s="23" t="s">
        <v>74</v>
      </c>
      <c r="G36" s="23" t="s">
        <v>76</v>
      </c>
      <c r="H36" s="23" t="s">
        <v>165</v>
      </c>
      <c r="I36" s="24">
        <v>5100000</v>
      </c>
      <c r="J36" s="24">
        <v>2379896</v>
      </c>
      <c r="K36" s="24">
        <v>2379896</v>
      </c>
      <c r="L36" s="24">
        <v>2720104</v>
      </c>
      <c r="M36" s="29"/>
      <c r="N36" s="24">
        <f t="shared" si="0"/>
        <v>2720104</v>
      </c>
      <c r="O36" s="29"/>
    </row>
    <row r="37" spans="1:15">
      <c r="A37" s="23" t="s">
        <v>154</v>
      </c>
      <c r="B37" s="23" t="s">
        <v>156</v>
      </c>
      <c r="C37" s="23" t="s">
        <v>158</v>
      </c>
      <c r="D37" s="23" t="s">
        <v>160</v>
      </c>
      <c r="E37" s="23" t="s">
        <v>72</v>
      </c>
      <c r="F37" s="23" t="s">
        <v>74</v>
      </c>
      <c r="G37" s="23" t="s">
        <v>76</v>
      </c>
      <c r="H37" s="23" t="s">
        <v>166</v>
      </c>
      <c r="I37" s="24">
        <v>1400000</v>
      </c>
      <c r="J37" s="24">
        <v>0</v>
      </c>
      <c r="K37" s="24">
        <v>0</v>
      </c>
      <c r="L37" s="24">
        <v>1400000</v>
      </c>
      <c r="M37" s="29"/>
      <c r="N37" s="24">
        <f t="shared" si="0"/>
        <v>1400000</v>
      </c>
      <c r="O37" s="29"/>
    </row>
    <row r="38" spans="1:15">
      <c r="A38" s="23" t="s">
        <v>154</v>
      </c>
      <c r="B38" s="23" t="s">
        <v>156</v>
      </c>
      <c r="C38" s="23" t="s">
        <v>158</v>
      </c>
      <c r="D38" s="23" t="s">
        <v>160</v>
      </c>
      <c r="E38" s="23" t="s">
        <v>72</v>
      </c>
      <c r="F38" s="23" t="s">
        <v>74</v>
      </c>
      <c r="G38" s="23" t="s">
        <v>76</v>
      </c>
      <c r="H38" s="23" t="s">
        <v>167</v>
      </c>
      <c r="I38" s="24">
        <v>16295000</v>
      </c>
      <c r="J38" s="24">
        <v>14751990</v>
      </c>
      <c r="K38" s="24">
        <v>14268480</v>
      </c>
      <c r="L38" s="24">
        <v>1543010</v>
      </c>
      <c r="M38" s="29"/>
      <c r="N38" s="24">
        <f t="shared" si="0"/>
        <v>1543010</v>
      </c>
      <c r="O38" s="29"/>
    </row>
    <row r="39" spans="1:15">
      <c r="A39" s="23" t="s">
        <v>154</v>
      </c>
      <c r="B39" s="23" t="s">
        <v>156</v>
      </c>
      <c r="C39" s="23" t="s">
        <v>158</v>
      </c>
      <c r="D39" s="23" t="s">
        <v>160</v>
      </c>
      <c r="E39" s="23" t="s">
        <v>72</v>
      </c>
      <c r="F39" s="23" t="s">
        <v>95</v>
      </c>
      <c r="G39" s="23" t="s">
        <v>95</v>
      </c>
      <c r="H39" s="23" t="s">
        <v>168</v>
      </c>
      <c r="I39" s="24">
        <v>180000</v>
      </c>
      <c r="J39" s="24">
        <v>50000</v>
      </c>
      <c r="K39" s="24">
        <v>50000</v>
      </c>
      <c r="L39" s="24">
        <v>130000</v>
      </c>
      <c r="M39" s="29"/>
      <c r="N39" s="24">
        <f t="shared" si="0"/>
        <v>130000</v>
      </c>
      <c r="O39" s="29"/>
    </row>
    <row r="40" spans="1:15">
      <c r="A40" s="23" t="s">
        <v>154</v>
      </c>
      <c r="B40" s="23" t="s">
        <v>156</v>
      </c>
      <c r="C40" s="23" t="s">
        <v>158</v>
      </c>
      <c r="D40" s="23" t="s">
        <v>160</v>
      </c>
      <c r="E40" s="23" t="s">
        <v>87</v>
      </c>
      <c r="F40" s="23" t="s">
        <v>89</v>
      </c>
      <c r="G40" s="23" t="s">
        <v>89</v>
      </c>
      <c r="H40" s="23" t="s">
        <v>169</v>
      </c>
      <c r="I40" s="24">
        <v>420000</v>
      </c>
      <c r="J40" s="24">
        <v>55400</v>
      </c>
      <c r="K40" s="24">
        <v>55400</v>
      </c>
      <c r="L40" s="24">
        <v>364600</v>
      </c>
      <c r="M40" s="29"/>
      <c r="N40" s="24">
        <f t="shared" si="0"/>
        <v>364600</v>
      </c>
      <c r="O40" s="29"/>
    </row>
    <row r="41" spans="1:15">
      <c r="A41" s="23" t="s">
        <v>154</v>
      </c>
      <c r="B41" s="23" t="s">
        <v>156</v>
      </c>
      <c r="C41" s="23" t="s">
        <v>158</v>
      </c>
      <c r="D41" s="23" t="s">
        <v>170</v>
      </c>
      <c r="E41" s="23" t="s">
        <v>72</v>
      </c>
      <c r="F41" s="23" t="s">
        <v>74</v>
      </c>
      <c r="G41" s="23" t="s">
        <v>172</v>
      </c>
      <c r="H41" s="23" t="s">
        <v>170</v>
      </c>
      <c r="I41" s="24">
        <v>4208000</v>
      </c>
      <c r="J41" s="24">
        <v>3851610</v>
      </c>
      <c r="K41" s="24">
        <v>3851610</v>
      </c>
      <c r="L41" s="24">
        <v>356390</v>
      </c>
      <c r="M41" s="29"/>
      <c r="N41" s="24">
        <f t="shared" si="0"/>
        <v>356390</v>
      </c>
      <c r="O41" s="29"/>
    </row>
    <row r="42" spans="1:15">
      <c r="A42" s="23" t="s">
        <v>154</v>
      </c>
      <c r="B42" s="23" t="s">
        <v>156</v>
      </c>
      <c r="C42" s="23" t="s">
        <v>158</v>
      </c>
      <c r="D42" s="23" t="s">
        <v>173</v>
      </c>
      <c r="E42" s="23" t="s">
        <v>72</v>
      </c>
      <c r="F42" s="23" t="s">
        <v>74</v>
      </c>
      <c r="G42" s="23" t="s">
        <v>76</v>
      </c>
      <c r="H42" s="23" t="s">
        <v>174</v>
      </c>
      <c r="I42" s="24">
        <v>4083000</v>
      </c>
      <c r="J42" s="24">
        <v>1952500</v>
      </c>
      <c r="K42" s="24">
        <v>1952500</v>
      </c>
      <c r="L42" s="24">
        <v>2130500</v>
      </c>
      <c r="M42" s="29"/>
      <c r="N42" s="24">
        <f t="shared" si="0"/>
        <v>2130500</v>
      </c>
      <c r="O42" s="29"/>
    </row>
    <row r="43" spans="1:15">
      <c r="A43" s="23" t="s">
        <v>154</v>
      </c>
      <c r="B43" s="23" t="s">
        <v>156</v>
      </c>
      <c r="C43" s="23" t="s">
        <v>158</v>
      </c>
      <c r="D43" s="23" t="s">
        <v>173</v>
      </c>
      <c r="E43" s="23" t="s">
        <v>72</v>
      </c>
      <c r="F43" s="23" t="s">
        <v>74</v>
      </c>
      <c r="G43" s="23" t="s">
        <v>76</v>
      </c>
      <c r="H43" s="23" t="s">
        <v>175</v>
      </c>
      <c r="I43" s="24">
        <v>3478000</v>
      </c>
      <c r="J43" s="24">
        <v>0</v>
      </c>
      <c r="K43" s="24">
        <v>0</v>
      </c>
      <c r="L43" s="24">
        <v>3478000</v>
      </c>
      <c r="M43" s="29"/>
      <c r="N43" s="24">
        <f t="shared" si="0"/>
        <v>3478000</v>
      </c>
      <c r="O43" s="29"/>
    </row>
    <row r="44" spans="1:15">
      <c r="A44" s="23" t="s">
        <v>154</v>
      </c>
      <c r="B44" s="23" t="s">
        <v>156</v>
      </c>
      <c r="C44" s="23" t="s">
        <v>158</v>
      </c>
      <c r="D44" s="23" t="s">
        <v>173</v>
      </c>
      <c r="E44" s="23" t="s">
        <v>72</v>
      </c>
      <c r="F44" s="23" t="s">
        <v>74</v>
      </c>
      <c r="G44" s="23" t="s">
        <v>172</v>
      </c>
      <c r="H44" s="23" t="s">
        <v>176</v>
      </c>
      <c r="I44" s="24">
        <v>72576000</v>
      </c>
      <c r="J44" s="24">
        <v>34805380</v>
      </c>
      <c r="K44" s="24">
        <v>34805380</v>
      </c>
      <c r="L44" s="24">
        <v>37770620</v>
      </c>
      <c r="M44" s="29"/>
      <c r="N44" s="24">
        <f t="shared" si="0"/>
        <v>37770620</v>
      </c>
      <c r="O44" s="29"/>
    </row>
    <row r="45" spans="1:15">
      <c r="A45" s="23" t="s">
        <v>154</v>
      </c>
      <c r="B45" s="23" t="s">
        <v>156</v>
      </c>
      <c r="C45" s="23" t="s">
        <v>158</v>
      </c>
      <c r="D45" s="23" t="s">
        <v>177</v>
      </c>
      <c r="E45" s="23" t="s">
        <v>72</v>
      </c>
      <c r="F45" s="23" t="s">
        <v>74</v>
      </c>
      <c r="G45" s="23" t="s">
        <v>76</v>
      </c>
      <c r="H45" s="23" t="s">
        <v>178</v>
      </c>
      <c r="I45" s="24">
        <v>1252000</v>
      </c>
      <c r="J45" s="24">
        <v>0</v>
      </c>
      <c r="K45" s="24">
        <v>0</v>
      </c>
      <c r="L45" s="24">
        <v>1252000</v>
      </c>
      <c r="M45" s="29"/>
      <c r="N45" s="24">
        <f t="shared" si="0"/>
        <v>1252000</v>
      </c>
      <c r="O45" s="29"/>
    </row>
    <row r="46" spans="1:15">
      <c r="A46" s="23" t="s">
        <v>154</v>
      </c>
      <c r="B46" s="23" t="s">
        <v>156</v>
      </c>
      <c r="C46" s="23" t="s">
        <v>158</v>
      </c>
      <c r="D46" s="23" t="s">
        <v>177</v>
      </c>
      <c r="E46" s="23" t="s">
        <v>72</v>
      </c>
      <c r="F46" s="23" t="s">
        <v>74</v>
      </c>
      <c r="G46" s="23" t="s">
        <v>172</v>
      </c>
      <c r="H46" s="23" t="s">
        <v>179</v>
      </c>
      <c r="I46" s="24">
        <v>27230000</v>
      </c>
      <c r="J46" s="24">
        <v>14489550</v>
      </c>
      <c r="K46" s="24">
        <v>14489550</v>
      </c>
      <c r="L46" s="24">
        <v>12740450</v>
      </c>
      <c r="M46" s="29"/>
      <c r="N46" s="24">
        <f t="shared" si="0"/>
        <v>12740450</v>
      </c>
      <c r="O46" s="29"/>
    </row>
    <row r="47" spans="1:15">
      <c r="A47" s="23" t="s">
        <v>154</v>
      </c>
      <c r="B47" s="23" t="s">
        <v>156</v>
      </c>
      <c r="C47" s="23" t="s">
        <v>158</v>
      </c>
      <c r="D47" s="23" t="s">
        <v>177</v>
      </c>
      <c r="E47" s="23" t="s">
        <v>72</v>
      </c>
      <c r="F47" s="23" t="s">
        <v>74</v>
      </c>
      <c r="G47" s="23" t="s">
        <v>172</v>
      </c>
      <c r="H47" s="23" t="s">
        <v>180</v>
      </c>
      <c r="I47" s="24">
        <v>490000</v>
      </c>
      <c r="J47" s="24">
        <v>329140</v>
      </c>
      <c r="K47" s="24">
        <v>329140</v>
      </c>
      <c r="L47" s="24">
        <v>160860</v>
      </c>
      <c r="M47" s="29"/>
      <c r="N47" s="24">
        <f t="shared" si="0"/>
        <v>160860</v>
      </c>
      <c r="O47" s="29"/>
    </row>
    <row r="48" spans="1:15">
      <c r="A48" s="23" t="s">
        <v>154</v>
      </c>
      <c r="B48" s="23" t="s">
        <v>156</v>
      </c>
      <c r="C48" s="23" t="s">
        <v>158</v>
      </c>
      <c r="D48" s="23" t="s">
        <v>181</v>
      </c>
      <c r="E48" s="23" t="s">
        <v>72</v>
      </c>
      <c r="F48" s="23" t="s">
        <v>74</v>
      </c>
      <c r="G48" s="23" t="s">
        <v>76</v>
      </c>
      <c r="H48" s="23" t="s">
        <v>182</v>
      </c>
      <c r="I48" s="24">
        <v>6420000</v>
      </c>
      <c r="J48" s="24">
        <v>4615140</v>
      </c>
      <c r="K48" s="24">
        <v>4615140</v>
      </c>
      <c r="L48" s="24">
        <v>1804860</v>
      </c>
      <c r="M48" s="29"/>
      <c r="N48" s="24">
        <f t="shared" si="0"/>
        <v>1804860</v>
      </c>
      <c r="O48" s="29"/>
    </row>
    <row r="49" spans="1:15">
      <c r="A49" s="23" t="s">
        <v>154</v>
      </c>
      <c r="B49" s="23" t="s">
        <v>156</v>
      </c>
      <c r="C49" s="23" t="s">
        <v>158</v>
      </c>
      <c r="D49" s="23" t="s">
        <v>181</v>
      </c>
      <c r="E49" s="23" t="s">
        <v>72</v>
      </c>
      <c r="F49" s="23" t="s">
        <v>74</v>
      </c>
      <c r="G49" s="23" t="s">
        <v>172</v>
      </c>
      <c r="H49" s="23" t="s">
        <v>183</v>
      </c>
      <c r="I49" s="24">
        <v>248735000</v>
      </c>
      <c r="J49" s="24">
        <v>218302760</v>
      </c>
      <c r="K49" s="24">
        <v>218302760</v>
      </c>
      <c r="L49" s="24">
        <v>30432240</v>
      </c>
      <c r="M49" s="29"/>
      <c r="N49" s="24">
        <f t="shared" si="0"/>
        <v>30432240</v>
      </c>
      <c r="O49" s="29"/>
    </row>
    <row r="50" spans="1:15">
      <c r="A50" s="23" t="s">
        <v>154</v>
      </c>
      <c r="B50" s="23" t="s">
        <v>156</v>
      </c>
      <c r="C50" s="23" t="s">
        <v>158</v>
      </c>
      <c r="D50" s="23" t="s">
        <v>181</v>
      </c>
      <c r="E50" s="23" t="s">
        <v>72</v>
      </c>
      <c r="F50" s="23" t="s">
        <v>74</v>
      </c>
      <c r="G50" s="23" t="s">
        <v>172</v>
      </c>
      <c r="H50" s="23" t="s">
        <v>184</v>
      </c>
      <c r="I50" s="24">
        <v>3333000</v>
      </c>
      <c r="J50" s="24">
        <v>3028000</v>
      </c>
      <c r="K50" s="24">
        <v>3028000</v>
      </c>
      <c r="L50" s="24">
        <v>305000</v>
      </c>
      <c r="M50" s="29"/>
      <c r="N50" s="24">
        <f t="shared" si="0"/>
        <v>305000</v>
      </c>
      <c r="O50" s="29"/>
    </row>
    <row r="51" spans="1:15">
      <c r="A51" s="23" t="s">
        <v>154</v>
      </c>
      <c r="B51" s="23" t="s">
        <v>156</v>
      </c>
      <c r="C51" s="23" t="s">
        <v>158</v>
      </c>
      <c r="D51" s="23" t="s">
        <v>186</v>
      </c>
      <c r="E51" s="23" t="s">
        <v>72</v>
      </c>
      <c r="F51" s="23" t="s">
        <v>95</v>
      </c>
      <c r="G51" s="23" t="s">
        <v>188</v>
      </c>
      <c r="H51" s="23" t="s">
        <v>186</v>
      </c>
      <c r="I51" s="24">
        <v>10000</v>
      </c>
      <c r="J51" s="24">
        <v>10000</v>
      </c>
      <c r="K51" s="24">
        <v>10000</v>
      </c>
      <c r="L51" s="24">
        <v>0</v>
      </c>
      <c r="M51" s="29"/>
      <c r="N51" s="24">
        <f t="shared" si="0"/>
        <v>0</v>
      </c>
      <c r="O51" s="29"/>
    </row>
    <row r="52" spans="1:15">
      <c r="A52" s="23" t="s">
        <v>154</v>
      </c>
      <c r="B52" s="23" t="s">
        <v>156</v>
      </c>
      <c r="C52" s="23" t="s">
        <v>158</v>
      </c>
      <c r="D52" s="23" t="s">
        <v>190</v>
      </c>
      <c r="E52" s="23" t="s">
        <v>192</v>
      </c>
      <c r="F52" s="23" t="s">
        <v>192</v>
      </c>
      <c r="G52" s="23" t="s">
        <v>192</v>
      </c>
      <c r="H52" s="23" t="s">
        <v>190</v>
      </c>
      <c r="I52" s="24">
        <v>62650000</v>
      </c>
      <c r="J52" s="24">
        <v>62650000</v>
      </c>
      <c r="K52" s="24">
        <v>0</v>
      </c>
      <c r="L52" s="24">
        <v>0</v>
      </c>
      <c r="M52" s="29"/>
      <c r="N52" s="24">
        <f t="shared" si="0"/>
        <v>0</v>
      </c>
      <c r="O52" s="29"/>
    </row>
    <row r="53" spans="1:15">
      <c r="A53" s="23" t="s">
        <v>154</v>
      </c>
      <c r="B53" s="23" t="s">
        <v>196</v>
      </c>
      <c r="C53" s="23" t="s">
        <v>198</v>
      </c>
      <c r="D53" s="23" t="s">
        <v>200</v>
      </c>
      <c r="E53" s="23" t="s">
        <v>72</v>
      </c>
      <c r="F53" s="23" t="s">
        <v>74</v>
      </c>
      <c r="G53" s="23" t="s">
        <v>76</v>
      </c>
      <c r="H53" s="23" t="s">
        <v>201</v>
      </c>
      <c r="I53" s="24">
        <v>200000</v>
      </c>
      <c r="J53" s="24">
        <v>0</v>
      </c>
      <c r="K53" s="24">
        <v>0</v>
      </c>
      <c r="L53" s="24">
        <v>200000</v>
      </c>
      <c r="M53" s="29"/>
      <c r="N53" s="24">
        <f t="shared" si="0"/>
        <v>200000</v>
      </c>
      <c r="O53" s="29"/>
    </row>
    <row r="54" spans="1:15">
      <c r="A54" s="23" t="s">
        <v>154</v>
      </c>
      <c r="B54" s="23" t="s">
        <v>196</v>
      </c>
      <c r="C54" s="23" t="s">
        <v>198</v>
      </c>
      <c r="D54" s="23" t="s">
        <v>202</v>
      </c>
      <c r="E54" s="23" t="s">
        <v>72</v>
      </c>
      <c r="F54" s="23" t="s">
        <v>95</v>
      </c>
      <c r="G54" s="23" t="s">
        <v>95</v>
      </c>
      <c r="H54" s="23" t="s">
        <v>203</v>
      </c>
      <c r="I54" s="24">
        <v>400000</v>
      </c>
      <c r="J54" s="24">
        <v>349470</v>
      </c>
      <c r="K54" s="24">
        <v>349470</v>
      </c>
      <c r="L54" s="24">
        <v>50530</v>
      </c>
      <c r="M54" s="29"/>
      <c r="N54" s="24">
        <f t="shared" si="0"/>
        <v>50530</v>
      </c>
      <c r="O54" s="29"/>
    </row>
    <row r="55" spans="1:15">
      <c r="A55" s="23" t="s">
        <v>154</v>
      </c>
      <c r="B55" s="23" t="s">
        <v>196</v>
      </c>
      <c r="C55" s="23" t="s">
        <v>198</v>
      </c>
      <c r="D55" s="23" t="s">
        <v>202</v>
      </c>
      <c r="E55" s="23" t="s">
        <v>72</v>
      </c>
      <c r="F55" s="23" t="s">
        <v>95</v>
      </c>
      <c r="G55" s="23" t="s">
        <v>95</v>
      </c>
      <c r="H55" s="23" t="s">
        <v>204</v>
      </c>
      <c r="I55" s="24">
        <v>2870000</v>
      </c>
      <c r="J55" s="24">
        <v>1982280</v>
      </c>
      <c r="K55" s="24">
        <v>1982280</v>
      </c>
      <c r="L55" s="24">
        <v>887720</v>
      </c>
      <c r="M55" s="29"/>
      <c r="N55" s="24">
        <f t="shared" si="0"/>
        <v>887720</v>
      </c>
      <c r="O55" s="29"/>
    </row>
    <row r="56" spans="1:15">
      <c r="A56" s="23" t="s">
        <v>154</v>
      </c>
      <c r="B56" s="23" t="s">
        <v>196</v>
      </c>
      <c r="C56" s="23" t="s">
        <v>198</v>
      </c>
      <c r="D56" s="23" t="s">
        <v>202</v>
      </c>
      <c r="E56" s="23" t="s">
        <v>72</v>
      </c>
      <c r="F56" s="23" t="s">
        <v>95</v>
      </c>
      <c r="G56" s="23" t="s">
        <v>188</v>
      </c>
      <c r="H56" s="23" t="s">
        <v>205</v>
      </c>
      <c r="I56" s="24">
        <v>4838000</v>
      </c>
      <c r="J56" s="24">
        <v>4125100</v>
      </c>
      <c r="K56" s="24">
        <v>4125100</v>
      </c>
      <c r="L56" s="24">
        <v>712900</v>
      </c>
      <c r="M56" s="29"/>
      <c r="N56" s="24">
        <f t="shared" si="0"/>
        <v>712900</v>
      </c>
      <c r="O56" s="29"/>
    </row>
    <row r="57" spans="1:15">
      <c r="A57" s="23" t="s">
        <v>154</v>
      </c>
      <c r="B57" s="23" t="s">
        <v>196</v>
      </c>
      <c r="C57" s="23" t="s">
        <v>198</v>
      </c>
      <c r="D57" s="23" t="s">
        <v>207</v>
      </c>
      <c r="E57" s="23" t="s">
        <v>72</v>
      </c>
      <c r="F57" s="23" t="s">
        <v>74</v>
      </c>
      <c r="G57" s="23" t="s">
        <v>76</v>
      </c>
      <c r="H57" s="23" t="s">
        <v>208</v>
      </c>
      <c r="I57" s="24">
        <v>1000000</v>
      </c>
      <c r="J57" s="24">
        <v>442270</v>
      </c>
      <c r="K57" s="24">
        <v>442270</v>
      </c>
      <c r="L57" s="24">
        <v>557730</v>
      </c>
      <c r="M57" s="29"/>
      <c r="N57" s="24">
        <f t="shared" si="0"/>
        <v>557730</v>
      </c>
      <c r="O57" s="29"/>
    </row>
    <row r="58" spans="1:15">
      <c r="A58" s="23" t="s">
        <v>154</v>
      </c>
      <c r="B58" s="23" t="s">
        <v>196</v>
      </c>
      <c r="C58" s="23" t="s">
        <v>198</v>
      </c>
      <c r="D58" s="23" t="s">
        <v>207</v>
      </c>
      <c r="E58" s="23" t="s">
        <v>72</v>
      </c>
      <c r="F58" s="23" t="s">
        <v>74</v>
      </c>
      <c r="G58" s="23" t="s">
        <v>76</v>
      </c>
      <c r="H58" s="23" t="s">
        <v>209</v>
      </c>
      <c r="I58" s="24">
        <v>600000</v>
      </c>
      <c r="J58" s="24">
        <v>299800</v>
      </c>
      <c r="K58" s="24">
        <v>299800</v>
      </c>
      <c r="L58" s="24">
        <v>300200</v>
      </c>
      <c r="M58" s="29"/>
      <c r="N58" s="24">
        <f t="shared" si="0"/>
        <v>300200</v>
      </c>
      <c r="O58" s="29"/>
    </row>
    <row r="59" spans="1:15">
      <c r="A59" s="23" t="s">
        <v>154</v>
      </c>
      <c r="B59" s="23" t="s">
        <v>196</v>
      </c>
      <c r="C59" s="23" t="s">
        <v>198</v>
      </c>
      <c r="D59" s="23" t="s">
        <v>207</v>
      </c>
      <c r="E59" s="23" t="s">
        <v>72</v>
      </c>
      <c r="F59" s="23" t="s">
        <v>74</v>
      </c>
      <c r="G59" s="23" t="s">
        <v>76</v>
      </c>
      <c r="H59" s="23" t="s">
        <v>210</v>
      </c>
      <c r="I59" s="24">
        <v>1450000</v>
      </c>
      <c r="J59" s="24">
        <v>1310400</v>
      </c>
      <c r="K59" s="24">
        <v>1310400</v>
      </c>
      <c r="L59" s="24">
        <v>139600</v>
      </c>
      <c r="M59" s="29"/>
      <c r="N59" s="24">
        <f t="shared" si="0"/>
        <v>139600</v>
      </c>
      <c r="O59" s="29"/>
    </row>
    <row r="60" spans="1:15">
      <c r="A60" s="23" t="s">
        <v>154</v>
      </c>
      <c r="B60" s="23" t="s">
        <v>196</v>
      </c>
      <c r="C60" s="23" t="s">
        <v>198</v>
      </c>
      <c r="D60" s="23" t="s">
        <v>207</v>
      </c>
      <c r="E60" s="23" t="s">
        <v>72</v>
      </c>
      <c r="F60" s="23" t="s">
        <v>74</v>
      </c>
      <c r="G60" s="23" t="s">
        <v>79</v>
      </c>
      <c r="H60" s="23" t="s">
        <v>211</v>
      </c>
      <c r="I60" s="24">
        <v>1000000</v>
      </c>
      <c r="J60" s="24">
        <v>0</v>
      </c>
      <c r="K60" s="24">
        <v>0</v>
      </c>
      <c r="L60" s="24">
        <v>1000000</v>
      </c>
      <c r="M60" s="29"/>
      <c r="N60" s="24">
        <f t="shared" si="0"/>
        <v>1000000</v>
      </c>
      <c r="O60" s="29"/>
    </row>
    <row r="61" spans="1:15">
      <c r="A61" s="23" t="s">
        <v>154</v>
      </c>
      <c r="B61" s="23" t="s">
        <v>196</v>
      </c>
      <c r="C61" s="23" t="s">
        <v>198</v>
      </c>
      <c r="D61" s="23" t="s">
        <v>207</v>
      </c>
      <c r="E61" s="23" t="s">
        <v>72</v>
      </c>
      <c r="F61" s="23" t="s">
        <v>74</v>
      </c>
      <c r="G61" s="23" t="s">
        <v>82</v>
      </c>
      <c r="H61" s="23" t="s">
        <v>212</v>
      </c>
      <c r="I61" s="24">
        <v>400000</v>
      </c>
      <c r="J61" s="24">
        <v>160000</v>
      </c>
      <c r="K61" s="24">
        <v>160000</v>
      </c>
      <c r="L61" s="24">
        <v>240000</v>
      </c>
      <c r="M61" s="29"/>
      <c r="N61" s="24">
        <f t="shared" si="0"/>
        <v>240000</v>
      </c>
      <c r="O61" s="29"/>
    </row>
    <row r="62" spans="1:15">
      <c r="A62" s="23" t="s">
        <v>154</v>
      </c>
      <c r="B62" s="23" t="s">
        <v>196</v>
      </c>
      <c r="C62" s="23" t="s">
        <v>198</v>
      </c>
      <c r="D62" s="23" t="s">
        <v>207</v>
      </c>
      <c r="E62" s="23" t="s">
        <v>72</v>
      </c>
      <c r="F62" s="23" t="s">
        <v>95</v>
      </c>
      <c r="G62" s="23" t="s">
        <v>95</v>
      </c>
      <c r="H62" s="23" t="s">
        <v>213</v>
      </c>
      <c r="I62" s="24">
        <v>108000</v>
      </c>
      <c r="J62" s="24">
        <v>100000</v>
      </c>
      <c r="K62" s="24">
        <v>100000</v>
      </c>
      <c r="L62" s="24">
        <v>8000</v>
      </c>
      <c r="M62" s="29"/>
      <c r="N62" s="24">
        <f t="shared" si="0"/>
        <v>8000</v>
      </c>
      <c r="O62" s="29"/>
    </row>
    <row r="63" spans="1:15">
      <c r="A63" s="23" t="s">
        <v>154</v>
      </c>
      <c r="B63" s="23" t="s">
        <v>196</v>
      </c>
      <c r="C63" s="23" t="s">
        <v>198</v>
      </c>
      <c r="D63" s="23" t="s">
        <v>207</v>
      </c>
      <c r="E63" s="23" t="s">
        <v>72</v>
      </c>
      <c r="F63" s="23" t="s">
        <v>95</v>
      </c>
      <c r="G63" s="23" t="s">
        <v>188</v>
      </c>
      <c r="H63" s="23" t="s">
        <v>214</v>
      </c>
      <c r="I63" s="24">
        <v>3500000</v>
      </c>
      <c r="J63" s="24">
        <v>3284260</v>
      </c>
      <c r="K63" s="24">
        <v>3284260</v>
      </c>
      <c r="L63" s="24">
        <v>215740</v>
      </c>
      <c r="M63" s="29"/>
      <c r="N63" s="24">
        <f t="shared" si="0"/>
        <v>215740</v>
      </c>
      <c r="O63" s="29"/>
    </row>
    <row r="64" spans="1:15">
      <c r="A64" s="23" t="s">
        <v>154</v>
      </c>
      <c r="B64" s="23" t="s">
        <v>196</v>
      </c>
      <c r="C64" s="23" t="s">
        <v>198</v>
      </c>
      <c r="D64" s="23" t="s">
        <v>216</v>
      </c>
      <c r="E64" s="23" t="s">
        <v>72</v>
      </c>
      <c r="F64" s="23" t="s">
        <v>74</v>
      </c>
      <c r="G64" s="23" t="s">
        <v>76</v>
      </c>
      <c r="H64" s="23" t="s">
        <v>217</v>
      </c>
      <c r="I64" s="24">
        <v>2000000</v>
      </c>
      <c r="J64" s="24">
        <v>1045720</v>
      </c>
      <c r="K64" s="24">
        <v>1045720</v>
      </c>
      <c r="L64" s="24">
        <v>954280</v>
      </c>
      <c r="M64" s="29"/>
      <c r="N64" s="24">
        <f t="shared" si="0"/>
        <v>954280</v>
      </c>
      <c r="O64" s="29"/>
    </row>
    <row r="65" spans="1:15">
      <c r="A65" s="23" t="s">
        <v>154</v>
      </c>
      <c r="B65" s="23" t="s">
        <v>196</v>
      </c>
      <c r="C65" s="23" t="s">
        <v>198</v>
      </c>
      <c r="D65" s="23" t="s">
        <v>218</v>
      </c>
      <c r="E65" s="23" t="s">
        <v>72</v>
      </c>
      <c r="F65" s="23" t="s">
        <v>95</v>
      </c>
      <c r="G65" s="23" t="s">
        <v>95</v>
      </c>
      <c r="H65" s="23" t="s">
        <v>219</v>
      </c>
      <c r="I65" s="24">
        <v>360000</v>
      </c>
      <c r="J65" s="24">
        <v>360000</v>
      </c>
      <c r="K65" s="24">
        <v>360000</v>
      </c>
      <c r="L65" s="24">
        <v>0</v>
      </c>
      <c r="M65" s="29"/>
      <c r="N65" s="24">
        <f t="shared" si="0"/>
        <v>0</v>
      </c>
      <c r="O65" s="29"/>
    </row>
    <row r="66" spans="1:15">
      <c r="A66" s="23" t="s">
        <v>154</v>
      </c>
      <c r="B66" s="23" t="s">
        <v>196</v>
      </c>
      <c r="C66" s="23" t="s">
        <v>198</v>
      </c>
      <c r="D66" s="23" t="s">
        <v>220</v>
      </c>
      <c r="E66" s="23" t="s">
        <v>72</v>
      </c>
      <c r="F66" s="23" t="s">
        <v>95</v>
      </c>
      <c r="G66" s="23" t="s">
        <v>95</v>
      </c>
      <c r="H66" s="23" t="s">
        <v>221</v>
      </c>
      <c r="I66" s="24">
        <v>800000</v>
      </c>
      <c r="J66" s="24">
        <v>800000</v>
      </c>
      <c r="K66" s="24">
        <v>800000</v>
      </c>
      <c r="L66" s="24">
        <v>0</v>
      </c>
      <c r="M66" s="29"/>
      <c r="N66" s="24">
        <f t="shared" si="0"/>
        <v>0</v>
      </c>
      <c r="O66" s="29"/>
    </row>
    <row r="67" spans="1:15">
      <c r="A67" s="23" t="s">
        <v>154</v>
      </c>
      <c r="B67" s="23" t="s">
        <v>196</v>
      </c>
      <c r="C67" s="23" t="s">
        <v>223</v>
      </c>
      <c r="D67" s="23" t="s">
        <v>224</v>
      </c>
      <c r="E67" s="23" t="s">
        <v>72</v>
      </c>
      <c r="F67" s="23" t="s">
        <v>74</v>
      </c>
      <c r="G67" s="23" t="s">
        <v>76</v>
      </c>
      <c r="H67" s="23" t="s">
        <v>225</v>
      </c>
      <c r="I67" s="24">
        <v>200000</v>
      </c>
      <c r="J67" s="24">
        <v>0</v>
      </c>
      <c r="K67" s="24">
        <v>0</v>
      </c>
      <c r="L67" s="24">
        <v>200000</v>
      </c>
      <c r="M67" s="29"/>
      <c r="N67" s="24">
        <f t="shared" si="0"/>
        <v>200000</v>
      </c>
      <c r="O67" s="29"/>
    </row>
    <row r="68" spans="1:15">
      <c r="A68" s="23" t="s">
        <v>154</v>
      </c>
      <c r="B68" s="23" t="s">
        <v>196</v>
      </c>
      <c r="C68" s="23" t="s">
        <v>223</v>
      </c>
      <c r="D68" s="23" t="s">
        <v>224</v>
      </c>
      <c r="E68" s="23" t="s">
        <v>72</v>
      </c>
      <c r="F68" s="23" t="s">
        <v>74</v>
      </c>
      <c r="G68" s="23" t="s">
        <v>76</v>
      </c>
      <c r="H68" s="23" t="s">
        <v>226</v>
      </c>
      <c r="I68" s="24">
        <v>840000</v>
      </c>
      <c r="J68" s="24">
        <v>0</v>
      </c>
      <c r="K68" s="24">
        <v>0</v>
      </c>
      <c r="L68" s="24">
        <v>840000</v>
      </c>
      <c r="M68" s="29"/>
      <c r="N68" s="24">
        <f t="shared" si="0"/>
        <v>840000</v>
      </c>
      <c r="O68" s="29"/>
    </row>
    <row r="69" spans="1:15">
      <c r="A69" s="23" t="s">
        <v>154</v>
      </c>
      <c r="B69" s="23" t="s">
        <v>196</v>
      </c>
      <c r="C69" s="23" t="s">
        <v>223</v>
      </c>
      <c r="D69" s="23" t="s">
        <v>227</v>
      </c>
      <c r="E69" s="23" t="s">
        <v>72</v>
      </c>
      <c r="F69" s="23" t="s">
        <v>74</v>
      </c>
      <c r="G69" s="23" t="s">
        <v>76</v>
      </c>
      <c r="H69" s="23" t="s">
        <v>228</v>
      </c>
      <c r="I69" s="24">
        <v>1500000</v>
      </c>
      <c r="J69" s="24">
        <v>0</v>
      </c>
      <c r="K69" s="24">
        <v>0</v>
      </c>
      <c r="L69" s="24">
        <v>1500000</v>
      </c>
      <c r="M69" s="29"/>
      <c r="N69" s="24">
        <f t="shared" si="0"/>
        <v>1500000</v>
      </c>
      <c r="O69" s="29"/>
    </row>
    <row r="70" spans="1:15">
      <c r="A70" s="23" t="s">
        <v>154</v>
      </c>
      <c r="B70" s="23" t="s">
        <v>230</v>
      </c>
      <c r="C70" s="23" t="s">
        <v>232</v>
      </c>
      <c r="D70" s="23" t="s">
        <v>233</v>
      </c>
      <c r="E70" s="23" t="s">
        <v>131</v>
      </c>
      <c r="F70" s="23" t="s">
        <v>149</v>
      </c>
      <c r="G70" s="23" t="s">
        <v>149</v>
      </c>
      <c r="H70" s="23" t="s">
        <v>236</v>
      </c>
      <c r="I70" s="24">
        <v>1850000</v>
      </c>
      <c r="J70" s="24">
        <v>750000</v>
      </c>
      <c r="K70" s="24">
        <v>750000</v>
      </c>
      <c r="L70" s="24">
        <v>1100000</v>
      </c>
      <c r="M70" s="29"/>
      <c r="N70" s="24">
        <f t="shared" si="0"/>
        <v>1100000</v>
      </c>
      <c r="O70" s="29"/>
    </row>
    <row r="71" spans="1:15">
      <c r="A71" s="23" t="s">
        <v>154</v>
      </c>
      <c r="B71" s="23" t="s">
        <v>230</v>
      </c>
      <c r="C71" s="23" t="s">
        <v>232</v>
      </c>
      <c r="D71" s="23" t="s">
        <v>233</v>
      </c>
      <c r="E71" s="23" t="s">
        <v>72</v>
      </c>
      <c r="F71" s="23" t="s">
        <v>74</v>
      </c>
      <c r="G71" s="23" t="s">
        <v>79</v>
      </c>
      <c r="H71" s="23" t="s">
        <v>237</v>
      </c>
      <c r="I71" s="24">
        <v>12000000</v>
      </c>
      <c r="J71" s="24">
        <v>5895000</v>
      </c>
      <c r="K71" s="24">
        <v>5895000</v>
      </c>
      <c r="L71" s="24">
        <v>6105000</v>
      </c>
      <c r="M71" s="29"/>
      <c r="N71" s="24">
        <f t="shared" si="0"/>
        <v>6105000</v>
      </c>
      <c r="O71" s="29"/>
    </row>
    <row r="72" spans="1:15">
      <c r="A72" s="23" t="s">
        <v>154</v>
      </c>
      <c r="B72" s="23" t="s">
        <v>230</v>
      </c>
      <c r="C72" s="23" t="s">
        <v>232</v>
      </c>
      <c r="D72" s="23" t="s">
        <v>233</v>
      </c>
      <c r="E72" s="23" t="s">
        <v>72</v>
      </c>
      <c r="F72" s="23" t="s">
        <v>95</v>
      </c>
      <c r="G72" s="23" t="s">
        <v>95</v>
      </c>
      <c r="H72" s="23" t="s">
        <v>238</v>
      </c>
      <c r="I72" s="24">
        <v>576000</v>
      </c>
      <c r="J72" s="24">
        <v>352640</v>
      </c>
      <c r="K72" s="24">
        <v>352640</v>
      </c>
      <c r="L72" s="24">
        <v>223360</v>
      </c>
      <c r="M72" s="29"/>
      <c r="N72" s="24">
        <f t="shared" ref="N72:N135" si="1">L72-M72</f>
        <v>223360</v>
      </c>
      <c r="O72" s="29"/>
    </row>
    <row r="73" spans="1:15">
      <c r="A73" s="23" t="s">
        <v>154</v>
      </c>
      <c r="B73" s="23" t="s">
        <v>230</v>
      </c>
      <c r="C73" s="23" t="s">
        <v>232</v>
      </c>
      <c r="D73" s="23" t="s">
        <v>233</v>
      </c>
      <c r="E73" s="23" t="s">
        <v>72</v>
      </c>
      <c r="F73" s="23" t="s">
        <v>124</v>
      </c>
      <c r="G73" s="23" t="s">
        <v>138</v>
      </c>
      <c r="H73" s="23" t="s">
        <v>239</v>
      </c>
      <c r="I73" s="24">
        <v>324000</v>
      </c>
      <c r="J73" s="24">
        <v>150840</v>
      </c>
      <c r="K73" s="24">
        <v>150840</v>
      </c>
      <c r="L73" s="24">
        <v>173160</v>
      </c>
      <c r="M73" s="29"/>
      <c r="N73" s="24">
        <f t="shared" si="1"/>
        <v>173160</v>
      </c>
      <c r="O73" s="29"/>
    </row>
    <row r="74" spans="1:15">
      <c r="A74" s="23" t="s">
        <v>154</v>
      </c>
      <c r="B74" s="23" t="s">
        <v>230</v>
      </c>
      <c r="C74" s="23" t="s">
        <v>232</v>
      </c>
      <c r="D74" s="23" t="s">
        <v>233</v>
      </c>
      <c r="E74" s="23" t="s">
        <v>87</v>
      </c>
      <c r="F74" s="23" t="s">
        <v>89</v>
      </c>
      <c r="G74" s="23" t="s">
        <v>106</v>
      </c>
      <c r="H74" s="23" t="s">
        <v>240</v>
      </c>
      <c r="I74" s="24">
        <v>250000</v>
      </c>
      <c r="J74" s="24">
        <v>97400</v>
      </c>
      <c r="K74" s="24">
        <v>97400</v>
      </c>
      <c r="L74" s="24">
        <v>152600</v>
      </c>
      <c r="M74" s="29"/>
      <c r="N74" s="24">
        <f t="shared" si="1"/>
        <v>152600</v>
      </c>
      <c r="O74" s="29"/>
    </row>
    <row r="75" spans="1:15">
      <c r="A75" s="23" t="s">
        <v>154</v>
      </c>
      <c r="B75" s="23" t="s">
        <v>230</v>
      </c>
      <c r="C75" s="23" t="s">
        <v>232</v>
      </c>
      <c r="D75" s="23" t="s">
        <v>241</v>
      </c>
      <c r="E75" s="23" t="s">
        <v>72</v>
      </c>
      <c r="F75" s="23" t="s">
        <v>74</v>
      </c>
      <c r="G75" s="23" t="s">
        <v>76</v>
      </c>
      <c r="H75" s="23" t="s">
        <v>242</v>
      </c>
      <c r="I75" s="24">
        <v>13375000</v>
      </c>
      <c r="J75" s="24">
        <v>5819910</v>
      </c>
      <c r="K75" s="24">
        <v>5819910</v>
      </c>
      <c r="L75" s="24">
        <v>7555090</v>
      </c>
      <c r="M75" s="29"/>
      <c r="N75" s="24">
        <f t="shared" si="1"/>
        <v>7555090</v>
      </c>
      <c r="O75" s="29"/>
    </row>
    <row r="76" spans="1:15">
      <c r="A76" s="23" t="s">
        <v>154</v>
      </c>
      <c r="B76" s="23" t="s">
        <v>230</v>
      </c>
      <c r="C76" s="23" t="s">
        <v>232</v>
      </c>
      <c r="D76" s="23" t="s">
        <v>243</v>
      </c>
      <c r="E76" s="23" t="s">
        <v>72</v>
      </c>
      <c r="F76" s="23" t="s">
        <v>74</v>
      </c>
      <c r="G76" s="23" t="s">
        <v>79</v>
      </c>
      <c r="H76" s="23" t="s">
        <v>244</v>
      </c>
      <c r="I76" s="24">
        <v>8000000</v>
      </c>
      <c r="J76" s="24">
        <v>1650000</v>
      </c>
      <c r="K76" s="24">
        <v>1650000</v>
      </c>
      <c r="L76" s="24">
        <v>6350000</v>
      </c>
      <c r="M76" s="29"/>
      <c r="N76" s="24">
        <f t="shared" si="1"/>
        <v>6350000</v>
      </c>
      <c r="O76" s="29"/>
    </row>
    <row r="77" spans="1:15">
      <c r="A77" s="23" t="s">
        <v>154</v>
      </c>
      <c r="B77" s="23" t="s">
        <v>246</v>
      </c>
      <c r="C77" s="23" t="s">
        <v>248</v>
      </c>
      <c r="D77" s="23" t="s">
        <v>249</v>
      </c>
      <c r="E77" s="23" t="s">
        <v>72</v>
      </c>
      <c r="F77" s="23" t="s">
        <v>95</v>
      </c>
      <c r="G77" s="23" t="s">
        <v>95</v>
      </c>
      <c r="H77" s="23" t="s">
        <v>250</v>
      </c>
      <c r="I77" s="24">
        <v>2000000</v>
      </c>
      <c r="J77" s="24">
        <v>990340</v>
      </c>
      <c r="K77" s="24">
        <v>990340</v>
      </c>
      <c r="L77" s="24">
        <v>1009660</v>
      </c>
      <c r="M77" s="29"/>
      <c r="N77" s="24">
        <f t="shared" si="1"/>
        <v>1009660</v>
      </c>
      <c r="O77" s="29"/>
    </row>
    <row r="78" spans="1:15">
      <c r="A78" s="23" t="s">
        <v>154</v>
      </c>
      <c r="B78" s="23" t="s">
        <v>246</v>
      </c>
      <c r="C78" s="23" t="s">
        <v>248</v>
      </c>
      <c r="D78" s="23" t="s">
        <v>249</v>
      </c>
      <c r="E78" s="23" t="s">
        <v>87</v>
      </c>
      <c r="F78" s="23" t="s">
        <v>89</v>
      </c>
      <c r="G78" s="23" t="s">
        <v>89</v>
      </c>
      <c r="H78" s="23" t="s">
        <v>251</v>
      </c>
      <c r="I78" s="24">
        <v>0</v>
      </c>
      <c r="J78" s="24">
        <v>0</v>
      </c>
      <c r="K78" s="24">
        <v>0</v>
      </c>
      <c r="L78" s="24">
        <v>0</v>
      </c>
      <c r="M78" s="29"/>
      <c r="N78" s="24">
        <f t="shared" si="1"/>
        <v>0</v>
      </c>
      <c r="O78" s="29"/>
    </row>
    <row r="79" spans="1:15">
      <c r="A79" s="23" t="s">
        <v>154</v>
      </c>
      <c r="B79" s="23" t="s">
        <v>246</v>
      </c>
      <c r="C79" s="23" t="s">
        <v>248</v>
      </c>
      <c r="D79" s="23" t="s">
        <v>252</v>
      </c>
      <c r="E79" s="23" t="s">
        <v>72</v>
      </c>
      <c r="F79" s="23" t="s">
        <v>74</v>
      </c>
      <c r="G79" s="23" t="s">
        <v>79</v>
      </c>
      <c r="H79" s="23" t="s">
        <v>253</v>
      </c>
      <c r="I79" s="24">
        <v>1000000</v>
      </c>
      <c r="J79" s="24">
        <v>0</v>
      </c>
      <c r="K79" s="24">
        <v>0</v>
      </c>
      <c r="L79" s="24">
        <v>1000000</v>
      </c>
      <c r="M79" s="29"/>
      <c r="N79" s="24">
        <f t="shared" si="1"/>
        <v>1000000</v>
      </c>
      <c r="O79" s="29"/>
    </row>
    <row r="80" spans="1:15">
      <c r="A80" s="23" t="s">
        <v>154</v>
      </c>
      <c r="B80" s="23" t="s">
        <v>246</v>
      </c>
      <c r="C80" s="23" t="s">
        <v>248</v>
      </c>
      <c r="D80" s="23" t="s">
        <v>252</v>
      </c>
      <c r="E80" s="23" t="s">
        <v>72</v>
      </c>
      <c r="F80" s="23" t="s">
        <v>95</v>
      </c>
      <c r="G80" s="23" t="s">
        <v>95</v>
      </c>
      <c r="H80" s="23" t="s">
        <v>254</v>
      </c>
      <c r="I80" s="24">
        <v>1350000</v>
      </c>
      <c r="J80" s="24">
        <v>200000</v>
      </c>
      <c r="K80" s="24">
        <v>200000</v>
      </c>
      <c r="L80" s="24">
        <v>1150000</v>
      </c>
      <c r="M80" s="29"/>
      <c r="N80" s="24">
        <f t="shared" si="1"/>
        <v>1150000</v>
      </c>
      <c r="O80" s="29"/>
    </row>
    <row r="81" spans="1:15">
      <c r="A81" s="23" t="s">
        <v>154</v>
      </c>
      <c r="B81" s="23" t="s">
        <v>246</v>
      </c>
      <c r="C81" s="23" t="s">
        <v>248</v>
      </c>
      <c r="D81" s="23" t="s">
        <v>252</v>
      </c>
      <c r="E81" s="23" t="s">
        <v>72</v>
      </c>
      <c r="F81" s="23" t="s">
        <v>95</v>
      </c>
      <c r="G81" s="23" t="s">
        <v>188</v>
      </c>
      <c r="H81" s="23" t="s">
        <v>255</v>
      </c>
      <c r="I81" s="24">
        <v>500000</v>
      </c>
      <c r="J81" s="24">
        <v>0</v>
      </c>
      <c r="K81" s="24">
        <v>0</v>
      </c>
      <c r="L81" s="24">
        <v>500000</v>
      </c>
      <c r="M81" s="29"/>
      <c r="N81" s="24">
        <f t="shared" si="1"/>
        <v>500000</v>
      </c>
      <c r="O81" s="29"/>
    </row>
    <row r="82" spans="1:15">
      <c r="A82" s="23" t="s">
        <v>154</v>
      </c>
      <c r="B82" s="23" t="s">
        <v>246</v>
      </c>
      <c r="C82" s="23" t="s">
        <v>248</v>
      </c>
      <c r="D82" s="23" t="s">
        <v>252</v>
      </c>
      <c r="E82" s="23" t="s">
        <v>87</v>
      </c>
      <c r="F82" s="23" t="s">
        <v>89</v>
      </c>
      <c r="G82" s="23" t="s">
        <v>89</v>
      </c>
      <c r="H82" s="23" t="s">
        <v>256</v>
      </c>
      <c r="I82" s="24">
        <v>150000</v>
      </c>
      <c r="J82" s="24">
        <v>0</v>
      </c>
      <c r="K82" s="24">
        <v>0</v>
      </c>
      <c r="L82" s="24">
        <v>150000</v>
      </c>
      <c r="M82" s="29"/>
      <c r="N82" s="24">
        <f t="shared" si="1"/>
        <v>150000</v>
      </c>
      <c r="O82" s="29"/>
    </row>
    <row r="83" spans="1:15">
      <c r="A83" s="23" t="s">
        <v>154</v>
      </c>
      <c r="B83" s="23" t="s">
        <v>246</v>
      </c>
      <c r="C83" s="23" t="s">
        <v>248</v>
      </c>
      <c r="D83" s="23" t="s">
        <v>257</v>
      </c>
      <c r="E83" s="23" t="s">
        <v>72</v>
      </c>
      <c r="F83" s="23" t="s">
        <v>95</v>
      </c>
      <c r="G83" s="23" t="s">
        <v>95</v>
      </c>
      <c r="H83" s="23" t="s">
        <v>258</v>
      </c>
      <c r="I83" s="24">
        <v>1320000</v>
      </c>
      <c r="J83" s="24">
        <v>1320000</v>
      </c>
      <c r="K83" s="24">
        <v>1320000</v>
      </c>
      <c r="L83" s="24">
        <v>0</v>
      </c>
      <c r="M83" s="29"/>
      <c r="N83" s="24">
        <f t="shared" si="1"/>
        <v>0</v>
      </c>
      <c r="O83" s="29"/>
    </row>
    <row r="84" spans="1:15">
      <c r="A84" s="23" t="s">
        <v>154</v>
      </c>
      <c r="B84" s="23" t="s">
        <v>246</v>
      </c>
      <c r="C84" s="23" t="s">
        <v>260</v>
      </c>
      <c r="D84" s="23" t="s">
        <v>261</v>
      </c>
      <c r="E84" s="23" t="s">
        <v>72</v>
      </c>
      <c r="F84" s="23" t="s">
        <v>95</v>
      </c>
      <c r="G84" s="23" t="s">
        <v>188</v>
      </c>
      <c r="H84" s="23" t="s">
        <v>262</v>
      </c>
      <c r="I84" s="24">
        <v>140000</v>
      </c>
      <c r="J84" s="24">
        <v>128000</v>
      </c>
      <c r="K84" s="24">
        <v>0</v>
      </c>
      <c r="L84" s="24">
        <v>12000</v>
      </c>
      <c r="M84" s="29"/>
      <c r="N84" s="24">
        <f t="shared" si="1"/>
        <v>12000</v>
      </c>
      <c r="O84" s="29"/>
    </row>
    <row r="85" spans="1:15">
      <c r="A85" s="23" t="s">
        <v>154</v>
      </c>
      <c r="B85" s="23" t="s">
        <v>246</v>
      </c>
      <c r="C85" s="23" t="s">
        <v>260</v>
      </c>
      <c r="D85" s="23" t="s">
        <v>261</v>
      </c>
      <c r="E85" s="23" t="s">
        <v>72</v>
      </c>
      <c r="F85" s="23" t="s">
        <v>95</v>
      </c>
      <c r="G85" s="23" t="s">
        <v>188</v>
      </c>
      <c r="H85" s="23" t="s">
        <v>263</v>
      </c>
      <c r="I85" s="24">
        <v>6370000</v>
      </c>
      <c r="J85" s="24">
        <v>5504000</v>
      </c>
      <c r="K85" s="24">
        <v>0</v>
      </c>
      <c r="L85" s="24">
        <v>866000</v>
      </c>
      <c r="M85" s="29"/>
      <c r="N85" s="24">
        <f t="shared" si="1"/>
        <v>866000</v>
      </c>
      <c r="O85" s="29"/>
    </row>
    <row r="86" spans="1:15">
      <c r="A86" s="23" t="s">
        <v>265</v>
      </c>
      <c r="B86" s="23" t="s">
        <v>267</v>
      </c>
      <c r="C86" s="23" t="s">
        <v>269</v>
      </c>
      <c r="D86" s="23" t="s">
        <v>270</v>
      </c>
      <c r="E86" s="23" t="s">
        <v>72</v>
      </c>
      <c r="F86" s="23" t="s">
        <v>74</v>
      </c>
      <c r="G86" s="23" t="s">
        <v>79</v>
      </c>
      <c r="H86" s="23" t="s">
        <v>271</v>
      </c>
      <c r="I86" s="24">
        <v>14079000</v>
      </c>
      <c r="J86" s="24">
        <v>6737520</v>
      </c>
      <c r="K86" s="24">
        <v>6737520</v>
      </c>
      <c r="L86" s="24">
        <v>7341480</v>
      </c>
      <c r="M86" s="29"/>
      <c r="N86" s="24">
        <f t="shared" si="1"/>
        <v>7341480</v>
      </c>
      <c r="O86" s="29"/>
    </row>
    <row r="87" spans="1:15">
      <c r="A87" s="23" t="s">
        <v>265</v>
      </c>
      <c r="B87" s="23" t="s">
        <v>267</v>
      </c>
      <c r="C87" s="23" t="s">
        <v>269</v>
      </c>
      <c r="D87" s="23" t="s">
        <v>270</v>
      </c>
      <c r="E87" s="23" t="s">
        <v>72</v>
      </c>
      <c r="F87" s="23" t="s">
        <v>95</v>
      </c>
      <c r="G87" s="23" t="s">
        <v>273</v>
      </c>
      <c r="H87" s="23" t="s">
        <v>274</v>
      </c>
      <c r="I87" s="24">
        <v>3000000</v>
      </c>
      <c r="J87" s="24">
        <v>1072410</v>
      </c>
      <c r="K87" s="24">
        <v>1072410</v>
      </c>
      <c r="L87" s="24">
        <v>1927590</v>
      </c>
      <c r="M87" s="29"/>
      <c r="N87" s="24">
        <f t="shared" si="1"/>
        <v>1927590</v>
      </c>
      <c r="O87" s="29"/>
    </row>
    <row r="88" spans="1:15">
      <c r="A88" s="23" t="s">
        <v>265</v>
      </c>
      <c r="B88" s="23" t="s">
        <v>267</v>
      </c>
      <c r="C88" s="23" t="s">
        <v>269</v>
      </c>
      <c r="D88" s="23" t="s">
        <v>270</v>
      </c>
      <c r="E88" s="23" t="s">
        <v>72</v>
      </c>
      <c r="F88" s="23" t="s">
        <v>95</v>
      </c>
      <c r="G88" s="23" t="s">
        <v>273</v>
      </c>
      <c r="H88" s="23" t="s">
        <v>275</v>
      </c>
      <c r="I88" s="24">
        <v>18000000</v>
      </c>
      <c r="J88" s="24">
        <v>9368640</v>
      </c>
      <c r="K88" s="24">
        <v>9368640</v>
      </c>
      <c r="L88" s="24">
        <v>8631360</v>
      </c>
      <c r="M88" s="29"/>
      <c r="N88" s="24">
        <f t="shared" si="1"/>
        <v>8631360</v>
      </c>
      <c r="O88" s="29"/>
    </row>
    <row r="89" spans="1:15">
      <c r="A89" s="23" t="s">
        <v>265</v>
      </c>
      <c r="B89" s="23" t="s">
        <v>267</v>
      </c>
      <c r="C89" s="23" t="s">
        <v>269</v>
      </c>
      <c r="D89" s="23" t="s">
        <v>270</v>
      </c>
      <c r="E89" s="23" t="s">
        <v>72</v>
      </c>
      <c r="F89" s="23" t="s">
        <v>95</v>
      </c>
      <c r="G89" s="23" t="s">
        <v>273</v>
      </c>
      <c r="H89" s="23" t="s">
        <v>276</v>
      </c>
      <c r="I89" s="24">
        <v>3000000</v>
      </c>
      <c r="J89" s="24">
        <v>2780880</v>
      </c>
      <c r="K89" s="24">
        <v>2780880</v>
      </c>
      <c r="L89" s="24">
        <v>219120</v>
      </c>
      <c r="M89" s="29"/>
      <c r="N89" s="24">
        <f t="shared" si="1"/>
        <v>219120</v>
      </c>
      <c r="O89" s="29"/>
    </row>
    <row r="90" spans="1:15">
      <c r="A90" s="23" t="s">
        <v>265</v>
      </c>
      <c r="B90" s="23" t="s">
        <v>267</v>
      </c>
      <c r="C90" s="23" t="s">
        <v>269</v>
      </c>
      <c r="D90" s="23" t="s">
        <v>277</v>
      </c>
      <c r="E90" s="23" t="s">
        <v>72</v>
      </c>
      <c r="F90" s="23" t="s">
        <v>74</v>
      </c>
      <c r="G90" s="23" t="s">
        <v>79</v>
      </c>
      <c r="H90" s="23" t="s">
        <v>278</v>
      </c>
      <c r="I90" s="24">
        <v>2625000</v>
      </c>
      <c r="J90" s="24">
        <v>0</v>
      </c>
      <c r="K90" s="24">
        <v>0</v>
      </c>
      <c r="L90" s="24">
        <v>2625000</v>
      </c>
      <c r="M90" s="29"/>
      <c r="N90" s="24">
        <f t="shared" si="1"/>
        <v>2625000</v>
      </c>
      <c r="O90" s="29"/>
    </row>
    <row r="91" spans="1:15">
      <c r="A91" s="23" t="s">
        <v>265</v>
      </c>
      <c r="B91" s="23" t="s">
        <v>267</v>
      </c>
      <c r="C91" s="23" t="s">
        <v>269</v>
      </c>
      <c r="D91" s="23" t="s">
        <v>277</v>
      </c>
      <c r="E91" s="23" t="s">
        <v>72</v>
      </c>
      <c r="F91" s="23" t="s">
        <v>74</v>
      </c>
      <c r="G91" s="23" t="s">
        <v>79</v>
      </c>
      <c r="H91" s="23" t="s">
        <v>279</v>
      </c>
      <c r="I91" s="24">
        <v>2100000</v>
      </c>
      <c r="J91" s="24">
        <v>1575000</v>
      </c>
      <c r="K91" s="24">
        <v>1575000</v>
      </c>
      <c r="L91" s="24">
        <v>525000</v>
      </c>
      <c r="M91" s="29"/>
      <c r="N91" s="24">
        <f t="shared" si="1"/>
        <v>525000</v>
      </c>
      <c r="O91" s="29"/>
    </row>
    <row r="92" spans="1:15">
      <c r="A92" s="23" t="s">
        <v>265</v>
      </c>
      <c r="B92" s="23" t="s">
        <v>267</v>
      </c>
      <c r="C92" s="23" t="s">
        <v>269</v>
      </c>
      <c r="D92" s="23" t="s">
        <v>277</v>
      </c>
      <c r="E92" s="23" t="s">
        <v>72</v>
      </c>
      <c r="F92" s="23" t="s">
        <v>95</v>
      </c>
      <c r="G92" s="23" t="s">
        <v>95</v>
      </c>
      <c r="H92" s="23" t="s">
        <v>280</v>
      </c>
      <c r="I92" s="24">
        <v>1640000</v>
      </c>
      <c r="J92" s="24">
        <v>1564670</v>
      </c>
      <c r="K92" s="24">
        <v>1564670</v>
      </c>
      <c r="L92" s="24">
        <v>75330</v>
      </c>
      <c r="M92" s="29"/>
      <c r="N92" s="24">
        <f t="shared" si="1"/>
        <v>75330</v>
      </c>
      <c r="O92" s="29"/>
    </row>
    <row r="93" spans="1:15">
      <c r="A93" s="23" t="s">
        <v>265</v>
      </c>
      <c r="B93" s="23" t="s">
        <v>267</v>
      </c>
      <c r="C93" s="23" t="s">
        <v>269</v>
      </c>
      <c r="D93" s="23" t="s">
        <v>277</v>
      </c>
      <c r="E93" s="23" t="s">
        <v>72</v>
      </c>
      <c r="F93" s="23" t="s">
        <v>95</v>
      </c>
      <c r="G93" s="23" t="s">
        <v>95</v>
      </c>
      <c r="H93" s="23" t="s">
        <v>281</v>
      </c>
      <c r="I93" s="24">
        <v>2050000</v>
      </c>
      <c r="J93" s="24">
        <v>1293490</v>
      </c>
      <c r="K93" s="24">
        <v>1293490</v>
      </c>
      <c r="L93" s="24">
        <v>756510</v>
      </c>
      <c r="M93" s="29"/>
      <c r="N93" s="24">
        <f t="shared" si="1"/>
        <v>756510</v>
      </c>
      <c r="O93" s="29"/>
    </row>
    <row r="94" spans="1:15">
      <c r="A94" s="23" t="s">
        <v>265</v>
      </c>
      <c r="B94" s="23" t="s">
        <v>267</v>
      </c>
      <c r="C94" s="23" t="s">
        <v>269</v>
      </c>
      <c r="D94" s="23" t="s">
        <v>277</v>
      </c>
      <c r="E94" s="23" t="s">
        <v>72</v>
      </c>
      <c r="F94" s="23" t="s">
        <v>95</v>
      </c>
      <c r="G94" s="23" t="s">
        <v>95</v>
      </c>
      <c r="H94" s="23" t="s">
        <v>282</v>
      </c>
      <c r="I94" s="24">
        <v>1640000</v>
      </c>
      <c r="J94" s="24">
        <v>0</v>
      </c>
      <c r="K94" s="24">
        <v>0</v>
      </c>
      <c r="L94" s="24">
        <v>1640000</v>
      </c>
      <c r="M94" s="29"/>
      <c r="N94" s="24">
        <f t="shared" si="1"/>
        <v>1640000</v>
      </c>
      <c r="O94" s="29"/>
    </row>
    <row r="95" spans="1:15">
      <c r="A95" s="23" t="s">
        <v>265</v>
      </c>
      <c r="B95" s="23" t="s">
        <v>267</v>
      </c>
      <c r="C95" s="23" t="s">
        <v>269</v>
      </c>
      <c r="D95" s="23" t="s">
        <v>277</v>
      </c>
      <c r="E95" s="23" t="s">
        <v>72</v>
      </c>
      <c r="F95" s="23" t="s">
        <v>95</v>
      </c>
      <c r="G95" s="23" t="s">
        <v>95</v>
      </c>
      <c r="H95" s="23" t="s">
        <v>283</v>
      </c>
      <c r="I95" s="24">
        <v>2050000</v>
      </c>
      <c r="J95" s="24">
        <v>529200</v>
      </c>
      <c r="K95" s="24">
        <v>529200</v>
      </c>
      <c r="L95" s="24">
        <v>1520800</v>
      </c>
      <c r="M95" s="29"/>
      <c r="N95" s="24">
        <f t="shared" si="1"/>
        <v>1520800</v>
      </c>
      <c r="O95" s="29"/>
    </row>
    <row r="96" spans="1:15">
      <c r="A96" s="23" t="s">
        <v>265</v>
      </c>
      <c r="B96" s="23" t="s">
        <v>267</v>
      </c>
      <c r="C96" s="23" t="s">
        <v>269</v>
      </c>
      <c r="D96" s="23" t="s">
        <v>277</v>
      </c>
      <c r="E96" s="23" t="s">
        <v>72</v>
      </c>
      <c r="F96" s="23" t="s">
        <v>95</v>
      </c>
      <c r="G96" s="23" t="s">
        <v>95</v>
      </c>
      <c r="H96" s="23" t="s">
        <v>284</v>
      </c>
      <c r="I96" s="24">
        <v>2050000</v>
      </c>
      <c r="J96" s="24">
        <v>0</v>
      </c>
      <c r="K96" s="24">
        <v>0</v>
      </c>
      <c r="L96" s="24">
        <v>2050000</v>
      </c>
      <c r="M96" s="29"/>
      <c r="N96" s="24">
        <f t="shared" si="1"/>
        <v>2050000</v>
      </c>
      <c r="O96" s="29"/>
    </row>
    <row r="97" spans="1:15">
      <c r="A97" s="23" t="s">
        <v>265</v>
      </c>
      <c r="B97" s="23" t="s">
        <v>267</v>
      </c>
      <c r="C97" s="23" t="s">
        <v>269</v>
      </c>
      <c r="D97" s="23" t="s">
        <v>277</v>
      </c>
      <c r="E97" s="23" t="s">
        <v>72</v>
      </c>
      <c r="F97" s="23" t="s">
        <v>95</v>
      </c>
      <c r="G97" s="23" t="s">
        <v>95</v>
      </c>
      <c r="H97" s="23" t="s">
        <v>285</v>
      </c>
      <c r="I97" s="24">
        <v>1640000</v>
      </c>
      <c r="J97" s="24">
        <v>77570</v>
      </c>
      <c r="K97" s="24">
        <v>77570</v>
      </c>
      <c r="L97" s="24">
        <v>1562430</v>
      </c>
      <c r="M97" s="29"/>
      <c r="N97" s="24">
        <f t="shared" si="1"/>
        <v>1562430</v>
      </c>
      <c r="O97" s="29"/>
    </row>
    <row r="98" spans="1:15">
      <c r="A98" s="23" t="s">
        <v>265</v>
      </c>
      <c r="B98" s="23" t="s">
        <v>267</v>
      </c>
      <c r="C98" s="23" t="s">
        <v>269</v>
      </c>
      <c r="D98" s="23" t="s">
        <v>277</v>
      </c>
      <c r="E98" s="23" t="s">
        <v>72</v>
      </c>
      <c r="F98" s="23" t="s">
        <v>95</v>
      </c>
      <c r="G98" s="23" t="s">
        <v>95</v>
      </c>
      <c r="H98" s="23" t="s">
        <v>286</v>
      </c>
      <c r="I98" s="24">
        <v>2930000</v>
      </c>
      <c r="J98" s="24">
        <v>278780</v>
      </c>
      <c r="K98" s="24">
        <v>278780</v>
      </c>
      <c r="L98" s="24">
        <v>2651220</v>
      </c>
      <c r="M98" s="29"/>
      <c r="N98" s="24">
        <f t="shared" si="1"/>
        <v>2651220</v>
      </c>
      <c r="O98" s="29"/>
    </row>
    <row r="99" spans="1:15">
      <c r="A99" s="23" t="s">
        <v>265</v>
      </c>
      <c r="B99" s="23" t="s">
        <v>267</v>
      </c>
      <c r="C99" s="23" t="s">
        <v>269</v>
      </c>
      <c r="D99" s="23" t="s">
        <v>277</v>
      </c>
      <c r="E99" s="23" t="s">
        <v>72</v>
      </c>
      <c r="F99" s="23" t="s">
        <v>95</v>
      </c>
      <c r="G99" s="23" t="s">
        <v>95</v>
      </c>
      <c r="H99" s="23" t="s">
        <v>287</v>
      </c>
      <c r="I99" s="24">
        <v>1540000</v>
      </c>
      <c r="J99" s="24">
        <v>240000</v>
      </c>
      <c r="K99" s="24">
        <v>240000</v>
      </c>
      <c r="L99" s="24">
        <v>1300000</v>
      </c>
      <c r="M99" s="29"/>
      <c r="N99" s="24">
        <f t="shared" si="1"/>
        <v>1300000</v>
      </c>
      <c r="O99" s="29"/>
    </row>
    <row r="100" spans="1:15">
      <c r="A100" s="23" t="s">
        <v>265</v>
      </c>
      <c r="B100" s="23" t="s">
        <v>267</v>
      </c>
      <c r="C100" s="23" t="s">
        <v>269</v>
      </c>
      <c r="D100" s="23" t="s">
        <v>277</v>
      </c>
      <c r="E100" s="23" t="s">
        <v>72</v>
      </c>
      <c r="F100" s="23" t="s">
        <v>95</v>
      </c>
      <c r="G100" s="23" t="s">
        <v>95</v>
      </c>
      <c r="H100" s="23" t="s">
        <v>288</v>
      </c>
      <c r="I100" s="24">
        <v>1540000</v>
      </c>
      <c r="J100" s="24">
        <v>0</v>
      </c>
      <c r="K100" s="24">
        <v>0</v>
      </c>
      <c r="L100" s="24">
        <v>1540000</v>
      </c>
      <c r="M100" s="29"/>
      <c r="N100" s="24">
        <f t="shared" si="1"/>
        <v>1540000</v>
      </c>
      <c r="O100" s="29"/>
    </row>
    <row r="101" spans="1:15">
      <c r="A101" s="23" t="s">
        <v>265</v>
      </c>
      <c r="B101" s="23" t="s">
        <v>267</v>
      </c>
      <c r="C101" s="23" t="s">
        <v>269</v>
      </c>
      <c r="D101" s="23" t="s">
        <v>277</v>
      </c>
      <c r="E101" s="23" t="s">
        <v>72</v>
      </c>
      <c r="F101" s="23" t="s">
        <v>95</v>
      </c>
      <c r="G101" s="23" t="s">
        <v>95</v>
      </c>
      <c r="H101" s="23" t="s">
        <v>289</v>
      </c>
      <c r="I101" s="24">
        <v>1540000</v>
      </c>
      <c r="J101" s="24">
        <v>40500</v>
      </c>
      <c r="K101" s="24">
        <v>40500</v>
      </c>
      <c r="L101" s="24">
        <v>1499500</v>
      </c>
      <c r="M101" s="29"/>
      <c r="N101" s="24">
        <f t="shared" si="1"/>
        <v>1499500</v>
      </c>
      <c r="O101" s="29"/>
    </row>
    <row r="102" spans="1:15">
      <c r="A102" s="23" t="s">
        <v>265</v>
      </c>
      <c r="B102" s="23" t="s">
        <v>267</v>
      </c>
      <c r="C102" s="23" t="s">
        <v>269</v>
      </c>
      <c r="D102" s="23" t="s">
        <v>277</v>
      </c>
      <c r="E102" s="23" t="s">
        <v>72</v>
      </c>
      <c r="F102" s="23" t="s">
        <v>95</v>
      </c>
      <c r="G102" s="23" t="s">
        <v>95</v>
      </c>
      <c r="H102" s="23" t="s">
        <v>290</v>
      </c>
      <c r="I102" s="24">
        <v>1540000</v>
      </c>
      <c r="J102" s="24">
        <v>0</v>
      </c>
      <c r="K102" s="24">
        <v>0</v>
      </c>
      <c r="L102" s="24">
        <v>1540000</v>
      </c>
      <c r="M102" s="29"/>
      <c r="N102" s="24">
        <f t="shared" si="1"/>
        <v>1540000</v>
      </c>
      <c r="O102" s="29"/>
    </row>
    <row r="103" spans="1:15">
      <c r="A103" s="23" t="s">
        <v>265</v>
      </c>
      <c r="B103" s="23" t="s">
        <v>267</v>
      </c>
      <c r="C103" s="23" t="s">
        <v>269</v>
      </c>
      <c r="D103" s="23" t="s">
        <v>277</v>
      </c>
      <c r="E103" s="23" t="s">
        <v>72</v>
      </c>
      <c r="F103" s="23" t="s">
        <v>95</v>
      </c>
      <c r="G103" s="23" t="s">
        <v>95</v>
      </c>
      <c r="H103" s="23" t="s">
        <v>291</v>
      </c>
      <c r="I103" s="24">
        <v>1540000</v>
      </c>
      <c r="J103" s="24">
        <v>0</v>
      </c>
      <c r="K103" s="24">
        <v>0</v>
      </c>
      <c r="L103" s="24">
        <v>1540000</v>
      </c>
      <c r="M103" s="29"/>
      <c r="N103" s="24">
        <f t="shared" si="1"/>
        <v>1540000</v>
      </c>
      <c r="O103" s="29"/>
    </row>
    <row r="104" spans="1:15">
      <c r="A104" s="23" t="s">
        <v>265</v>
      </c>
      <c r="B104" s="23" t="s">
        <v>267</v>
      </c>
      <c r="C104" s="23" t="s">
        <v>269</v>
      </c>
      <c r="D104" s="23" t="s">
        <v>277</v>
      </c>
      <c r="E104" s="23" t="s">
        <v>72</v>
      </c>
      <c r="F104" s="23" t="s">
        <v>95</v>
      </c>
      <c r="G104" s="23" t="s">
        <v>95</v>
      </c>
      <c r="H104" s="23" t="s">
        <v>292</v>
      </c>
      <c r="I104" s="24">
        <v>1575000</v>
      </c>
      <c r="J104" s="24">
        <v>264850</v>
      </c>
      <c r="K104" s="24">
        <v>264850</v>
      </c>
      <c r="L104" s="24">
        <v>1310150</v>
      </c>
      <c r="M104" s="29"/>
      <c r="N104" s="24">
        <f t="shared" si="1"/>
        <v>1310150</v>
      </c>
      <c r="O104" s="29"/>
    </row>
    <row r="105" spans="1:15">
      <c r="A105" s="23" t="s">
        <v>265</v>
      </c>
      <c r="B105" s="23" t="s">
        <v>267</v>
      </c>
      <c r="C105" s="23" t="s">
        <v>269</v>
      </c>
      <c r="D105" s="23" t="s">
        <v>293</v>
      </c>
      <c r="E105" s="23" t="s">
        <v>87</v>
      </c>
      <c r="F105" s="23" t="s">
        <v>89</v>
      </c>
      <c r="G105" s="23" t="s">
        <v>89</v>
      </c>
      <c r="H105" s="23" t="s">
        <v>294</v>
      </c>
      <c r="I105" s="24">
        <v>1500000</v>
      </c>
      <c r="J105" s="24">
        <v>0</v>
      </c>
      <c r="K105" s="24">
        <v>0</v>
      </c>
      <c r="L105" s="24">
        <v>1500000</v>
      </c>
      <c r="M105" s="29"/>
      <c r="N105" s="24">
        <f t="shared" si="1"/>
        <v>1500000</v>
      </c>
      <c r="O105" s="29"/>
    </row>
    <row r="106" spans="1:15">
      <c r="A106" s="23" t="s">
        <v>265</v>
      </c>
      <c r="B106" s="23" t="s">
        <v>267</v>
      </c>
      <c r="C106" s="23" t="s">
        <v>269</v>
      </c>
      <c r="D106" s="23" t="s">
        <v>293</v>
      </c>
      <c r="E106" s="23" t="s">
        <v>87</v>
      </c>
      <c r="F106" s="23" t="s">
        <v>89</v>
      </c>
      <c r="G106" s="23" t="s">
        <v>89</v>
      </c>
      <c r="H106" s="23" t="s">
        <v>295</v>
      </c>
      <c r="I106" s="24">
        <v>1290000</v>
      </c>
      <c r="J106" s="24">
        <v>957000</v>
      </c>
      <c r="K106" s="24">
        <v>957000</v>
      </c>
      <c r="L106" s="24">
        <v>333000</v>
      </c>
      <c r="M106" s="29"/>
      <c r="N106" s="24">
        <f t="shared" si="1"/>
        <v>333000</v>
      </c>
      <c r="O106" s="29"/>
    </row>
    <row r="107" spans="1:15">
      <c r="A107" s="23" t="s">
        <v>265</v>
      </c>
      <c r="B107" s="23" t="s">
        <v>267</v>
      </c>
      <c r="C107" s="23" t="s">
        <v>269</v>
      </c>
      <c r="D107" s="23" t="s">
        <v>293</v>
      </c>
      <c r="E107" s="23" t="s">
        <v>87</v>
      </c>
      <c r="F107" s="23" t="s">
        <v>89</v>
      </c>
      <c r="G107" s="23" t="s">
        <v>89</v>
      </c>
      <c r="H107" s="23" t="s">
        <v>296</v>
      </c>
      <c r="I107" s="24">
        <v>150000</v>
      </c>
      <c r="J107" s="24">
        <v>145000</v>
      </c>
      <c r="K107" s="24">
        <v>145000</v>
      </c>
      <c r="L107" s="24">
        <v>5000</v>
      </c>
      <c r="M107" s="29"/>
      <c r="N107" s="24">
        <f t="shared" si="1"/>
        <v>5000</v>
      </c>
      <c r="O107" s="29"/>
    </row>
    <row r="108" spans="1:15">
      <c r="A108" s="23" t="s">
        <v>265</v>
      </c>
      <c r="B108" s="23" t="s">
        <v>267</v>
      </c>
      <c r="C108" s="23" t="s">
        <v>269</v>
      </c>
      <c r="D108" s="23" t="s">
        <v>293</v>
      </c>
      <c r="E108" s="23" t="s">
        <v>87</v>
      </c>
      <c r="F108" s="23" t="s">
        <v>89</v>
      </c>
      <c r="G108" s="23" t="s">
        <v>89</v>
      </c>
      <c r="H108" s="23" t="s">
        <v>297</v>
      </c>
      <c r="I108" s="24">
        <v>1200000</v>
      </c>
      <c r="J108" s="24">
        <v>600000</v>
      </c>
      <c r="K108" s="24">
        <v>600000</v>
      </c>
      <c r="L108" s="24">
        <v>600000</v>
      </c>
      <c r="M108" s="29"/>
      <c r="N108" s="24">
        <f t="shared" si="1"/>
        <v>600000</v>
      </c>
      <c r="O108" s="29"/>
    </row>
    <row r="109" spans="1:15">
      <c r="A109" s="23" t="s">
        <v>265</v>
      </c>
      <c r="B109" s="23" t="s">
        <v>267</v>
      </c>
      <c r="C109" s="23" t="s">
        <v>269</v>
      </c>
      <c r="D109" s="23" t="s">
        <v>298</v>
      </c>
      <c r="E109" s="23" t="s">
        <v>72</v>
      </c>
      <c r="F109" s="23" t="s">
        <v>74</v>
      </c>
      <c r="G109" s="23" t="s">
        <v>76</v>
      </c>
      <c r="H109" s="23" t="s">
        <v>299</v>
      </c>
      <c r="I109" s="24">
        <v>1000000</v>
      </c>
      <c r="J109" s="24">
        <v>420000</v>
      </c>
      <c r="K109" s="24">
        <v>420000</v>
      </c>
      <c r="L109" s="24">
        <v>580000</v>
      </c>
      <c r="M109" s="29"/>
      <c r="N109" s="24">
        <f t="shared" si="1"/>
        <v>580000</v>
      </c>
      <c r="O109" s="29"/>
    </row>
    <row r="110" spans="1:15">
      <c r="A110" s="23" t="s">
        <v>265</v>
      </c>
      <c r="B110" s="23" t="s">
        <v>267</v>
      </c>
      <c r="C110" s="23" t="s">
        <v>269</v>
      </c>
      <c r="D110" s="23" t="s">
        <v>298</v>
      </c>
      <c r="E110" s="23" t="s">
        <v>72</v>
      </c>
      <c r="F110" s="23" t="s">
        <v>74</v>
      </c>
      <c r="G110" s="23" t="s">
        <v>79</v>
      </c>
      <c r="H110" s="23" t="s">
        <v>300</v>
      </c>
      <c r="I110" s="24">
        <v>300000</v>
      </c>
      <c r="J110" s="24">
        <v>0</v>
      </c>
      <c r="K110" s="24">
        <v>0</v>
      </c>
      <c r="L110" s="24">
        <v>300000</v>
      </c>
      <c r="M110" s="29"/>
      <c r="N110" s="24">
        <f t="shared" si="1"/>
        <v>300000</v>
      </c>
      <c r="O110" s="29"/>
    </row>
    <row r="111" spans="1:15">
      <c r="A111" s="23" t="s">
        <v>265</v>
      </c>
      <c r="B111" s="23" t="s">
        <v>267</v>
      </c>
      <c r="C111" s="23" t="s">
        <v>269</v>
      </c>
      <c r="D111" s="23" t="s">
        <v>298</v>
      </c>
      <c r="E111" s="23" t="s">
        <v>87</v>
      </c>
      <c r="F111" s="23" t="s">
        <v>89</v>
      </c>
      <c r="G111" s="23" t="s">
        <v>89</v>
      </c>
      <c r="H111" s="23" t="s">
        <v>301</v>
      </c>
      <c r="I111" s="24">
        <v>960000</v>
      </c>
      <c r="J111" s="24">
        <v>494000</v>
      </c>
      <c r="K111" s="24">
        <v>494000</v>
      </c>
      <c r="L111" s="24">
        <v>466000</v>
      </c>
      <c r="M111" s="29"/>
      <c r="N111" s="24">
        <f t="shared" si="1"/>
        <v>466000</v>
      </c>
      <c r="O111" s="29"/>
    </row>
    <row r="112" spans="1:15">
      <c r="A112" s="23" t="s">
        <v>265</v>
      </c>
      <c r="B112" s="23" t="s">
        <v>267</v>
      </c>
      <c r="C112" s="23" t="s">
        <v>269</v>
      </c>
      <c r="D112" s="23" t="s">
        <v>302</v>
      </c>
      <c r="E112" s="23" t="s">
        <v>72</v>
      </c>
      <c r="F112" s="23" t="s">
        <v>95</v>
      </c>
      <c r="G112" s="23" t="s">
        <v>95</v>
      </c>
      <c r="H112" s="23" t="s">
        <v>303</v>
      </c>
      <c r="I112" s="24">
        <v>4000000</v>
      </c>
      <c r="J112" s="24">
        <v>0</v>
      </c>
      <c r="K112" s="24">
        <v>0</v>
      </c>
      <c r="L112" s="24">
        <v>4000000</v>
      </c>
      <c r="M112" s="29"/>
      <c r="N112" s="24">
        <f t="shared" si="1"/>
        <v>4000000</v>
      </c>
      <c r="O112" s="29"/>
    </row>
    <row r="113" spans="1:15">
      <c r="A113" s="23" t="s">
        <v>265</v>
      </c>
      <c r="B113" s="23" t="s">
        <v>267</v>
      </c>
      <c r="C113" s="23" t="s">
        <v>305</v>
      </c>
      <c r="D113" s="23" t="s">
        <v>306</v>
      </c>
      <c r="E113" s="23" t="s">
        <v>72</v>
      </c>
      <c r="F113" s="23" t="s">
        <v>74</v>
      </c>
      <c r="G113" s="23" t="s">
        <v>76</v>
      </c>
      <c r="H113" s="23" t="s">
        <v>307</v>
      </c>
      <c r="I113" s="24">
        <v>200000</v>
      </c>
      <c r="J113" s="24">
        <v>152800</v>
      </c>
      <c r="K113" s="24">
        <v>152800</v>
      </c>
      <c r="L113" s="24">
        <v>47200</v>
      </c>
      <c r="M113" s="29"/>
      <c r="N113" s="24">
        <f t="shared" si="1"/>
        <v>47200</v>
      </c>
      <c r="O113" s="29"/>
    </row>
    <row r="114" spans="1:15">
      <c r="A114" s="23" t="s">
        <v>265</v>
      </c>
      <c r="B114" s="23" t="s">
        <v>267</v>
      </c>
      <c r="C114" s="23" t="s">
        <v>305</v>
      </c>
      <c r="D114" s="23" t="s">
        <v>306</v>
      </c>
      <c r="E114" s="23" t="s">
        <v>72</v>
      </c>
      <c r="F114" s="23" t="s">
        <v>74</v>
      </c>
      <c r="G114" s="23" t="s">
        <v>76</v>
      </c>
      <c r="H114" s="23" t="s">
        <v>308</v>
      </c>
      <c r="I114" s="24">
        <v>2000000</v>
      </c>
      <c r="J114" s="24">
        <v>1665500</v>
      </c>
      <c r="K114" s="24">
        <v>1665500</v>
      </c>
      <c r="L114" s="24">
        <v>334500</v>
      </c>
      <c r="M114" s="29"/>
      <c r="N114" s="24">
        <f t="shared" si="1"/>
        <v>334500</v>
      </c>
      <c r="O114" s="29"/>
    </row>
    <row r="115" spans="1:15">
      <c r="A115" s="23" t="s">
        <v>265</v>
      </c>
      <c r="B115" s="23" t="s">
        <v>267</v>
      </c>
      <c r="C115" s="23" t="s">
        <v>305</v>
      </c>
      <c r="D115" s="23" t="s">
        <v>306</v>
      </c>
      <c r="E115" s="23" t="s">
        <v>72</v>
      </c>
      <c r="F115" s="23" t="s">
        <v>95</v>
      </c>
      <c r="G115" s="23" t="s">
        <v>95</v>
      </c>
      <c r="H115" s="23" t="s">
        <v>309</v>
      </c>
      <c r="I115" s="24">
        <v>4000000</v>
      </c>
      <c r="J115" s="24">
        <v>2127210</v>
      </c>
      <c r="K115" s="24">
        <v>2127210</v>
      </c>
      <c r="L115" s="24">
        <v>1872790</v>
      </c>
      <c r="M115" s="29"/>
      <c r="N115" s="24">
        <f t="shared" si="1"/>
        <v>1872790</v>
      </c>
      <c r="O115" s="29"/>
    </row>
    <row r="116" spans="1:15">
      <c r="A116" s="23" t="s">
        <v>265</v>
      </c>
      <c r="B116" s="23" t="s">
        <v>267</v>
      </c>
      <c r="C116" s="23" t="s">
        <v>305</v>
      </c>
      <c r="D116" s="23" t="s">
        <v>306</v>
      </c>
      <c r="E116" s="23" t="s">
        <v>72</v>
      </c>
      <c r="F116" s="23" t="s">
        <v>95</v>
      </c>
      <c r="G116" s="23" t="s">
        <v>95</v>
      </c>
      <c r="H116" s="23" t="s">
        <v>310</v>
      </c>
      <c r="I116" s="24">
        <v>4000000</v>
      </c>
      <c r="J116" s="24">
        <v>1981420</v>
      </c>
      <c r="K116" s="24">
        <v>1981420</v>
      </c>
      <c r="L116" s="24">
        <v>2018580</v>
      </c>
      <c r="M116" s="29"/>
      <c r="N116" s="24">
        <f t="shared" si="1"/>
        <v>2018580</v>
      </c>
      <c r="O116" s="29"/>
    </row>
    <row r="117" spans="1:15">
      <c r="A117" s="23" t="s">
        <v>265</v>
      </c>
      <c r="B117" s="23" t="s">
        <v>267</v>
      </c>
      <c r="C117" s="23" t="s">
        <v>305</v>
      </c>
      <c r="D117" s="23" t="s">
        <v>306</v>
      </c>
      <c r="E117" s="23" t="s">
        <v>72</v>
      </c>
      <c r="F117" s="23" t="s">
        <v>95</v>
      </c>
      <c r="G117" s="23" t="s">
        <v>95</v>
      </c>
      <c r="H117" s="23" t="s">
        <v>311</v>
      </c>
      <c r="I117" s="24">
        <v>5000000</v>
      </c>
      <c r="J117" s="24">
        <v>4998500</v>
      </c>
      <c r="K117" s="24">
        <v>4998500</v>
      </c>
      <c r="L117" s="24">
        <v>1500</v>
      </c>
      <c r="M117" s="29"/>
      <c r="N117" s="24">
        <f t="shared" si="1"/>
        <v>1500</v>
      </c>
      <c r="O117" s="29"/>
    </row>
    <row r="118" spans="1:15">
      <c r="A118" s="23" t="s">
        <v>265</v>
      </c>
      <c r="B118" s="23" t="s">
        <v>267</v>
      </c>
      <c r="C118" s="23" t="s">
        <v>313</v>
      </c>
      <c r="D118" s="23" t="s">
        <v>306</v>
      </c>
      <c r="E118" s="23" t="s">
        <v>72</v>
      </c>
      <c r="F118" s="23" t="s">
        <v>95</v>
      </c>
      <c r="G118" s="23" t="s">
        <v>95</v>
      </c>
      <c r="H118" s="23" t="s">
        <v>314</v>
      </c>
      <c r="I118" s="24">
        <v>2400000</v>
      </c>
      <c r="J118" s="24">
        <v>2400000</v>
      </c>
      <c r="K118" s="24">
        <v>2400000</v>
      </c>
      <c r="L118" s="24">
        <v>0</v>
      </c>
      <c r="M118" s="29"/>
      <c r="N118" s="24">
        <f t="shared" si="1"/>
        <v>0</v>
      </c>
      <c r="O118" s="29"/>
    </row>
    <row r="119" spans="1:15">
      <c r="A119" s="23" t="s">
        <v>265</v>
      </c>
      <c r="B119" s="23" t="s">
        <v>267</v>
      </c>
      <c r="C119" s="23" t="s">
        <v>313</v>
      </c>
      <c r="D119" s="23" t="s">
        <v>315</v>
      </c>
      <c r="E119" s="23" t="s">
        <v>72</v>
      </c>
      <c r="F119" s="23" t="s">
        <v>95</v>
      </c>
      <c r="G119" s="23" t="s">
        <v>95</v>
      </c>
      <c r="H119" s="23" t="s">
        <v>316</v>
      </c>
      <c r="I119" s="24">
        <v>3000000</v>
      </c>
      <c r="J119" s="24">
        <v>3000000</v>
      </c>
      <c r="K119" s="24">
        <v>3000000</v>
      </c>
      <c r="L119" s="24">
        <v>0</v>
      </c>
      <c r="M119" s="29"/>
      <c r="N119" s="24">
        <f t="shared" si="1"/>
        <v>0</v>
      </c>
      <c r="O119" s="29"/>
    </row>
    <row r="120" spans="1:15">
      <c r="A120" s="23" t="s">
        <v>265</v>
      </c>
      <c r="B120" s="23" t="s">
        <v>267</v>
      </c>
      <c r="C120" s="23" t="s">
        <v>313</v>
      </c>
      <c r="D120" s="23" t="s">
        <v>315</v>
      </c>
      <c r="E120" s="23" t="s">
        <v>72</v>
      </c>
      <c r="F120" s="23" t="s">
        <v>95</v>
      </c>
      <c r="G120" s="23" t="s">
        <v>95</v>
      </c>
      <c r="H120" s="23" t="s">
        <v>317</v>
      </c>
      <c r="I120" s="24">
        <v>3600000</v>
      </c>
      <c r="J120" s="24">
        <v>3600000</v>
      </c>
      <c r="K120" s="24">
        <v>3600000</v>
      </c>
      <c r="L120" s="24">
        <v>0</v>
      </c>
      <c r="M120" s="29"/>
      <c r="N120" s="24">
        <f t="shared" si="1"/>
        <v>0</v>
      </c>
      <c r="O120" s="29"/>
    </row>
    <row r="121" spans="1:15">
      <c r="A121" s="23" t="s">
        <v>265</v>
      </c>
      <c r="B121" s="23" t="s">
        <v>267</v>
      </c>
      <c r="C121" s="23" t="s">
        <v>313</v>
      </c>
      <c r="D121" s="23" t="s">
        <v>318</v>
      </c>
      <c r="E121" s="23" t="s">
        <v>131</v>
      </c>
      <c r="F121" s="23" t="s">
        <v>133</v>
      </c>
      <c r="G121" s="23" t="s">
        <v>135</v>
      </c>
      <c r="H121" s="23" t="s">
        <v>319</v>
      </c>
      <c r="I121" s="24">
        <v>18841000</v>
      </c>
      <c r="J121" s="24">
        <v>15112730</v>
      </c>
      <c r="K121" s="24">
        <v>15112730</v>
      </c>
      <c r="L121" s="24">
        <v>3728270</v>
      </c>
      <c r="M121" s="29"/>
      <c r="N121" s="24">
        <f t="shared" si="1"/>
        <v>3728270</v>
      </c>
      <c r="O121" s="29"/>
    </row>
    <row r="122" spans="1:15">
      <c r="A122" s="23" t="s">
        <v>265</v>
      </c>
      <c r="B122" s="23" t="s">
        <v>267</v>
      </c>
      <c r="C122" s="23" t="s">
        <v>313</v>
      </c>
      <c r="D122" s="23" t="s">
        <v>318</v>
      </c>
      <c r="E122" s="23" t="s">
        <v>72</v>
      </c>
      <c r="F122" s="23" t="s">
        <v>74</v>
      </c>
      <c r="G122" s="23" t="s">
        <v>76</v>
      </c>
      <c r="H122" s="23" t="s">
        <v>320</v>
      </c>
      <c r="I122" s="24">
        <v>100000</v>
      </c>
      <c r="J122" s="24">
        <v>0</v>
      </c>
      <c r="K122" s="24">
        <v>0</v>
      </c>
      <c r="L122" s="24">
        <v>100000</v>
      </c>
      <c r="M122" s="29"/>
      <c r="N122" s="24">
        <f t="shared" si="1"/>
        <v>100000</v>
      </c>
      <c r="O122" s="29"/>
    </row>
    <row r="123" spans="1:15">
      <c r="A123" s="23" t="s">
        <v>265</v>
      </c>
      <c r="B123" s="23" t="s">
        <v>267</v>
      </c>
      <c r="C123" s="23" t="s">
        <v>313</v>
      </c>
      <c r="D123" s="23" t="s">
        <v>318</v>
      </c>
      <c r="E123" s="23" t="s">
        <v>72</v>
      </c>
      <c r="F123" s="23" t="s">
        <v>74</v>
      </c>
      <c r="G123" s="23" t="s">
        <v>112</v>
      </c>
      <c r="H123" s="23" t="s">
        <v>321</v>
      </c>
      <c r="I123" s="24">
        <v>400000</v>
      </c>
      <c r="J123" s="24">
        <v>400000</v>
      </c>
      <c r="K123" s="24">
        <v>400000</v>
      </c>
      <c r="L123" s="24">
        <v>0</v>
      </c>
      <c r="M123" s="29"/>
      <c r="N123" s="24">
        <f t="shared" si="1"/>
        <v>0</v>
      </c>
      <c r="O123" s="29"/>
    </row>
    <row r="124" spans="1:15">
      <c r="A124" s="23" t="s">
        <v>265</v>
      </c>
      <c r="B124" s="23" t="s">
        <v>267</v>
      </c>
      <c r="C124" s="23" t="s">
        <v>313</v>
      </c>
      <c r="D124" s="23" t="s">
        <v>322</v>
      </c>
      <c r="E124" s="23" t="s">
        <v>72</v>
      </c>
      <c r="F124" s="23" t="s">
        <v>74</v>
      </c>
      <c r="G124" s="23" t="s">
        <v>79</v>
      </c>
      <c r="H124" s="23" t="s">
        <v>323</v>
      </c>
      <c r="I124" s="24">
        <v>400000</v>
      </c>
      <c r="J124" s="24">
        <v>0</v>
      </c>
      <c r="K124" s="24">
        <v>0</v>
      </c>
      <c r="L124" s="24">
        <v>400000</v>
      </c>
      <c r="M124" s="29"/>
      <c r="N124" s="24">
        <f t="shared" si="1"/>
        <v>400000</v>
      </c>
      <c r="O124" s="29"/>
    </row>
    <row r="125" spans="1:15">
      <c r="A125" s="23" t="s">
        <v>265</v>
      </c>
      <c r="B125" s="23" t="s">
        <v>267</v>
      </c>
      <c r="C125" s="23" t="s">
        <v>313</v>
      </c>
      <c r="D125" s="23" t="s">
        <v>322</v>
      </c>
      <c r="E125" s="23" t="s">
        <v>72</v>
      </c>
      <c r="F125" s="23" t="s">
        <v>74</v>
      </c>
      <c r="G125" s="23" t="s">
        <v>79</v>
      </c>
      <c r="H125" s="23" t="s">
        <v>324</v>
      </c>
      <c r="I125" s="24">
        <v>200000</v>
      </c>
      <c r="J125" s="24">
        <v>0</v>
      </c>
      <c r="K125" s="24">
        <v>0</v>
      </c>
      <c r="L125" s="24">
        <v>200000</v>
      </c>
      <c r="M125" s="29"/>
      <c r="N125" s="24">
        <f t="shared" si="1"/>
        <v>200000</v>
      </c>
      <c r="O125" s="29"/>
    </row>
    <row r="126" spans="1:15">
      <c r="A126" s="23" t="s">
        <v>265</v>
      </c>
      <c r="B126" s="23" t="s">
        <v>267</v>
      </c>
      <c r="C126" s="23" t="s">
        <v>313</v>
      </c>
      <c r="D126" s="23" t="s">
        <v>322</v>
      </c>
      <c r="E126" s="23" t="s">
        <v>72</v>
      </c>
      <c r="F126" s="23" t="s">
        <v>74</v>
      </c>
      <c r="G126" s="23" t="s">
        <v>79</v>
      </c>
      <c r="H126" s="23" t="s">
        <v>325</v>
      </c>
      <c r="I126" s="24">
        <v>200000</v>
      </c>
      <c r="J126" s="24">
        <v>0</v>
      </c>
      <c r="K126" s="24">
        <v>0</v>
      </c>
      <c r="L126" s="24">
        <v>200000</v>
      </c>
      <c r="M126" s="29"/>
      <c r="N126" s="24">
        <f t="shared" si="1"/>
        <v>200000</v>
      </c>
      <c r="O126" s="29"/>
    </row>
    <row r="127" spans="1:15">
      <c r="A127" s="23" t="s">
        <v>265</v>
      </c>
      <c r="B127" s="23" t="s">
        <v>267</v>
      </c>
      <c r="C127" s="23" t="s">
        <v>313</v>
      </c>
      <c r="D127" s="23" t="s">
        <v>322</v>
      </c>
      <c r="E127" s="23" t="s">
        <v>72</v>
      </c>
      <c r="F127" s="23" t="s">
        <v>95</v>
      </c>
      <c r="G127" s="23" t="s">
        <v>95</v>
      </c>
      <c r="H127" s="23" t="s">
        <v>326</v>
      </c>
      <c r="I127" s="24">
        <v>400000</v>
      </c>
      <c r="J127" s="24">
        <v>360100</v>
      </c>
      <c r="K127" s="24">
        <v>360100</v>
      </c>
      <c r="L127" s="24">
        <v>39900</v>
      </c>
      <c r="M127" s="29"/>
      <c r="N127" s="24">
        <f t="shared" si="1"/>
        <v>39900</v>
      </c>
      <c r="O127" s="29"/>
    </row>
    <row r="128" spans="1:15">
      <c r="A128" s="23" t="s">
        <v>265</v>
      </c>
      <c r="B128" s="23" t="s">
        <v>267</v>
      </c>
      <c r="C128" s="23" t="s">
        <v>313</v>
      </c>
      <c r="D128" s="23" t="s">
        <v>322</v>
      </c>
      <c r="E128" s="23" t="s">
        <v>72</v>
      </c>
      <c r="F128" s="23" t="s">
        <v>95</v>
      </c>
      <c r="G128" s="23" t="s">
        <v>95</v>
      </c>
      <c r="H128" s="23" t="s">
        <v>327</v>
      </c>
      <c r="I128" s="24">
        <v>200000</v>
      </c>
      <c r="J128" s="24">
        <v>200000</v>
      </c>
      <c r="K128" s="24">
        <v>200000</v>
      </c>
      <c r="L128" s="24">
        <v>0</v>
      </c>
      <c r="M128" s="29"/>
      <c r="N128" s="24">
        <f t="shared" si="1"/>
        <v>0</v>
      </c>
      <c r="O128" s="29"/>
    </row>
    <row r="129" spans="1:15">
      <c r="A129" s="23" t="s">
        <v>265</v>
      </c>
      <c r="B129" s="23" t="s">
        <v>267</v>
      </c>
      <c r="C129" s="23" t="s">
        <v>313</v>
      </c>
      <c r="D129" s="23" t="s">
        <v>322</v>
      </c>
      <c r="E129" s="23" t="s">
        <v>72</v>
      </c>
      <c r="F129" s="23" t="s">
        <v>95</v>
      </c>
      <c r="G129" s="23" t="s">
        <v>95</v>
      </c>
      <c r="H129" s="23" t="s">
        <v>328</v>
      </c>
      <c r="I129" s="24">
        <v>200000</v>
      </c>
      <c r="J129" s="24">
        <v>200000</v>
      </c>
      <c r="K129" s="24">
        <v>200000</v>
      </c>
      <c r="L129" s="24">
        <v>0</v>
      </c>
      <c r="M129" s="29"/>
      <c r="N129" s="24">
        <f t="shared" si="1"/>
        <v>0</v>
      </c>
      <c r="O129" s="29"/>
    </row>
    <row r="130" spans="1:15">
      <c r="A130" s="23" t="s">
        <v>265</v>
      </c>
      <c r="B130" s="23" t="s">
        <v>267</v>
      </c>
      <c r="C130" s="23" t="s">
        <v>313</v>
      </c>
      <c r="D130" s="23" t="s">
        <v>329</v>
      </c>
      <c r="E130" s="23" t="s">
        <v>72</v>
      </c>
      <c r="F130" s="23" t="s">
        <v>74</v>
      </c>
      <c r="G130" s="23" t="s">
        <v>79</v>
      </c>
      <c r="H130" s="23" t="s">
        <v>330</v>
      </c>
      <c r="I130" s="24">
        <v>1150000</v>
      </c>
      <c r="J130" s="24">
        <v>0</v>
      </c>
      <c r="K130" s="24">
        <v>0</v>
      </c>
      <c r="L130" s="24">
        <v>1150000</v>
      </c>
      <c r="M130" s="29"/>
      <c r="N130" s="24">
        <f t="shared" si="1"/>
        <v>1150000</v>
      </c>
      <c r="O130" s="29"/>
    </row>
    <row r="131" spans="1:15">
      <c r="A131" s="23" t="s">
        <v>265</v>
      </c>
      <c r="B131" s="23" t="s">
        <v>267</v>
      </c>
      <c r="C131" s="23" t="s">
        <v>313</v>
      </c>
      <c r="D131" s="23" t="s">
        <v>329</v>
      </c>
      <c r="E131" s="23" t="s">
        <v>72</v>
      </c>
      <c r="F131" s="23" t="s">
        <v>95</v>
      </c>
      <c r="G131" s="23" t="s">
        <v>95</v>
      </c>
      <c r="H131" s="23" t="s">
        <v>331</v>
      </c>
      <c r="I131" s="24">
        <v>850000</v>
      </c>
      <c r="J131" s="24">
        <v>160000</v>
      </c>
      <c r="K131" s="24">
        <v>160000</v>
      </c>
      <c r="L131" s="24">
        <v>690000</v>
      </c>
      <c r="M131" s="29"/>
      <c r="N131" s="24">
        <f t="shared" si="1"/>
        <v>690000</v>
      </c>
      <c r="O131" s="29"/>
    </row>
    <row r="132" spans="1:15">
      <c r="A132" s="23" t="s">
        <v>265</v>
      </c>
      <c r="B132" s="23" t="s">
        <v>267</v>
      </c>
      <c r="C132" s="23" t="s">
        <v>333</v>
      </c>
      <c r="D132" s="23" t="s">
        <v>335</v>
      </c>
      <c r="E132" s="23" t="s">
        <v>131</v>
      </c>
      <c r="F132" s="23" t="s">
        <v>133</v>
      </c>
      <c r="G132" s="23" t="s">
        <v>135</v>
      </c>
      <c r="H132" s="23" t="s">
        <v>336</v>
      </c>
      <c r="I132" s="24">
        <v>10780000</v>
      </c>
      <c r="J132" s="24">
        <v>6930000</v>
      </c>
      <c r="K132" s="24">
        <v>6930000</v>
      </c>
      <c r="L132" s="24">
        <v>3850000</v>
      </c>
      <c r="M132" s="29"/>
      <c r="N132" s="24">
        <f t="shared" si="1"/>
        <v>3850000</v>
      </c>
      <c r="O132" s="29"/>
    </row>
    <row r="133" spans="1:15">
      <c r="A133" s="23" t="s">
        <v>265</v>
      </c>
      <c r="B133" s="23" t="s">
        <v>267</v>
      </c>
      <c r="C133" s="23" t="s">
        <v>333</v>
      </c>
      <c r="D133" s="23" t="s">
        <v>335</v>
      </c>
      <c r="E133" s="23" t="s">
        <v>72</v>
      </c>
      <c r="F133" s="23" t="s">
        <v>95</v>
      </c>
      <c r="G133" s="23" t="s">
        <v>95</v>
      </c>
      <c r="H133" s="23" t="s">
        <v>337</v>
      </c>
      <c r="I133" s="24">
        <v>6800000</v>
      </c>
      <c r="J133" s="24">
        <v>4928950</v>
      </c>
      <c r="K133" s="24">
        <v>4928950</v>
      </c>
      <c r="L133" s="24">
        <v>1871050</v>
      </c>
      <c r="M133" s="29"/>
      <c r="N133" s="24">
        <f t="shared" si="1"/>
        <v>1871050</v>
      </c>
      <c r="O133" s="29"/>
    </row>
    <row r="134" spans="1:15">
      <c r="A134" s="23" t="s">
        <v>265</v>
      </c>
      <c r="B134" s="23" t="s">
        <v>267</v>
      </c>
      <c r="C134" s="23" t="s">
        <v>333</v>
      </c>
      <c r="D134" s="23" t="s">
        <v>335</v>
      </c>
      <c r="E134" s="23" t="s">
        <v>87</v>
      </c>
      <c r="F134" s="23" t="s">
        <v>89</v>
      </c>
      <c r="G134" s="23" t="s">
        <v>89</v>
      </c>
      <c r="H134" s="23" t="s">
        <v>338</v>
      </c>
      <c r="I134" s="24">
        <v>420000</v>
      </c>
      <c r="J134" s="24">
        <v>120000</v>
      </c>
      <c r="K134" s="24">
        <v>120000</v>
      </c>
      <c r="L134" s="24">
        <v>300000</v>
      </c>
      <c r="M134" s="29"/>
      <c r="N134" s="24">
        <f t="shared" si="1"/>
        <v>300000</v>
      </c>
      <c r="O134" s="29"/>
    </row>
    <row r="135" spans="1:15">
      <c r="A135" s="23" t="s">
        <v>265</v>
      </c>
      <c r="B135" s="23" t="s">
        <v>267</v>
      </c>
      <c r="C135" s="23" t="s">
        <v>333</v>
      </c>
      <c r="D135" s="23" t="s">
        <v>339</v>
      </c>
      <c r="E135" s="23" t="s">
        <v>72</v>
      </c>
      <c r="F135" s="23" t="s">
        <v>74</v>
      </c>
      <c r="G135" s="23" t="s">
        <v>79</v>
      </c>
      <c r="H135" s="23" t="s">
        <v>340</v>
      </c>
      <c r="I135" s="24">
        <v>3150000</v>
      </c>
      <c r="J135" s="24">
        <v>3150000</v>
      </c>
      <c r="K135" s="24">
        <v>3150000</v>
      </c>
      <c r="L135" s="24">
        <v>0</v>
      </c>
      <c r="M135" s="29"/>
      <c r="N135" s="24">
        <f t="shared" si="1"/>
        <v>0</v>
      </c>
      <c r="O135" s="29"/>
    </row>
    <row r="136" spans="1:15">
      <c r="A136" s="23" t="s">
        <v>265</v>
      </c>
      <c r="B136" s="23" t="s">
        <v>267</v>
      </c>
      <c r="C136" s="23" t="s">
        <v>333</v>
      </c>
      <c r="D136" s="23" t="s">
        <v>339</v>
      </c>
      <c r="E136" s="23" t="s">
        <v>72</v>
      </c>
      <c r="F136" s="23" t="s">
        <v>95</v>
      </c>
      <c r="G136" s="23" t="s">
        <v>95</v>
      </c>
      <c r="H136" s="23" t="s">
        <v>341</v>
      </c>
      <c r="I136" s="24">
        <v>4550000</v>
      </c>
      <c r="J136" s="24">
        <v>1052800</v>
      </c>
      <c r="K136" s="24">
        <v>1052800</v>
      </c>
      <c r="L136" s="24">
        <v>3497200</v>
      </c>
      <c r="M136" s="29"/>
      <c r="N136" s="24">
        <f t="shared" ref="N136:N199" si="2">L136-M136</f>
        <v>3497200</v>
      </c>
      <c r="O136" s="29"/>
    </row>
    <row r="137" spans="1:15">
      <c r="A137" s="23" t="s">
        <v>265</v>
      </c>
      <c r="B137" s="23" t="s">
        <v>267</v>
      </c>
      <c r="C137" s="23" t="s">
        <v>333</v>
      </c>
      <c r="D137" s="23" t="s">
        <v>342</v>
      </c>
      <c r="E137" s="23" t="s">
        <v>72</v>
      </c>
      <c r="F137" s="23" t="s">
        <v>95</v>
      </c>
      <c r="G137" s="23" t="s">
        <v>95</v>
      </c>
      <c r="H137" s="23" t="s">
        <v>343</v>
      </c>
      <c r="I137" s="24">
        <v>3000000</v>
      </c>
      <c r="J137" s="24">
        <v>0</v>
      </c>
      <c r="K137" s="24">
        <v>0</v>
      </c>
      <c r="L137" s="24">
        <v>3000000</v>
      </c>
      <c r="M137" s="29"/>
      <c r="N137" s="24">
        <f t="shared" si="2"/>
        <v>3000000</v>
      </c>
      <c r="O137" s="29"/>
    </row>
    <row r="138" spans="1:15">
      <c r="A138" s="23" t="s">
        <v>265</v>
      </c>
      <c r="B138" s="23" t="s">
        <v>267</v>
      </c>
      <c r="C138" s="23" t="s">
        <v>345</v>
      </c>
      <c r="D138" s="23" t="s">
        <v>346</v>
      </c>
      <c r="E138" s="23" t="s">
        <v>131</v>
      </c>
      <c r="F138" s="23" t="s">
        <v>133</v>
      </c>
      <c r="G138" s="23" t="s">
        <v>135</v>
      </c>
      <c r="H138" s="23" t="s">
        <v>347</v>
      </c>
      <c r="I138" s="24">
        <v>12000000</v>
      </c>
      <c r="J138" s="24">
        <v>12000000</v>
      </c>
      <c r="K138" s="24">
        <v>12000000</v>
      </c>
      <c r="L138" s="24">
        <v>0</v>
      </c>
      <c r="M138" s="29"/>
      <c r="N138" s="24">
        <f t="shared" si="2"/>
        <v>0</v>
      </c>
      <c r="O138" s="29"/>
    </row>
    <row r="139" spans="1:15">
      <c r="A139" s="23" t="s">
        <v>265</v>
      </c>
      <c r="B139" s="23" t="s">
        <v>267</v>
      </c>
      <c r="C139" s="23" t="s">
        <v>345</v>
      </c>
      <c r="D139" s="23" t="s">
        <v>346</v>
      </c>
      <c r="E139" s="23" t="s">
        <v>72</v>
      </c>
      <c r="F139" s="23" t="s">
        <v>74</v>
      </c>
      <c r="G139" s="23" t="s">
        <v>76</v>
      </c>
      <c r="H139" s="23" t="s">
        <v>348</v>
      </c>
      <c r="I139" s="24">
        <v>3500000</v>
      </c>
      <c r="J139" s="24">
        <v>3500000</v>
      </c>
      <c r="K139" s="24">
        <v>3500000</v>
      </c>
      <c r="L139" s="24">
        <v>0</v>
      </c>
      <c r="M139" s="29"/>
      <c r="N139" s="24">
        <f t="shared" si="2"/>
        <v>0</v>
      </c>
      <c r="O139" s="29"/>
    </row>
    <row r="140" spans="1:15">
      <c r="A140" s="23" t="s">
        <v>265</v>
      </c>
      <c r="B140" s="23" t="s">
        <v>267</v>
      </c>
      <c r="C140" s="23" t="s">
        <v>345</v>
      </c>
      <c r="D140" s="23" t="s">
        <v>346</v>
      </c>
      <c r="E140" s="23" t="s">
        <v>72</v>
      </c>
      <c r="F140" s="23" t="s">
        <v>124</v>
      </c>
      <c r="G140" s="23" t="s">
        <v>138</v>
      </c>
      <c r="H140" s="23" t="s">
        <v>349</v>
      </c>
      <c r="I140" s="24">
        <v>1600000</v>
      </c>
      <c r="J140" s="24">
        <v>1180560</v>
      </c>
      <c r="K140" s="24">
        <v>1180560</v>
      </c>
      <c r="L140" s="24">
        <v>419440</v>
      </c>
      <c r="M140" s="29"/>
      <c r="N140" s="24">
        <f t="shared" si="2"/>
        <v>419440</v>
      </c>
      <c r="O140" s="29"/>
    </row>
    <row r="141" spans="1:15">
      <c r="A141" s="23" t="s">
        <v>265</v>
      </c>
      <c r="B141" s="23" t="s">
        <v>267</v>
      </c>
      <c r="C141" s="23" t="s">
        <v>345</v>
      </c>
      <c r="D141" s="23" t="s">
        <v>350</v>
      </c>
      <c r="E141" s="23" t="s">
        <v>72</v>
      </c>
      <c r="F141" s="23" t="s">
        <v>74</v>
      </c>
      <c r="G141" s="23" t="s">
        <v>79</v>
      </c>
      <c r="H141" s="23" t="s">
        <v>351</v>
      </c>
      <c r="I141" s="24">
        <v>1000000</v>
      </c>
      <c r="J141" s="24">
        <v>0</v>
      </c>
      <c r="K141" s="24">
        <v>0</v>
      </c>
      <c r="L141" s="24">
        <v>1000000</v>
      </c>
      <c r="M141" s="29"/>
      <c r="N141" s="24">
        <f t="shared" si="2"/>
        <v>1000000</v>
      </c>
      <c r="O141" s="29"/>
    </row>
    <row r="142" spans="1:15">
      <c r="A142" s="23" t="s">
        <v>265</v>
      </c>
      <c r="B142" s="23" t="s">
        <v>267</v>
      </c>
      <c r="C142" s="23" t="s">
        <v>345</v>
      </c>
      <c r="D142" s="23" t="s">
        <v>350</v>
      </c>
      <c r="E142" s="23" t="s">
        <v>72</v>
      </c>
      <c r="F142" s="23" t="s">
        <v>95</v>
      </c>
      <c r="G142" s="23" t="s">
        <v>95</v>
      </c>
      <c r="H142" s="23" t="s">
        <v>352</v>
      </c>
      <c r="I142" s="24">
        <v>800000</v>
      </c>
      <c r="J142" s="24">
        <v>529410</v>
      </c>
      <c r="K142" s="24">
        <v>0</v>
      </c>
      <c r="L142" s="24">
        <v>270590</v>
      </c>
      <c r="M142" s="29"/>
      <c r="N142" s="24">
        <f t="shared" si="2"/>
        <v>270590</v>
      </c>
      <c r="O142" s="29"/>
    </row>
    <row r="143" spans="1:15">
      <c r="A143" s="23" t="s">
        <v>265</v>
      </c>
      <c r="B143" s="23" t="s">
        <v>267</v>
      </c>
      <c r="C143" s="23" t="s">
        <v>345</v>
      </c>
      <c r="D143" s="23" t="s">
        <v>353</v>
      </c>
      <c r="E143" s="23" t="s">
        <v>72</v>
      </c>
      <c r="F143" s="23" t="s">
        <v>95</v>
      </c>
      <c r="G143" s="23" t="s">
        <v>95</v>
      </c>
      <c r="H143" s="23" t="s">
        <v>354</v>
      </c>
      <c r="I143" s="24">
        <v>2200000</v>
      </c>
      <c r="J143" s="24">
        <v>1900000</v>
      </c>
      <c r="K143" s="24">
        <v>1900000</v>
      </c>
      <c r="L143" s="24">
        <v>300000</v>
      </c>
      <c r="M143" s="29"/>
      <c r="N143" s="24">
        <f t="shared" si="2"/>
        <v>300000</v>
      </c>
      <c r="O143" s="29"/>
    </row>
    <row r="144" spans="1:15">
      <c r="A144" s="23" t="s">
        <v>265</v>
      </c>
      <c r="B144" s="23" t="s">
        <v>267</v>
      </c>
      <c r="C144" s="23" t="s">
        <v>345</v>
      </c>
      <c r="D144" s="23" t="s">
        <v>353</v>
      </c>
      <c r="E144" s="23" t="s">
        <v>72</v>
      </c>
      <c r="F144" s="23" t="s">
        <v>95</v>
      </c>
      <c r="G144" s="23" t="s">
        <v>95</v>
      </c>
      <c r="H144" s="23" t="s">
        <v>355</v>
      </c>
      <c r="I144" s="24">
        <v>5000000</v>
      </c>
      <c r="J144" s="24">
        <v>2500000</v>
      </c>
      <c r="K144" s="24">
        <v>0</v>
      </c>
      <c r="L144" s="24">
        <v>2500000</v>
      </c>
      <c r="M144" s="29"/>
      <c r="N144" s="24">
        <f t="shared" si="2"/>
        <v>2500000</v>
      </c>
      <c r="O144" s="29"/>
    </row>
    <row r="145" spans="1:15">
      <c r="A145" s="23" t="s">
        <v>265</v>
      </c>
      <c r="B145" s="23" t="s">
        <v>267</v>
      </c>
      <c r="C145" s="23" t="s">
        <v>345</v>
      </c>
      <c r="D145" s="23" t="s">
        <v>356</v>
      </c>
      <c r="E145" s="23" t="s">
        <v>72</v>
      </c>
      <c r="F145" s="23" t="s">
        <v>95</v>
      </c>
      <c r="G145" s="23" t="s">
        <v>95</v>
      </c>
      <c r="H145" s="23" t="s">
        <v>357</v>
      </c>
      <c r="I145" s="24">
        <v>1000000</v>
      </c>
      <c r="J145" s="24">
        <v>1000000</v>
      </c>
      <c r="K145" s="24">
        <v>0</v>
      </c>
      <c r="L145" s="24">
        <v>0</v>
      </c>
      <c r="M145" s="29"/>
      <c r="N145" s="24">
        <f t="shared" si="2"/>
        <v>0</v>
      </c>
      <c r="O145" s="29"/>
    </row>
    <row r="146" spans="1:15">
      <c r="A146" s="23" t="s">
        <v>265</v>
      </c>
      <c r="B146" s="23" t="s">
        <v>267</v>
      </c>
      <c r="C146" s="23" t="s">
        <v>345</v>
      </c>
      <c r="D146" s="23" t="s">
        <v>356</v>
      </c>
      <c r="E146" s="23" t="s">
        <v>72</v>
      </c>
      <c r="F146" s="23" t="s">
        <v>95</v>
      </c>
      <c r="G146" s="23" t="s">
        <v>95</v>
      </c>
      <c r="H146" s="23" t="s">
        <v>358</v>
      </c>
      <c r="I146" s="24">
        <v>2000000</v>
      </c>
      <c r="J146" s="24">
        <v>0</v>
      </c>
      <c r="K146" s="24">
        <v>0</v>
      </c>
      <c r="L146" s="24">
        <v>2000000</v>
      </c>
      <c r="M146" s="29"/>
      <c r="N146" s="24">
        <f t="shared" si="2"/>
        <v>2000000</v>
      </c>
      <c r="O146" s="29"/>
    </row>
    <row r="147" spans="1:15">
      <c r="A147" s="23" t="s">
        <v>265</v>
      </c>
      <c r="B147" s="23" t="s">
        <v>267</v>
      </c>
      <c r="C147" s="23" t="s">
        <v>360</v>
      </c>
      <c r="D147" s="23" t="s">
        <v>306</v>
      </c>
      <c r="E147" s="23" t="s">
        <v>72</v>
      </c>
      <c r="F147" s="23" t="s">
        <v>95</v>
      </c>
      <c r="G147" s="23" t="s">
        <v>95</v>
      </c>
      <c r="H147" s="23" t="s">
        <v>361</v>
      </c>
      <c r="I147" s="24">
        <v>1000000</v>
      </c>
      <c r="J147" s="24">
        <v>0</v>
      </c>
      <c r="K147" s="24">
        <v>0</v>
      </c>
      <c r="L147" s="24">
        <v>1000000</v>
      </c>
      <c r="M147" s="29"/>
      <c r="N147" s="24">
        <f t="shared" si="2"/>
        <v>1000000</v>
      </c>
      <c r="O147" s="29"/>
    </row>
    <row r="148" spans="1:15">
      <c r="A148" s="23" t="s">
        <v>265</v>
      </c>
      <c r="B148" s="23" t="s">
        <v>267</v>
      </c>
      <c r="C148" s="23" t="s">
        <v>360</v>
      </c>
      <c r="D148" s="23" t="s">
        <v>306</v>
      </c>
      <c r="E148" s="23" t="s">
        <v>72</v>
      </c>
      <c r="F148" s="23" t="s">
        <v>95</v>
      </c>
      <c r="G148" s="23" t="s">
        <v>95</v>
      </c>
      <c r="H148" s="23" t="s">
        <v>362</v>
      </c>
      <c r="I148" s="24">
        <v>800000</v>
      </c>
      <c r="J148" s="24">
        <v>0</v>
      </c>
      <c r="K148" s="24">
        <v>0</v>
      </c>
      <c r="L148" s="24">
        <v>800000</v>
      </c>
      <c r="M148" s="29"/>
      <c r="N148" s="24">
        <f t="shared" si="2"/>
        <v>800000</v>
      </c>
      <c r="O148" s="29"/>
    </row>
    <row r="149" spans="1:15">
      <c r="A149" s="23" t="s">
        <v>265</v>
      </c>
      <c r="B149" s="23" t="s">
        <v>267</v>
      </c>
      <c r="C149" s="23" t="s">
        <v>364</v>
      </c>
      <c r="D149" s="23" t="s">
        <v>306</v>
      </c>
      <c r="E149" s="23" t="s">
        <v>72</v>
      </c>
      <c r="F149" s="23" t="s">
        <v>95</v>
      </c>
      <c r="G149" s="23" t="s">
        <v>95</v>
      </c>
      <c r="H149" s="23" t="s">
        <v>365</v>
      </c>
      <c r="I149" s="24">
        <v>1000000</v>
      </c>
      <c r="J149" s="24">
        <v>105000</v>
      </c>
      <c r="K149" s="24">
        <v>105000</v>
      </c>
      <c r="L149" s="24">
        <v>895000</v>
      </c>
      <c r="M149" s="29"/>
      <c r="N149" s="24">
        <f t="shared" si="2"/>
        <v>895000</v>
      </c>
      <c r="O149" s="29"/>
    </row>
    <row r="150" spans="1:15">
      <c r="A150" s="23" t="s">
        <v>265</v>
      </c>
      <c r="B150" s="23" t="s">
        <v>267</v>
      </c>
      <c r="C150" s="23" t="s">
        <v>364</v>
      </c>
      <c r="D150" s="23" t="s">
        <v>306</v>
      </c>
      <c r="E150" s="23" t="s">
        <v>72</v>
      </c>
      <c r="F150" s="23" t="s">
        <v>95</v>
      </c>
      <c r="G150" s="23" t="s">
        <v>95</v>
      </c>
      <c r="H150" s="23" t="s">
        <v>366</v>
      </c>
      <c r="I150" s="24">
        <v>1000000</v>
      </c>
      <c r="J150" s="24">
        <v>43600</v>
      </c>
      <c r="K150" s="24">
        <v>43600</v>
      </c>
      <c r="L150" s="24">
        <v>956400</v>
      </c>
      <c r="M150" s="29"/>
      <c r="N150" s="24">
        <f t="shared" si="2"/>
        <v>956400</v>
      </c>
      <c r="O150" s="29"/>
    </row>
    <row r="151" spans="1:15">
      <c r="A151" s="23" t="s">
        <v>265</v>
      </c>
      <c r="B151" s="23" t="s">
        <v>267</v>
      </c>
      <c r="C151" s="23" t="s">
        <v>364</v>
      </c>
      <c r="D151" s="23" t="s">
        <v>306</v>
      </c>
      <c r="E151" s="23" t="s">
        <v>87</v>
      </c>
      <c r="F151" s="23" t="s">
        <v>89</v>
      </c>
      <c r="G151" s="23" t="s">
        <v>89</v>
      </c>
      <c r="H151" s="23" t="s">
        <v>367</v>
      </c>
      <c r="I151" s="24">
        <v>300000</v>
      </c>
      <c r="J151" s="24">
        <v>146000</v>
      </c>
      <c r="K151" s="24">
        <v>146000</v>
      </c>
      <c r="L151" s="24">
        <v>154000</v>
      </c>
      <c r="M151" s="29"/>
      <c r="N151" s="24">
        <f t="shared" si="2"/>
        <v>154000</v>
      </c>
      <c r="O151" s="29"/>
    </row>
    <row r="152" spans="1:15">
      <c r="A152" s="23" t="s">
        <v>265</v>
      </c>
      <c r="B152" s="23" t="s">
        <v>267</v>
      </c>
      <c r="C152" s="23" t="s">
        <v>364</v>
      </c>
      <c r="D152" s="23" t="s">
        <v>306</v>
      </c>
      <c r="E152" s="23" t="s">
        <v>192</v>
      </c>
      <c r="F152" s="23" t="s">
        <v>192</v>
      </c>
      <c r="G152" s="23" t="s">
        <v>192</v>
      </c>
      <c r="H152" s="23" t="s">
        <v>368</v>
      </c>
      <c r="I152" s="24">
        <v>700000</v>
      </c>
      <c r="J152" s="24">
        <v>0</v>
      </c>
      <c r="K152" s="24">
        <v>0</v>
      </c>
      <c r="L152" s="24">
        <v>700000</v>
      </c>
      <c r="M152" s="29"/>
      <c r="N152" s="24">
        <f t="shared" si="2"/>
        <v>700000</v>
      </c>
      <c r="O152" s="29"/>
    </row>
    <row r="153" spans="1:15">
      <c r="A153" s="23" t="s">
        <v>265</v>
      </c>
      <c r="B153" s="23" t="s">
        <v>267</v>
      </c>
      <c r="C153" s="23" t="s">
        <v>364</v>
      </c>
      <c r="D153" s="23" t="s">
        <v>270</v>
      </c>
      <c r="E153" s="23" t="s">
        <v>72</v>
      </c>
      <c r="F153" s="23" t="s">
        <v>95</v>
      </c>
      <c r="G153" s="23" t="s">
        <v>95</v>
      </c>
      <c r="H153" s="23" t="s">
        <v>369</v>
      </c>
      <c r="I153" s="24">
        <v>1000000</v>
      </c>
      <c r="J153" s="24">
        <v>569510</v>
      </c>
      <c r="K153" s="24">
        <v>416110</v>
      </c>
      <c r="L153" s="24">
        <v>430490</v>
      </c>
      <c r="M153" s="29"/>
      <c r="N153" s="24">
        <f t="shared" si="2"/>
        <v>430490</v>
      </c>
      <c r="O153" s="29"/>
    </row>
    <row r="154" spans="1:15">
      <c r="A154" s="23" t="s">
        <v>265</v>
      </c>
      <c r="B154" s="23" t="s">
        <v>267</v>
      </c>
      <c r="C154" s="23" t="s">
        <v>364</v>
      </c>
      <c r="D154" s="23" t="s">
        <v>270</v>
      </c>
      <c r="E154" s="23" t="s">
        <v>72</v>
      </c>
      <c r="F154" s="23" t="s">
        <v>95</v>
      </c>
      <c r="G154" s="23" t="s">
        <v>95</v>
      </c>
      <c r="H154" s="23" t="s">
        <v>370</v>
      </c>
      <c r="I154" s="24">
        <v>2000000</v>
      </c>
      <c r="J154" s="24">
        <v>1055590</v>
      </c>
      <c r="K154" s="24">
        <v>1008690</v>
      </c>
      <c r="L154" s="24">
        <v>944410</v>
      </c>
      <c r="M154" s="29"/>
      <c r="N154" s="24">
        <f t="shared" si="2"/>
        <v>944410</v>
      </c>
      <c r="O154" s="29"/>
    </row>
    <row r="155" spans="1:15">
      <c r="A155" s="23" t="s">
        <v>265</v>
      </c>
      <c r="B155" s="23" t="s">
        <v>267</v>
      </c>
      <c r="C155" s="23" t="s">
        <v>364</v>
      </c>
      <c r="D155" s="23" t="s">
        <v>371</v>
      </c>
      <c r="E155" s="23" t="s">
        <v>72</v>
      </c>
      <c r="F155" s="23" t="s">
        <v>95</v>
      </c>
      <c r="G155" s="23" t="s">
        <v>95</v>
      </c>
      <c r="H155" s="23" t="s">
        <v>372</v>
      </c>
      <c r="I155" s="24">
        <v>4400000</v>
      </c>
      <c r="J155" s="24">
        <v>2200000</v>
      </c>
      <c r="K155" s="24">
        <v>2200000</v>
      </c>
      <c r="L155" s="24">
        <v>2200000</v>
      </c>
      <c r="M155" s="29"/>
      <c r="N155" s="24">
        <f t="shared" si="2"/>
        <v>2200000</v>
      </c>
      <c r="O155" s="29"/>
    </row>
    <row r="156" spans="1:15">
      <c r="A156" s="23" t="s">
        <v>265</v>
      </c>
      <c r="B156" s="23" t="s">
        <v>267</v>
      </c>
      <c r="C156" s="23" t="s">
        <v>364</v>
      </c>
      <c r="D156" s="23" t="s">
        <v>371</v>
      </c>
      <c r="E156" s="23" t="s">
        <v>72</v>
      </c>
      <c r="F156" s="23" t="s">
        <v>95</v>
      </c>
      <c r="G156" s="23" t="s">
        <v>95</v>
      </c>
      <c r="H156" s="23" t="s">
        <v>373</v>
      </c>
      <c r="I156" s="24">
        <v>1284000</v>
      </c>
      <c r="J156" s="24">
        <v>600000</v>
      </c>
      <c r="K156" s="24">
        <v>600000</v>
      </c>
      <c r="L156" s="24">
        <v>684000</v>
      </c>
      <c r="M156" s="29"/>
      <c r="N156" s="24">
        <f t="shared" si="2"/>
        <v>684000</v>
      </c>
      <c r="O156" s="29"/>
    </row>
    <row r="157" spans="1:15">
      <c r="A157" s="23" t="s">
        <v>265</v>
      </c>
      <c r="B157" s="23" t="s">
        <v>267</v>
      </c>
      <c r="C157" s="23" t="s">
        <v>364</v>
      </c>
      <c r="D157" s="23" t="s">
        <v>371</v>
      </c>
      <c r="E157" s="23" t="s">
        <v>72</v>
      </c>
      <c r="F157" s="23" t="s">
        <v>124</v>
      </c>
      <c r="G157" s="23" t="s">
        <v>138</v>
      </c>
      <c r="H157" s="23" t="s">
        <v>374</v>
      </c>
      <c r="I157" s="24">
        <v>100000</v>
      </c>
      <c r="J157" s="24">
        <v>0</v>
      </c>
      <c r="K157" s="24">
        <v>0</v>
      </c>
      <c r="L157" s="24">
        <v>100000</v>
      </c>
      <c r="M157" s="29"/>
      <c r="N157" s="24">
        <f t="shared" si="2"/>
        <v>100000</v>
      </c>
      <c r="O157" s="29"/>
    </row>
    <row r="158" spans="1:15">
      <c r="A158" s="23" t="s">
        <v>265</v>
      </c>
      <c r="B158" s="23" t="s">
        <v>267</v>
      </c>
      <c r="C158" s="23" t="s">
        <v>376</v>
      </c>
      <c r="D158" s="23" t="s">
        <v>377</v>
      </c>
      <c r="E158" s="23" t="s">
        <v>72</v>
      </c>
      <c r="F158" s="23" t="s">
        <v>95</v>
      </c>
      <c r="G158" s="23" t="s">
        <v>95</v>
      </c>
      <c r="H158" s="23" t="s">
        <v>378</v>
      </c>
      <c r="I158" s="24">
        <v>300000</v>
      </c>
      <c r="J158" s="24">
        <v>0</v>
      </c>
      <c r="K158" s="24">
        <v>0</v>
      </c>
      <c r="L158" s="24">
        <v>300000</v>
      </c>
      <c r="M158" s="29"/>
      <c r="N158" s="24">
        <f t="shared" si="2"/>
        <v>300000</v>
      </c>
      <c r="O158" s="29"/>
    </row>
    <row r="159" spans="1:15">
      <c r="A159" s="23" t="s">
        <v>265</v>
      </c>
      <c r="B159" s="23" t="s">
        <v>267</v>
      </c>
      <c r="C159" s="23" t="s">
        <v>376</v>
      </c>
      <c r="D159" s="23" t="s">
        <v>377</v>
      </c>
      <c r="E159" s="23" t="s">
        <v>72</v>
      </c>
      <c r="F159" s="23" t="s">
        <v>95</v>
      </c>
      <c r="G159" s="23" t="s">
        <v>95</v>
      </c>
      <c r="H159" s="23" t="s">
        <v>379</v>
      </c>
      <c r="I159" s="24">
        <v>400000</v>
      </c>
      <c r="J159" s="24">
        <v>0</v>
      </c>
      <c r="K159" s="24">
        <v>0</v>
      </c>
      <c r="L159" s="24">
        <v>400000</v>
      </c>
      <c r="M159" s="29"/>
      <c r="N159" s="24">
        <f t="shared" si="2"/>
        <v>400000</v>
      </c>
      <c r="O159" s="29"/>
    </row>
    <row r="160" spans="1:15">
      <c r="A160" s="23" t="s">
        <v>265</v>
      </c>
      <c r="B160" s="23" t="s">
        <v>267</v>
      </c>
      <c r="C160" s="23" t="s">
        <v>376</v>
      </c>
      <c r="D160" s="23" t="s">
        <v>377</v>
      </c>
      <c r="E160" s="23" t="s">
        <v>72</v>
      </c>
      <c r="F160" s="23" t="s">
        <v>95</v>
      </c>
      <c r="G160" s="23" t="s">
        <v>95</v>
      </c>
      <c r="H160" s="23" t="s">
        <v>380</v>
      </c>
      <c r="I160" s="24">
        <v>50000</v>
      </c>
      <c r="J160" s="24">
        <v>0</v>
      </c>
      <c r="K160" s="24">
        <v>0</v>
      </c>
      <c r="L160" s="24">
        <v>50000</v>
      </c>
      <c r="M160" s="29"/>
      <c r="N160" s="24">
        <f t="shared" si="2"/>
        <v>50000</v>
      </c>
      <c r="O160" s="29"/>
    </row>
    <row r="161" spans="1:15">
      <c r="A161" s="23" t="s">
        <v>265</v>
      </c>
      <c r="B161" s="23" t="s">
        <v>267</v>
      </c>
      <c r="C161" s="23" t="s">
        <v>376</v>
      </c>
      <c r="D161" s="23" t="s">
        <v>377</v>
      </c>
      <c r="E161" s="23" t="s">
        <v>72</v>
      </c>
      <c r="F161" s="23" t="s">
        <v>95</v>
      </c>
      <c r="G161" s="23" t="s">
        <v>95</v>
      </c>
      <c r="H161" s="23" t="s">
        <v>381</v>
      </c>
      <c r="I161" s="24">
        <v>200000</v>
      </c>
      <c r="J161" s="24">
        <v>0</v>
      </c>
      <c r="K161" s="24">
        <v>0</v>
      </c>
      <c r="L161" s="24">
        <v>200000</v>
      </c>
      <c r="M161" s="29"/>
      <c r="N161" s="24">
        <f t="shared" si="2"/>
        <v>200000</v>
      </c>
      <c r="O161" s="29"/>
    </row>
    <row r="162" spans="1:15">
      <c r="A162" s="23" t="s">
        <v>265</v>
      </c>
      <c r="B162" s="23" t="s">
        <v>267</v>
      </c>
      <c r="C162" s="23" t="s">
        <v>376</v>
      </c>
      <c r="D162" s="23" t="s">
        <v>377</v>
      </c>
      <c r="E162" s="23" t="s">
        <v>87</v>
      </c>
      <c r="F162" s="23" t="s">
        <v>89</v>
      </c>
      <c r="G162" s="23" t="s">
        <v>106</v>
      </c>
      <c r="H162" s="23" t="s">
        <v>382</v>
      </c>
      <c r="I162" s="24">
        <v>50000</v>
      </c>
      <c r="J162" s="24">
        <v>50000</v>
      </c>
      <c r="K162" s="24">
        <v>50000</v>
      </c>
      <c r="L162" s="24">
        <v>0</v>
      </c>
      <c r="M162" s="29"/>
      <c r="N162" s="24">
        <f t="shared" si="2"/>
        <v>0</v>
      </c>
      <c r="O162" s="29"/>
    </row>
    <row r="163" spans="1:15">
      <c r="A163" s="23" t="s">
        <v>265</v>
      </c>
      <c r="B163" s="23" t="s">
        <v>384</v>
      </c>
      <c r="C163" s="23" t="s">
        <v>386</v>
      </c>
      <c r="D163" s="23" t="s">
        <v>387</v>
      </c>
      <c r="E163" s="23" t="s">
        <v>72</v>
      </c>
      <c r="F163" s="23" t="s">
        <v>95</v>
      </c>
      <c r="G163" s="23" t="s">
        <v>95</v>
      </c>
      <c r="H163" s="23" t="s">
        <v>387</v>
      </c>
      <c r="I163" s="24">
        <v>10500000</v>
      </c>
      <c r="J163" s="24">
        <v>5341350</v>
      </c>
      <c r="K163" s="24">
        <v>5321350</v>
      </c>
      <c r="L163" s="24">
        <v>5158650</v>
      </c>
      <c r="M163" s="29"/>
      <c r="N163" s="24">
        <f t="shared" si="2"/>
        <v>5158650</v>
      </c>
      <c r="O163" s="29"/>
    </row>
    <row r="164" spans="1:15">
      <c r="A164" s="23" t="s">
        <v>265</v>
      </c>
      <c r="B164" s="23" t="s">
        <v>384</v>
      </c>
      <c r="C164" s="23" t="s">
        <v>389</v>
      </c>
      <c r="D164" s="23" t="s">
        <v>390</v>
      </c>
      <c r="E164" s="23" t="s">
        <v>72</v>
      </c>
      <c r="F164" s="23" t="s">
        <v>74</v>
      </c>
      <c r="G164" s="23" t="s">
        <v>79</v>
      </c>
      <c r="H164" s="23" t="s">
        <v>391</v>
      </c>
      <c r="I164" s="24">
        <v>1000000</v>
      </c>
      <c r="J164" s="24">
        <v>0</v>
      </c>
      <c r="K164" s="24">
        <v>0</v>
      </c>
      <c r="L164" s="24">
        <v>1000000</v>
      </c>
      <c r="M164" s="29"/>
      <c r="N164" s="24">
        <f t="shared" si="2"/>
        <v>1000000</v>
      </c>
      <c r="O164" s="29"/>
    </row>
    <row r="165" spans="1:15">
      <c r="A165" s="23" t="s">
        <v>265</v>
      </c>
      <c r="B165" s="23" t="s">
        <v>384</v>
      </c>
      <c r="C165" s="23" t="s">
        <v>389</v>
      </c>
      <c r="D165" s="23" t="s">
        <v>390</v>
      </c>
      <c r="E165" s="23" t="s">
        <v>72</v>
      </c>
      <c r="F165" s="23" t="s">
        <v>95</v>
      </c>
      <c r="G165" s="23" t="s">
        <v>95</v>
      </c>
      <c r="H165" s="23" t="s">
        <v>392</v>
      </c>
      <c r="I165" s="24">
        <v>1000000</v>
      </c>
      <c r="J165" s="24">
        <v>986280</v>
      </c>
      <c r="K165" s="24">
        <v>986280</v>
      </c>
      <c r="L165" s="24">
        <v>13720</v>
      </c>
      <c r="M165" s="29"/>
      <c r="N165" s="24">
        <f t="shared" si="2"/>
        <v>13720</v>
      </c>
      <c r="O165" s="29"/>
    </row>
    <row r="166" spans="1:15">
      <c r="A166" s="23" t="s">
        <v>265</v>
      </c>
      <c r="B166" s="23" t="s">
        <v>384</v>
      </c>
      <c r="C166" s="23" t="s">
        <v>394</v>
      </c>
      <c r="D166" s="23" t="s">
        <v>395</v>
      </c>
      <c r="E166" s="23" t="s">
        <v>72</v>
      </c>
      <c r="F166" s="23" t="s">
        <v>74</v>
      </c>
      <c r="G166" s="23" t="s">
        <v>79</v>
      </c>
      <c r="H166" s="23" t="s">
        <v>396</v>
      </c>
      <c r="I166" s="24">
        <v>6300000</v>
      </c>
      <c r="J166" s="24">
        <v>1925000</v>
      </c>
      <c r="K166" s="24">
        <v>1925000</v>
      </c>
      <c r="L166" s="24">
        <v>4375000</v>
      </c>
      <c r="M166" s="29"/>
      <c r="N166" s="24">
        <f t="shared" si="2"/>
        <v>4375000</v>
      </c>
      <c r="O166" s="29"/>
    </row>
    <row r="167" spans="1:15">
      <c r="A167" s="23" t="s">
        <v>265</v>
      </c>
      <c r="B167" s="23" t="s">
        <v>384</v>
      </c>
      <c r="C167" s="23" t="s">
        <v>394</v>
      </c>
      <c r="D167" s="23" t="s">
        <v>395</v>
      </c>
      <c r="E167" s="23" t="s">
        <v>72</v>
      </c>
      <c r="F167" s="23" t="s">
        <v>74</v>
      </c>
      <c r="G167" s="23" t="s">
        <v>79</v>
      </c>
      <c r="H167" s="23" t="s">
        <v>397</v>
      </c>
      <c r="I167" s="24">
        <v>6300000</v>
      </c>
      <c r="J167" s="24">
        <v>1260000</v>
      </c>
      <c r="K167" s="24">
        <v>1260000</v>
      </c>
      <c r="L167" s="24">
        <v>5040000</v>
      </c>
      <c r="M167" s="29"/>
      <c r="N167" s="24">
        <f t="shared" si="2"/>
        <v>5040000</v>
      </c>
      <c r="O167" s="29"/>
    </row>
    <row r="168" spans="1:15">
      <c r="A168" s="23" t="s">
        <v>265</v>
      </c>
      <c r="B168" s="23" t="s">
        <v>384</v>
      </c>
      <c r="C168" s="23" t="s">
        <v>394</v>
      </c>
      <c r="D168" s="23" t="s">
        <v>395</v>
      </c>
      <c r="E168" s="23" t="s">
        <v>72</v>
      </c>
      <c r="F168" s="23" t="s">
        <v>74</v>
      </c>
      <c r="G168" s="23" t="s">
        <v>79</v>
      </c>
      <c r="H168" s="23" t="s">
        <v>398</v>
      </c>
      <c r="I168" s="24">
        <v>6300000</v>
      </c>
      <c r="J168" s="24">
        <v>1890000</v>
      </c>
      <c r="K168" s="24">
        <v>1890000</v>
      </c>
      <c r="L168" s="24">
        <v>4410000</v>
      </c>
      <c r="M168" s="29"/>
      <c r="N168" s="24">
        <f t="shared" si="2"/>
        <v>4410000</v>
      </c>
      <c r="O168" s="29"/>
    </row>
    <row r="169" spans="1:15">
      <c r="A169" s="23" t="s">
        <v>265</v>
      </c>
      <c r="B169" s="23" t="s">
        <v>384</v>
      </c>
      <c r="C169" s="23" t="s">
        <v>394</v>
      </c>
      <c r="D169" s="23" t="s">
        <v>395</v>
      </c>
      <c r="E169" s="23" t="s">
        <v>72</v>
      </c>
      <c r="F169" s="23" t="s">
        <v>95</v>
      </c>
      <c r="G169" s="23" t="s">
        <v>95</v>
      </c>
      <c r="H169" s="23" t="s">
        <v>399</v>
      </c>
      <c r="I169" s="24">
        <v>1100000</v>
      </c>
      <c r="J169" s="24">
        <v>0</v>
      </c>
      <c r="K169" s="24">
        <v>0</v>
      </c>
      <c r="L169" s="24">
        <v>1100000</v>
      </c>
      <c r="M169" s="29"/>
      <c r="N169" s="24">
        <f t="shared" si="2"/>
        <v>1100000</v>
      </c>
      <c r="O169" s="29"/>
    </row>
    <row r="170" spans="1:15">
      <c r="A170" s="23" t="s">
        <v>401</v>
      </c>
      <c r="B170" s="23" t="s">
        <v>403</v>
      </c>
      <c r="C170" s="23" t="s">
        <v>405</v>
      </c>
      <c r="D170" s="23" t="s">
        <v>406</v>
      </c>
      <c r="E170" s="23" t="s">
        <v>72</v>
      </c>
      <c r="F170" s="23" t="s">
        <v>74</v>
      </c>
      <c r="G170" s="23" t="s">
        <v>79</v>
      </c>
      <c r="H170" s="23" t="s">
        <v>407</v>
      </c>
      <c r="I170" s="24">
        <v>100000</v>
      </c>
      <c r="J170" s="24">
        <v>0</v>
      </c>
      <c r="K170" s="24">
        <v>0</v>
      </c>
      <c r="L170" s="24">
        <v>100000</v>
      </c>
      <c r="M170" s="29"/>
      <c r="N170" s="24">
        <f t="shared" si="2"/>
        <v>100000</v>
      </c>
      <c r="O170" s="29"/>
    </row>
    <row r="171" spans="1:15">
      <c r="A171" s="23" t="s">
        <v>401</v>
      </c>
      <c r="B171" s="23" t="s">
        <v>403</v>
      </c>
      <c r="C171" s="23" t="s">
        <v>405</v>
      </c>
      <c r="D171" s="23" t="s">
        <v>406</v>
      </c>
      <c r="E171" s="23" t="s">
        <v>87</v>
      </c>
      <c r="F171" s="23" t="s">
        <v>89</v>
      </c>
      <c r="G171" s="23" t="s">
        <v>89</v>
      </c>
      <c r="H171" s="23" t="s">
        <v>408</v>
      </c>
      <c r="I171" s="24">
        <v>210000</v>
      </c>
      <c r="J171" s="24">
        <v>0</v>
      </c>
      <c r="K171" s="24">
        <v>0</v>
      </c>
      <c r="L171" s="24">
        <v>210000</v>
      </c>
      <c r="M171" s="29"/>
      <c r="N171" s="24">
        <f t="shared" si="2"/>
        <v>210000</v>
      </c>
      <c r="O171" s="29"/>
    </row>
    <row r="172" spans="1:15">
      <c r="A172" s="23" t="s">
        <v>401</v>
      </c>
      <c r="B172" s="23" t="s">
        <v>403</v>
      </c>
      <c r="C172" s="23" t="s">
        <v>405</v>
      </c>
      <c r="D172" s="23" t="s">
        <v>409</v>
      </c>
      <c r="E172" s="23" t="s">
        <v>72</v>
      </c>
      <c r="F172" s="23" t="s">
        <v>95</v>
      </c>
      <c r="G172" s="23" t="s">
        <v>95</v>
      </c>
      <c r="H172" s="23" t="s">
        <v>410</v>
      </c>
      <c r="I172" s="24">
        <v>1375000</v>
      </c>
      <c r="J172" s="24">
        <v>1375000</v>
      </c>
      <c r="K172" s="24">
        <v>1375000</v>
      </c>
      <c r="L172" s="24">
        <v>0</v>
      </c>
      <c r="M172" s="29"/>
      <c r="N172" s="24">
        <f t="shared" si="2"/>
        <v>0</v>
      </c>
      <c r="O172" s="29"/>
    </row>
    <row r="173" spans="1:15">
      <c r="A173" s="23" t="s">
        <v>401</v>
      </c>
      <c r="B173" s="23" t="s">
        <v>403</v>
      </c>
      <c r="C173" s="23" t="s">
        <v>405</v>
      </c>
      <c r="D173" s="23" t="s">
        <v>409</v>
      </c>
      <c r="E173" s="23" t="s">
        <v>72</v>
      </c>
      <c r="F173" s="23" t="s">
        <v>95</v>
      </c>
      <c r="G173" s="23" t="s">
        <v>95</v>
      </c>
      <c r="H173" s="23" t="s">
        <v>411</v>
      </c>
      <c r="I173" s="24">
        <v>380000</v>
      </c>
      <c r="J173" s="24">
        <v>360000</v>
      </c>
      <c r="K173" s="24">
        <v>360000</v>
      </c>
      <c r="L173" s="24">
        <v>20000</v>
      </c>
      <c r="M173" s="29"/>
      <c r="N173" s="24">
        <f t="shared" si="2"/>
        <v>20000</v>
      </c>
      <c r="O173" s="29"/>
    </row>
    <row r="174" spans="1:15">
      <c r="A174" s="23" t="s">
        <v>401</v>
      </c>
      <c r="B174" s="23" t="s">
        <v>403</v>
      </c>
      <c r="C174" s="23" t="s">
        <v>405</v>
      </c>
      <c r="D174" s="23" t="s">
        <v>409</v>
      </c>
      <c r="E174" s="23" t="s">
        <v>72</v>
      </c>
      <c r="F174" s="23" t="s">
        <v>95</v>
      </c>
      <c r="G174" s="23" t="s">
        <v>95</v>
      </c>
      <c r="H174" s="23" t="s">
        <v>412</v>
      </c>
      <c r="I174" s="24">
        <v>720000</v>
      </c>
      <c r="J174" s="24">
        <v>480000</v>
      </c>
      <c r="K174" s="24">
        <v>480000</v>
      </c>
      <c r="L174" s="24">
        <v>240000</v>
      </c>
      <c r="M174" s="29"/>
      <c r="N174" s="24">
        <f t="shared" si="2"/>
        <v>240000</v>
      </c>
      <c r="O174" s="29"/>
    </row>
    <row r="175" spans="1:15">
      <c r="A175" s="23" t="s">
        <v>401</v>
      </c>
      <c r="B175" s="23" t="s">
        <v>403</v>
      </c>
      <c r="C175" s="23" t="s">
        <v>405</v>
      </c>
      <c r="D175" s="23" t="s">
        <v>409</v>
      </c>
      <c r="E175" s="23" t="s">
        <v>72</v>
      </c>
      <c r="F175" s="23" t="s">
        <v>95</v>
      </c>
      <c r="G175" s="23" t="s">
        <v>95</v>
      </c>
      <c r="H175" s="23" t="s">
        <v>413</v>
      </c>
      <c r="I175" s="24">
        <v>960000</v>
      </c>
      <c r="J175" s="24">
        <v>960000</v>
      </c>
      <c r="K175" s="24">
        <v>960000</v>
      </c>
      <c r="L175" s="24">
        <v>0</v>
      </c>
      <c r="M175" s="29"/>
      <c r="N175" s="24">
        <f t="shared" si="2"/>
        <v>0</v>
      </c>
      <c r="O175" s="29"/>
    </row>
    <row r="176" spans="1:15">
      <c r="A176" s="23" t="s">
        <v>401</v>
      </c>
      <c r="B176" s="23" t="s">
        <v>403</v>
      </c>
      <c r="C176" s="23" t="s">
        <v>405</v>
      </c>
      <c r="D176" s="23" t="s">
        <v>409</v>
      </c>
      <c r="E176" s="23" t="s">
        <v>72</v>
      </c>
      <c r="F176" s="23" t="s">
        <v>95</v>
      </c>
      <c r="G176" s="23" t="s">
        <v>95</v>
      </c>
      <c r="H176" s="23" t="s">
        <v>414</v>
      </c>
      <c r="I176" s="24">
        <v>0</v>
      </c>
      <c r="J176" s="24">
        <v>0</v>
      </c>
      <c r="K176" s="24">
        <v>0</v>
      </c>
      <c r="L176" s="24">
        <v>0</v>
      </c>
      <c r="M176" s="29"/>
      <c r="N176" s="24">
        <f t="shared" si="2"/>
        <v>0</v>
      </c>
      <c r="O176" s="29"/>
    </row>
    <row r="177" spans="1:15">
      <c r="A177" s="23" t="s">
        <v>401</v>
      </c>
      <c r="B177" s="23" t="s">
        <v>403</v>
      </c>
      <c r="C177" s="23" t="s">
        <v>405</v>
      </c>
      <c r="D177" s="23" t="s">
        <v>409</v>
      </c>
      <c r="E177" s="23" t="s">
        <v>72</v>
      </c>
      <c r="F177" s="23" t="s">
        <v>95</v>
      </c>
      <c r="G177" s="23" t="s">
        <v>95</v>
      </c>
      <c r="H177" s="23" t="s">
        <v>415</v>
      </c>
      <c r="I177" s="24">
        <v>1434000</v>
      </c>
      <c r="J177" s="24">
        <v>793750</v>
      </c>
      <c r="K177" s="24">
        <v>793750</v>
      </c>
      <c r="L177" s="24">
        <v>640250</v>
      </c>
      <c r="M177" s="29"/>
      <c r="N177" s="24">
        <f t="shared" si="2"/>
        <v>640250</v>
      </c>
      <c r="O177" s="29"/>
    </row>
    <row r="178" spans="1:15">
      <c r="A178" s="23" t="s">
        <v>401</v>
      </c>
      <c r="B178" s="23" t="s">
        <v>403</v>
      </c>
      <c r="C178" s="23" t="s">
        <v>405</v>
      </c>
      <c r="D178" s="23" t="s">
        <v>409</v>
      </c>
      <c r="E178" s="23" t="s">
        <v>72</v>
      </c>
      <c r="F178" s="23" t="s">
        <v>95</v>
      </c>
      <c r="G178" s="23" t="s">
        <v>95</v>
      </c>
      <c r="H178" s="23" t="s">
        <v>416</v>
      </c>
      <c r="I178" s="24">
        <v>2125000</v>
      </c>
      <c r="J178" s="24">
        <v>2125000</v>
      </c>
      <c r="K178" s="24">
        <v>2125000</v>
      </c>
      <c r="L178" s="24">
        <v>0</v>
      </c>
      <c r="M178" s="29"/>
      <c r="N178" s="24">
        <f t="shared" si="2"/>
        <v>0</v>
      </c>
      <c r="O178" s="29"/>
    </row>
    <row r="179" spans="1:15">
      <c r="A179" s="23" t="s">
        <v>401</v>
      </c>
      <c r="B179" s="23" t="s">
        <v>403</v>
      </c>
      <c r="C179" s="23" t="s">
        <v>405</v>
      </c>
      <c r="D179" s="23" t="s">
        <v>409</v>
      </c>
      <c r="E179" s="23" t="s">
        <v>72</v>
      </c>
      <c r="F179" s="23" t="s">
        <v>95</v>
      </c>
      <c r="G179" s="23" t="s">
        <v>95</v>
      </c>
      <c r="H179" s="23" t="s">
        <v>417</v>
      </c>
      <c r="I179" s="24">
        <v>1350000</v>
      </c>
      <c r="J179" s="24">
        <v>800000</v>
      </c>
      <c r="K179" s="24">
        <v>800000</v>
      </c>
      <c r="L179" s="24">
        <v>550000</v>
      </c>
      <c r="M179" s="29"/>
      <c r="N179" s="24">
        <f t="shared" si="2"/>
        <v>550000</v>
      </c>
      <c r="O179" s="29"/>
    </row>
    <row r="180" spans="1:15">
      <c r="A180" s="23" t="s">
        <v>401</v>
      </c>
      <c r="B180" s="23" t="s">
        <v>403</v>
      </c>
      <c r="C180" s="23" t="s">
        <v>405</v>
      </c>
      <c r="D180" s="23" t="s">
        <v>409</v>
      </c>
      <c r="E180" s="23" t="s">
        <v>72</v>
      </c>
      <c r="F180" s="23" t="s">
        <v>95</v>
      </c>
      <c r="G180" s="23" t="s">
        <v>95</v>
      </c>
      <c r="H180" s="23" t="s">
        <v>418</v>
      </c>
      <c r="I180" s="24">
        <v>620000</v>
      </c>
      <c r="J180" s="24">
        <v>620000</v>
      </c>
      <c r="K180" s="24">
        <v>620000</v>
      </c>
      <c r="L180" s="24">
        <v>0</v>
      </c>
      <c r="M180" s="29"/>
      <c r="N180" s="24">
        <f t="shared" si="2"/>
        <v>0</v>
      </c>
      <c r="O180" s="29"/>
    </row>
    <row r="181" spans="1:15">
      <c r="A181" s="23" t="s">
        <v>401</v>
      </c>
      <c r="B181" s="23" t="s">
        <v>403</v>
      </c>
      <c r="C181" s="23" t="s">
        <v>405</v>
      </c>
      <c r="D181" s="23" t="s">
        <v>409</v>
      </c>
      <c r="E181" s="23" t="s">
        <v>72</v>
      </c>
      <c r="F181" s="23" t="s">
        <v>95</v>
      </c>
      <c r="G181" s="23" t="s">
        <v>95</v>
      </c>
      <c r="H181" s="23" t="s">
        <v>419</v>
      </c>
      <c r="I181" s="24">
        <v>495000</v>
      </c>
      <c r="J181" s="24">
        <v>380000</v>
      </c>
      <c r="K181" s="24">
        <v>380000</v>
      </c>
      <c r="L181" s="24">
        <v>115000</v>
      </c>
      <c r="M181" s="29"/>
      <c r="N181" s="24">
        <f t="shared" si="2"/>
        <v>115000</v>
      </c>
      <c r="O181" s="29"/>
    </row>
    <row r="182" spans="1:15">
      <c r="A182" s="23" t="s">
        <v>401</v>
      </c>
      <c r="B182" s="23" t="s">
        <v>403</v>
      </c>
      <c r="C182" s="23" t="s">
        <v>405</v>
      </c>
      <c r="D182" s="23" t="s">
        <v>409</v>
      </c>
      <c r="E182" s="23" t="s">
        <v>72</v>
      </c>
      <c r="F182" s="23" t="s">
        <v>95</v>
      </c>
      <c r="G182" s="23" t="s">
        <v>95</v>
      </c>
      <c r="H182" s="23" t="s">
        <v>420</v>
      </c>
      <c r="I182" s="24">
        <v>2398000</v>
      </c>
      <c r="J182" s="24">
        <v>1996500</v>
      </c>
      <c r="K182" s="24">
        <v>1996500</v>
      </c>
      <c r="L182" s="24">
        <v>401500</v>
      </c>
      <c r="M182" s="29"/>
      <c r="N182" s="24">
        <f t="shared" si="2"/>
        <v>401500</v>
      </c>
      <c r="O182" s="29"/>
    </row>
    <row r="183" spans="1:15">
      <c r="A183" s="23" t="s">
        <v>401</v>
      </c>
      <c r="B183" s="23" t="s">
        <v>403</v>
      </c>
      <c r="C183" s="23" t="s">
        <v>405</v>
      </c>
      <c r="D183" s="23" t="s">
        <v>409</v>
      </c>
      <c r="E183" s="23" t="s">
        <v>72</v>
      </c>
      <c r="F183" s="23" t="s">
        <v>95</v>
      </c>
      <c r="G183" s="23" t="s">
        <v>95</v>
      </c>
      <c r="H183" s="23" t="s">
        <v>421</v>
      </c>
      <c r="I183" s="24">
        <v>1892000</v>
      </c>
      <c r="J183" s="24">
        <v>1032000</v>
      </c>
      <c r="K183" s="24">
        <v>1032000</v>
      </c>
      <c r="L183" s="24">
        <v>860000</v>
      </c>
      <c r="M183" s="29"/>
      <c r="N183" s="24">
        <f t="shared" si="2"/>
        <v>860000</v>
      </c>
      <c r="O183" s="29"/>
    </row>
    <row r="184" spans="1:15">
      <c r="A184" s="23" t="s">
        <v>401</v>
      </c>
      <c r="B184" s="23" t="s">
        <v>403</v>
      </c>
      <c r="C184" s="23" t="s">
        <v>405</v>
      </c>
      <c r="D184" s="23" t="s">
        <v>409</v>
      </c>
      <c r="E184" s="23" t="s">
        <v>72</v>
      </c>
      <c r="F184" s="23" t="s">
        <v>95</v>
      </c>
      <c r="G184" s="23" t="s">
        <v>95</v>
      </c>
      <c r="H184" s="23" t="s">
        <v>422</v>
      </c>
      <c r="I184" s="24">
        <v>1120000</v>
      </c>
      <c r="J184" s="24">
        <v>775000</v>
      </c>
      <c r="K184" s="24">
        <v>775000</v>
      </c>
      <c r="L184" s="24">
        <v>345000</v>
      </c>
      <c r="M184" s="29"/>
      <c r="N184" s="24">
        <f t="shared" si="2"/>
        <v>345000</v>
      </c>
      <c r="O184" s="29"/>
    </row>
    <row r="185" spans="1:15">
      <c r="A185" s="23" t="s">
        <v>401</v>
      </c>
      <c r="B185" s="23" t="s">
        <v>403</v>
      </c>
      <c r="C185" s="23" t="s">
        <v>405</v>
      </c>
      <c r="D185" s="23" t="s">
        <v>409</v>
      </c>
      <c r="E185" s="23" t="s">
        <v>72</v>
      </c>
      <c r="F185" s="23" t="s">
        <v>95</v>
      </c>
      <c r="G185" s="23" t="s">
        <v>95</v>
      </c>
      <c r="H185" s="23" t="s">
        <v>423</v>
      </c>
      <c r="I185" s="24">
        <v>0</v>
      </c>
      <c r="J185" s="24">
        <v>0</v>
      </c>
      <c r="K185" s="24">
        <v>0</v>
      </c>
      <c r="L185" s="24">
        <v>0</v>
      </c>
      <c r="M185" s="29"/>
      <c r="N185" s="24">
        <f t="shared" si="2"/>
        <v>0</v>
      </c>
      <c r="O185" s="29"/>
    </row>
    <row r="186" spans="1:15">
      <c r="A186" s="23" t="s">
        <v>401</v>
      </c>
      <c r="B186" s="23" t="s">
        <v>403</v>
      </c>
      <c r="C186" s="23" t="s">
        <v>405</v>
      </c>
      <c r="D186" s="23" t="s">
        <v>409</v>
      </c>
      <c r="E186" s="23" t="s">
        <v>72</v>
      </c>
      <c r="F186" s="23" t="s">
        <v>95</v>
      </c>
      <c r="G186" s="23" t="s">
        <v>95</v>
      </c>
      <c r="H186" s="23" t="s">
        <v>424</v>
      </c>
      <c r="I186" s="24">
        <v>923000</v>
      </c>
      <c r="J186" s="24">
        <v>650000</v>
      </c>
      <c r="K186" s="24">
        <v>650000</v>
      </c>
      <c r="L186" s="24">
        <v>273000</v>
      </c>
      <c r="M186" s="29"/>
      <c r="N186" s="24">
        <f t="shared" si="2"/>
        <v>273000</v>
      </c>
      <c r="O186" s="29"/>
    </row>
    <row r="187" spans="1:15">
      <c r="A187" s="23" t="s">
        <v>401</v>
      </c>
      <c r="B187" s="23" t="s">
        <v>403</v>
      </c>
      <c r="C187" s="23" t="s">
        <v>405</v>
      </c>
      <c r="D187" s="23" t="s">
        <v>409</v>
      </c>
      <c r="E187" s="23" t="s">
        <v>72</v>
      </c>
      <c r="F187" s="23" t="s">
        <v>95</v>
      </c>
      <c r="G187" s="23" t="s">
        <v>95</v>
      </c>
      <c r="H187" s="23" t="s">
        <v>425</v>
      </c>
      <c r="I187" s="24">
        <v>1284000</v>
      </c>
      <c r="J187" s="24">
        <v>1284000</v>
      </c>
      <c r="K187" s="24">
        <v>1284000</v>
      </c>
      <c r="L187" s="24">
        <v>0</v>
      </c>
      <c r="M187" s="29"/>
      <c r="N187" s="24">
        <f t="shared" si="2"/>
        <v>0</v>
      </c>
      <c r="O187" s="29"/>
    </row>
    <row r="188" spans="1:15">
      <c r="A188" s="23" t="s">
        <v>401</v>
      </c>
      <c r="B188" s="23" t="s">
        <v>403</v>
      </c>
      <c r="C188" s="23" t="s">
        <v>405</v>
      </c>
      <c r="D188" s="23" t="s">
        <v>409</v>
      </c>
      <c r="E188" s="23" t="s">
        <v>72</v>
      </c>
      <c r="F188" s="23" t="s">
        <v>95</v>
      </c>
      <c r="G188" s="23" t="s">
        <v>95</v>
      </c>
      <c r="H188" s="23" t="s">
        <v>426</v>
      </c>
      <c r="I188" s="24">
        <v>1329000</v>
      </c>
      <c r="J188" s="24">
        <v>828000</v>
      </c>
      <c r="K188" s="24">
        <v>828000</v>
      </c>
      <c r="L188" s="24">
        <v>501000</v>
      </c>
      <c r="M188" s="29"/>
      <c r="N188" s="24">
        <f t="shared" si="2"/>
        <v>501000</v>
      </c>
      <c r="O188" s="29"/>
    </row>
    <row r="189" spans="1:15">
      <c r="A189" s="23" t="s">
        <v>401</v>
      </c>
      <c r="B189" s="23" t="s">
        <v>403</v>
      </c>
      <c r="C189" s="23" t="s">
        <v>405</v>
      </c>
      <c r="D189" s="23" t="s">
        <v>409</v>
      </c>
      <c r="E189" s="23" t="s">
        <v>72</v>
      </c>
      <c r="F189" s="23" t="s">
        <v>95</v>
      </c>
      <c r="G189" s="23" t="s">
        <v>95</v>
      </c>
      <c r="H189" s="23" t="s">
        <v>427</v>
      </c>
      <c r="I189" s="24">
        <v>1824000</v>
      </c>
      <c r="J189" s="24">
        <v>1096200</v>
      </c>
      <c r="K189" s="24">
        <v>1096200</v>
      </c>
      <c r="L189" s="24">
        <v>727800</v>
      </c>
      <c r="M189" s="29"/>
      <c r="N189" s="24">
        <f t="shared" si="2"/>
        <v>727800</v>
      </c>
      <c r="O189" s="29"/>
    </row>
    <row r="190" spans="1:15">
      <c r="A190" s="23" t="s">
        <v>401</v>
      </c>
      <c r="B190" s="23" t="s">
        <v>403</v>
      </c>
      <c r="C190" s="23" t="s">
        <v>405</v>
      </c>
      <c r="D190" s="23" t="s">
        <v>409</v>
      </c>
      <c r="E190" s="23" t="s">
        <v>72</v>
      </c>
      <c r="F190" s="23" t="s">
        <v>95</v>
      </c>
      <c r="G190" s="23" t="s">
        <v>95</v>
      </c>
      <c r="H190" s="23" t="s">
        <v>428</v>
      </c>
      <c r="I190" s="24">
        <v>0</v>
      </c>
      <c r="J190" s="24">
        <v>0</v>
      </c>
      <c r="K190" s="24">
        <v>0</v>
      </c>
      <c r="L190" s="24">
        <v>0</v>
      </c>
      <c r="M190" s="29"/>
      <c r="N190" s="24">
        <f t="shared" si="2"/>
        <v>0</v>
      </c>
      <c r="O190" s="29"/>
    </row>
    <row r="191" spans="1:15">
      <c r="A191" s="23" t="s">
        <v>401</v>
      </c>
      <c r="B191" s="23" t="s">
        <v>403</v>
      </c>
      <c r="C191" s="23" t="s">
        <v>405</v>
      </c>
      <c r="D191" s="23" t="s">
        <v>409</v>
      </c>
      <c r="E191" s="23" t="s">
        <v>72</v>
      </c>
      <c r="F191" s="23" t="s">
        <v>95</v>
      </c>
      <c r="G191" s="23" t="s">
        <v>95</v>
      </c>
      <c r="H191" s="23" t="s">
        <v>429</v>
      </c>
      <c r="I191" s="24">
        <v>2860000</v>
      </c>
      <c r="J191" s="24">
        <v>2443000</v>
      </c>
      <c r="K191" s="24">
        <v>2443000</v>
      </c>
      <c r="L191" s="24">
        <v>417000</v>
      </c>
      <c r="M191" s="29"/>
      <c r="N191" s="24">
        <f t="shared" si="2"/>
        <v>417000</v>
      </c>
      <c r="O191" s="29"/>
    </row>
    <row r="192" spans="1:15">
      <c r="A192" s="23" t="s">
        <v>401</v>
      </c>
      <c r="B192" s="23" t="s">
        <v>403</v>
      </c>
      <c r="C192" s="23" t="s">
        <v>405</v>
      </c>
      <c r="D192" s="23" t="s">
        <v>409</v>
      </c>
      <c r="E192" s="23" t="s">
        <v>72</v>
      </c>
      <c r="F192" s="23" t="s">
        <v>95</v>
      </c>
      <c r="G192" s="23" t="s">
        <v>95</v>
      </c>
      <c r="H192" s="23" t="s">
        <v>430</v>
      </c>
      <c r="I192" s="24">
        <v>396000</v>
      </c>
      <c r="J192" s="24">
        <v>396000</v>
      </c>
      <c r="K192" s="24">
        <v>396000</v>
      </c>
      <c r="L192" s="24">
        <v>0</v>
      </c>
      <c r="M192" s="29"/>
      <c r="N192" s="24">
        <f t="shared" si="2"/>
        <v>0</v>
      </c>
      <c r="O192" s="29"/>
    </row>
    <row r="193" spans="1:15">
      <c r="A193" s="23" t="s">
        <v>401</v>
      </c>
      <c r="B193" s="23" t="s">
        <v>403</v>
      </c>
      <c r="C193" s="23" t="s">
        <v>405</v>
      </c>
      <c r="D193" s="23" t="s">
        <v>409</v>
      </c>
      <c r="E193" s="23" t="s">
        <v>72</v>
      </c>
      <c r="F193" s="23" t="s">
        <v>95</v>
      </c>
      <c r="G193" s="23" t="s">
        <v>95</v>
      </c>
      <c r="H193" s="23" t="s">
        <v>431</v>
      </c>
      <c r="I193" s="24">
        <v>0</v>
      </c>
      <c r="J193" s="24">
        <v>0</v>
      </c>
      <c r="K193" s="24">
        <v>0</v>
      </c>
      <c r="L193" s="24">
        <v>0</v>
      </c>
      <c r="M193" s="29"/>
      <c r="N193" s="24">
        <f t="shared" si="2"/>
        <v>0</v>
      </c>
      <c r="O193" s="29"/>
    </row>
    <row r="194" spans="1:15">
      <c r="A194" s="23" t="s">
        <v>401</v>
      </c>
      <c r="B194" s="23" t="s">
        <v>403</v>
      </c>
      <c r="C194" s="23" t="s">
        <v>405</v>
      </c>
      <c r="D194" s="23" t="s">
        <v>409</v>
      </c>
      <c r="E194" s="23" t="s">
        <v>72</v>
      </c>
      <c r="F194" s="23" t="s">
        <v>95</v>
      </c>
      <c r="G194" s="23" t="s">
        <v>95</v>
      </c>
      <c r="H194" s="23" t="s">
        <v>432</v>
      </c>
      <c r="I194" s="24">
        <v>256000</v>
      </c>
      <c r="J194" s="24">
        <v>256000</v>
      </c>
      <c r="K194" s="24">
        <v>256000</v>
      </c>
      <c r="L194" s="24">
        <v>0</v>
      </c>
      <c r="M194" s="29"/>
      <c r="N194" s="24">
        <f t="shared" si="2"/>
        <v>0</v>
      </c>
      <c r="O194" s="29"/>
    </row>
    <row r="195" spans="1:15">
      <c r="A195" s="23" t="s">
        <v>401</v>
      </c>
      <c r="B195" s="23" t="s">
        <v>403</v>
      </c>
      <c r="C195" s="23" t="s">
        <v>405</v>
      </c>
      <c r="D195" s="23" t="s">
        <v>409</v>
      </c>
      <c r="E195" s="23" t="s">
        <v>72</v>
      </c>
      <c r="F195" s="23" t="s">
        <v>95</v>
      </c>
      <c r="G195" s="23" t="s">
        <v>95</v>
      </c>
      <c r="H195" s="23" t="s">
        <v>433</v>
      </c>
      <c r="I195" s="24">
        <v>969000</v>
      </c>
      <c r="J195" s="24">
        <v>969000</v>
      </c>
      <c r="K195" s="24">
        <v>969000</v>
      </c>
      <c r="L195" s="24">
        <v>0</v>
      </c>
      <c r="M195" s="29"/>
      <c r="N195" s="24">
        <f t="shared" si="2"/>
        <v>0</v>
      </c>
      <c r="O195" s="29"/>
    </row>
    <row r="196" spans="1:15">
      <c r="A196" s="23" t="s">
        <v>401</v>
      </c>
      <c r="B196" s="23" t="s">
        <v>403</v>
      </c>
      <c r="C196" s="23" t="s">
        <v>405</v>
      </c>
      <c r="D196" s="23" t="s">
        <v>409</v>
      </c>
      <c r="E196" s="23" t="s">
        <v>72</v>
      </c>
      <c r="F196" s="23" t="s">
        <v>95</v>
      </c>
      <c r="G196" s="23" t="s">
        <v>95</v>
      </c>
      <c r="H196" s="23" t="s">
        <v>434</v>
      </c>
      <c r="I196" s="24">
        <v>1440000</v>
      </c>
      <c r="J196" s="24">
        <v>1328000</v>
      </c>
      <c r="K196" s="24">
        <v>1328000</v>
      </c>
      <c r="L196" s="24">
        <v>112000</v>
      </c>
      <c r="M196" s="29"/>
      <c r="N196" s="24">
        <f t="shared" si="2"/>
        <v>112000</v>
      </c>
      <c r="O196" s="29"/>
    </row>
    <row r="197" spans="1:15">
      <c r="A197" s="23" t="s">
        <v>401</v>
      </c>
      <c r="B197" s="23" t="s">
        <v>403</v>
      </c>
      <c r="C197" s="23" t="s">
        <v>405</v>
      </c>
      <c r="D197" s="23" t="s">
        <v>409</v>
      </c>
      <c r="E197" s="23" t="s">
        <v>72</v>
      </c>
      <c r="F197" s="23" t="s">
        <v>95</v>
      </c>
      <c r="G197" s="23" t="s">
        <v>95</v>
      </c>
      <c r="H197" s="23" t="s">
        <v>435</v>
      </c>
      <c r="I197" s="24">
        <v>1125000</v>
      </c>
      <c r="J197" s="24">
        <v>1125000</v>
      </c>
      <c r="K197" s="24">
        <v>1125000</v>
      </c>
      <c r="L197" s="24">
        <v>0</v>
      </c>
      <c r="M197" s="29"/>
      <c r="N197" s="24">
        <f t="shared" si="2"/>
        <v>0</v>
      </c>
      <c r="O197" s="29"/>
    </row>
    <row r="198" spans="1:15">
      <c r="A198" s="23" t="s">
        <v>401</v>
      </c>
      <c r="B198" s="23" t="s">
        <v>403</v>
      </c>
      <c r="C198" s="23" t="s">
        <v>405</v>
      </c>
      <c r="D198" s="23" t="s">
        <v>409</v>
      </c>
      <c r="E198" s="23" t="s">
        <v>72</v>
      </c>
      <c r="F198" s="23" t="s">
        <v>95</v>
      </c>
      <c r="G198" s="23" t="s">
        <v>95</v>
      </c>
      <c r="H198" s="23" t="s">
        <v>436</v>
      </c>
      <c r="I198" s="24">
        <v>1932000</v>
      </c>
      <c r="J198" s="24">
        <v>1911000</v>
      </c>
      <c r="K198" s="24">
        <v>1911000</v>
      </c>
      <c r="L198" s="24">
        <v>21000</v>
      </c>
      <c r="M198" s="29"/>
      <c r="N198" s="24">
        <f t="shared" si="2"/>
        <v>21000</v>
      </c>
      <c r="O198" s="29"/>
    </row>
    <row r="199" spans="1:15">
      <c r="A199" s="23" t="s">
        <v>401</v>
      </c>
      <c r="B199" s="23" t="s">
        <v>403</v>
      </c>
      <c r="C199" s="23" t="s">
        <v>405</v>
      </c>
      <c r="D199" s="23" t="s">
        <v>409</v>
      </c>
      <c r="E199" s="23" t="s">
        <v>72</v>
      </c>
      <c r="F199" s="23" t="s">
        <v>95</v>
      </c>
      <c r="G199" s="23" t="s">
        <v>95</v>
      </c>
      <c r="H199" s="23" t="s">
        <v>437</v>
      </c>
      <c r="I199" s="24">
        <v>1250000</v>
      </c>
      <c r="J199" s="24">
        <v>0</v>
      </c>
      <c r="K199" s="24">
        <v>0</v>
      </c>
      <c r="L199" s="24">
        <v>1250000</v>
      </c>
      <c r="M199" s="29"/>
      <c r="N199" s="24">
        <f t="shared" si="2"/>
        <v>1250000</v>
      </c>
      <c r="O199" s="29"/>
    </row>
    <row r="200" spans="1:15">
      <c r="A200" s="23" t="s">
        <v>401</v>
      </c>
      <c r="B200" s="23" t="s">
        <v>403</v>
      </c>
      <c r="C200" s="23" t="s">
        <v>405</v>
      </c>
      <c r="D200" s="23" t="s">
        <v>409</v>
      </c>
      <c r="E200" s="23" t="s">
        <v>72</v>
      </c>
      <c r="F200" s="23" t="s">
        <v>95</v>
      </c>
      <c r="G200" s="23" t="s">
        <v>95</v>
      </c>
      <c r="H200" s="23" t="s">
        <v>438</v>
      </c>
      <c r="I200" s="24">
        <v>350000</v>
      </c>
      <c r="J200" s="24">
        <v>0</v>
      </c>
      <c r="K200" s="24">
        <v>0</v>
      </c>
      <c r="L200" s="24">
        <v>350000</v>
      </c>
      <c r="M200" s="29"/>
      <c r="N200" s="24">
        <f t="shared" ref="N200:N263" si="3">L200-M200</f>
        <v>350000</v>
      </c>
      <c r="O200" s="29"/>
    </row>
    <row r="201" spans="1:15">
      <c r="A201" s="23" t="s">
        <v>401</v>
      </c>
      <c r="B201" s="23" t="s">
        <v>403</v>
      </c>
      <c r="C201" s="23" t="s">
        <v>405</v>
      </c>
      <c r="D201" s="23" t="s">
        <v>409</v>
      </c>
      <c r="E201" s="23" t="s">
        <v>72</v>
      </c>
      <c r="F201" s="23" t="s">
        <v>95</v>
      </c>
      <c r="G201" s="23" t="s">
        <v>95</v>
      </c>
      <c r="H201" s="23" t="s">
        <v>439</v>
      </c>
      <c r="I201" s="24">
        <v>480000</v>
      </c>
      <c r="J201" s="24">
        <v>0</v>
      </c>
      <c r="K201" s="24">
        <v>0</v>
      </c>
      <c r="L201" s="24">
        <v>480000</v>
      </c>
      <c r="M201" s="29"/>
      <c r="N201" s="24">
        <f t="shared" si="3"/>
        <v>480000</v>
      </c>
      <c r="O201" s="29"/>
    </row>
    <row r="202" spans="1:15">
      <c r="A202" s="23" t="s">
        <v>401</v>
      </c>
      <c r="B202" s="23" t="s">
        <v>403</v>
      </c>
      <c r="C202" s="23" t="s">
        <v>405</v>
      </c>
      <c r="D202" s="23" t="s">
        <v>409</v>
      </c>
      <c r="E202" s="23" t="s">
        <v>72</v>
      </c>
      <c r="F202" s="23" t="s">
        <v>95</v>
      </c>
      <c r="G202" s="23" t="s">
        <v>95</v>
      </c>
      <c r="H202" s="23" t="s">
        <v>440</v>
      </c>
      <c r="I202" s="24">
        <v>765000</v>
      </c>
      <c r="J202" s="24">
        <v>0</v>
      </c>
      <c r="K202" s="24">
        <v>0</v>
      </c>
      <c r="L202" s="24">
        <v>765000</v>
      </c>
      <c r="M202" s="29"/>
      <c r="N202" s="24">
        <f t="shared" si="3"/>
        <v>765000</v>
      </c>
      <c r="O202" s="29"/>
    </row>
    <row r="203" spans="1:15">
      <c r="A203" s="23" t="s">
        <v>401</v>
      </c>
      <c r="B203" s="23" t="s">
        <v>403</v>
      </c>
      <c r="C203" s="23" t="s">
        <v>405</v>
      </c>
      <c r="D203" s="23" t="s">
        <v>409</v>
      </c>
      <c r="E203" s="23" t="s">
        <v>72</v>
      </c>
      <c r="F203" s="23" t="s">
        <v>95</v>
      </c>
      <c r="G203" s="23" t="s">
        <v>95</v>
      </c>
      <c r="H203" s="23" t="s">
        <v>441</v>
      </c>
      <c r="I203" s="24">
        <v>1050000</v>
      </c>
      <c r="J203" s="24">
        <v>0</v>
      </c>
      <c r="K203" s="24">
        <v>0</v>
      </c>
      <c r="L203" s="24">
        <v>1050000</v>
      </c>
      <c r="M203" s="29"/>
      <c r="N203" s="24">
        <f t="shared" si="3"/>
        <v>1050000</v>
      </c>
      <c r="O203" s="29"/>
    </row>
    <row r="204" spans="1:15">
      <c r="A204" s="23" t="s">
        <v>401</v>
      </c>
      <c r="B204" s="23" t="s">
        <v>403</v>
      </c>
      <c r="C204" s="23" t="s">
        <v>405</v>
      </c>
      <c r="D204" s="23" t="s">
        <v>409</v>
      </c>
      <c r="E204" s="23" t="s">
        <v>72</v>
      </c>
      <c r="F204" s="23" t="s">
        <v>95</v>
      </c>
      <c r="G204" s="23" t="s">
        <v>95</v>
      </c>
      <c r="H204" s="23" t="s">
        <v>442</v>
      </c>
      <c r="I204" s="24">
        <v>2550000</v>
      </c>
      <c r="J204" s="24">
        <v>0</v>
      </c>
      <c r="K204" s="24">
        <v>0</v>
      </c>
      <c r="L204" s="24">
        <v>2550000</v>
      </c>
      <c r="M204" s="29"/>
      <c r="N204" s="24">
        <f t="shared" si="3"/>
        <v>2550000</v>
      </c>
      <c r="O204" s="29"/>
    </row>
    <row r="205" spans="1:15">
      <c r="A205" s="23" t="s">
        <v>401</v>
      </c>
      <c r="B205" s="23" t="s">
        <v>403</v>
      </c>
      <c r="C205" s="23" t="s">
        <v>405</v>
      </c>
      <c r="D205" s="23" t="s">
        <v>409</v>
      </c>
      <c r="E205" s="23" t="s">
        <v>72</v>
      </c>
      <c r="F205" s="23" t="s">
        <v>95</v>
      </c>
      <c r="G205" s="23" t="s">
        <v>95</v>
      </c>
      <c r="H205" s="23" t="s">
        <v>443</v>
      </c>
      <c r="I205" s="24">
        <v>1488000</v>
      </c>
      <c r="J205" s="24">
        <v>0</v>
      </c>
      <c r="K205" s="24">
        <v>0</v>
      </c>
      <c r="L205" s="24">
        <v>1488000</v>
      </c>
      <c r="M205" s="29"/>
      <c r="N205" s="24">
        <f t="shared" si="3"/>
        <v>1488000</v>
      </c>
      <c r="O205" s="29"/>
    </row>
    <row r="206" spans="1:15">
      <c r="A206" s="23" t="s">
        <v>401</v>
      </c>
      <c r="B206" s="23" t="s">
        <v>403</v>
      </c>
      <c r="C206" s="23" t="s">
        <v>405</v>
      </c>
      <c r="D206" s="23" t="s">
        <v>409</v>
      </c>
      <c r="E206" s="23" t="s">
        <v>72</v>
      </c>
      <c r="F206" s="23" t="s">
        <v>95</v>
      </c>
      <c r="G206" s="23" t="s">
        <v>95</v>
      </c>
      <c r="H206" s="23" t="s">
        <v>444</v>
      </c>
      <c r="I206" s="24">
        <v>1125000</v>
      </c>
      <c r="J206" s="24">
        <v>0</v>
      </c>
      <c r="K206" s="24">
        <v>0</v>
      </c>
      <c r="L206" s="24">
        <v>1125000</v>
      </c>
      <c r="M206" s="29"/>
      <c r="N206" s="24">
        <f t="shared" si="3"/>
        <v>1125000</v>
      </c>
      <c r="O206" s="29"/>
    </row>
    <row r="207" spans="1:15">
      <c r="A207" s="23" t="s">
        <v>401</v>
      </c>
      <c r="B207" s="23" t="s">
        <v>403</v>
      </c>
      <c r="C207" s="23" t="s">
        <v>405</v>
      </c>
      <c r="D207" s="23" t="s">
        <v>409</v>
      </c>
      <c r="E207" s="23" t="s">
        <v>72</v>
      </c>
      <c r="F207" s="23" t="s">
        <v>95</v>
      </c>
      <c r="G207" s="23" t="s">
        <v>95</v>
      </c>
      <c r="H207" s="23" t="s">
        <v>445</v>
      </c>
      <c r="I207" s="24">
        <v>396000</v>
      </c>
      <c r="J207" s="24">
        <v>0</v>
      </c>
      <c r="K207" s="24">
        <v>0</v>
      </c>
      <c r="L207" s="24">
        <v>396000</v>
      </c>
      <c r="M207" s="29"/>
      <c r="N207" s="24">
        <f t="shared" si="3"/>
        <v>396000</v>
      </c>
      <c r="O207" s="29"/>
    </row>
    <row r="208" spans="1:15">
      <c r="A208" s="23" t="s">
        <v>401</v>
      </c>
      <c r="B208" s="23" t="s">
        <v>403</v>
      </c>
      <c r="C208" s="23" t="s">
        <v>405</v>
      </c>
      <c r="D208" s="23" t="s">
        <v>409</v>
      </c>
      <c r="E208" s="23" t="s">
        <v>72</v>
      </c>
      <c r="F208" s="23" t="s">
        <v>95</v>
      </c>
      <c r="G208" s="23" t="s">
        <v>95</v>
      </c>
      <c r="H208" s="23" t="s">
        <v>446</v>
      </c>
      <c r="I208" s="24">
        <v>760000</v>
      </c>
      <c r="J208" s="24">
        <v>0</v>
      </c>
      <c r="K208" s="24">
        <v>0</v>
      </c>
      <c r="L208" s="24">
        <v>760000</v>
      </c>
      <c r="M208" s="29"/>
      <c r="N208" s="24">
        <f t="shared" si="3"/>
        <v>760000</v>
      </c>
      <c r="O208" s="29"/>
    </row>
    <row r="209" spans="1:15">
      <c r="A209" s="23" t="s">
        <v>401</v>
      </c>
      <c r="B209" s="23" t="s">
        <v>403</v>
      </c>
      <c r="C209" s="23" t="s">
        <v>405</v>
      </c>
      <c r="D209" s="23" t="s">
        <v>409</v>
      </c>
      <c r="E209" s="23" t="s">
        <v>72</v>
      </c>
      <c r="F209" s="23" t="s">
        <v>95</v>
      </c>
      <c r="G209" s="23" t="s">
        <v>95</v>
      </c>
      <c r="H209" s="23" t="s">
        <v>447</v>
      </c>
      <c r="I209" s="24">
        <v>400000</v>
      </c>
      <c r="J209" s="24">
        <v>0</v>
      </c>
      <c r="K209" s="24">
        <v>0</v>
      </c>
      <c r="L209" s="24">
        <v>400000</v>
      </c>
      <c r="M209" s="29"/>
      <c r="N209" s="24">
        <f t="shared" si="3"/>
        <v>400000</v>
      </c>
      <c r="O209" s="29"/>
    </row>
    <row r="210" spans="1:15">
      <c r="A210" s="23" t="s">
        <v>401</v>
      </c>
      <c r="B210" s="23" t="s">
        <v>403</v>
      </c>
      <c r="C210" s="23" t="s">
        <v>405</v>
      </c>
      <c r="D210" s="23" t="s">
        <v>409</v>
      </c>
      <c r="E210" s="23" t="s">
        <v>72</v>
      </c>
      <c r="F210" s="23" t="s">
        <v>95</v>
      </c>
      <c r="G210" s="23" t="s">
        <v>95</v>
      </c>
      <c r="H210" s="23" t="s">
        <v>448</v>
      </c>
      <c r="I210" s="24">
        <v>2640000</v>
      </c>
      <c r="J210" s="24">
        <v>0</v>
      </c>
      <c r="K210" s="24">
        <v>0</v>
      </c>
      <c r="L210" s="24">
        <v>2640000</v>
      </c>
      <c r="M210" s="29"/>
      <c r="N210" s="24">
        <f t="shared" si="3"/>
        <v>2640000</v>
      </c>
      <c r="O210" s="29"/>
    </row>
    <row r="211" spans="1:15">
      <c r="A211" s="23" t="s">
        <v>401</v>
      </c>
      <c r="B211" s="23" t="s">
        <v>403</v>
      </c>
      <c r="C211" s="23" t="s">
        <v>405</v>
      </c>
      <c r="D211" s="23" t="s">
        <v>409</v>
      </c>
      <c r="E211" s="23" t="s">
        <v>72</v>
      </c>
      <c r="F211" s="23" t="s">
        <v>95</v>
      </c>
      <c r="G211" s="23" t="s">
        <v>95</v>
      </c>
      <c r="H211" s="23" t="s">
        <v>449</v>
      </c>
      <c r="I211" s="24">
        <v>1290000</v>
      </c>
      <c r="J211" s="24">
        <v>0</v>
      </c>
      <c r="K211" s="24">
        <v>0</v>
      </c>
      <c r="L211" s="24">
        <v>1290000</v>
      </c>
      <c r="M211" s="29"/>
      <c r="N211" s="24">
        <f t="shared" si="3"/>
        <v>1290000</v>
      </c>
      <c r="O211" s="29"/>
    </row>
    <row r="212" spans="1:15">
      <c r="A212" s="23" t="s">
        <v>401</v>
      </c>
      <c r="B212" s="23" t="s">
        <v>403</v>
      </c>
      <c r="C212" s="23" t="s">
        <v>405</v>
      </c>
      <c r="D212" s="23" t="s">
        <v>409</v>
      </c>
      <c r="E212" s="23" t="s">
        <v>72</v>
      </c>
      <c r="F212" s="23" t="s">
        <v>95</v>
      </c>
      <c r="G212" s="23" t="s">
        <v>95</v>
      </c>
      <c r="H212" s="23" t="s">
        <v>450</v>
      </c>
      <c r="I212" s="24">
        <v>990000</v>
      </c>
      <c r="J212" s="24">
        <v>0</v>
      </c>
      <c r="K212" s="24">
        <v>0</v>
      </c>
      <c r="L212" s="24">
        <v>990000</v>
      </c>
      <c r="M212" s="29"/>
      <c r="N212" s="24">
        <f t="shared" si="3"/>
        <v>990000</v>
      </c>
      <c r="O212" s="29"/>
    </row>
    <row r="213" spans="1:15">
      <c r="A213" s="23" t="s">
        <v>401</v>
      </c>
      <c r="B213" s="23" t="s">
        <v>403</v>
      </c>
      <c r="C213" s="23" t="s">
        <v>405</v>
      </c>
      <c r="D213" s="23" t="s">
        <v>409</v>
      </c>
      <c r="E213" s="23" t="s">
        <v>72</v>
      </c>
      <c r="F213" s="23" t="s">
        <v>95</v>
      </c>
      <c r="G213" s="23" t="s">
        <v>95</v>
      </c>
      <c r="H213" s="23" t="s">
        <v>451</v>
      </c>
      <c r="I213" s="24">
        <v>1575000</v>
      </c>
      <c r="J213" s="24">
        <v>0</v>
      </c>
      <c r="K213" s="24">
        <v>0</v>
      </c>
      <c r="L213" s="24">
        <v>1575000</v>
      </c>
      <c r="M213" s="29"/>
      <c r="N213" s="24">
        <f t="shared" si="3"/>
        <v>1575000</v>
      </c>
      <c r="O213" s="29"/>
    </row>
    <row r="214" spans="1:15">
      <c r="A214" s="23" t="s">
        <v>401</v>
      </c>
      <c r="B214" s="23" t="s">
        <v>403</v>
      </c>
      <c r="C214" s="23" t="s">
        <v>405</v>
      </c>
      <c r="D214" s="23" t="s">
        <v>409</v>
      </c>
      <c r="E214" s="23" t="s">
        <v>72</v>
      </c>
      <c r="F214" s="23" t="s">
        <v>95</v>
      </c>
      <c r="G214" s="23" t="s">
        <v>95</v>
      </c>
      <c r="H214" s="23" t="s">
        <v>452</v>
      </c>
      <c r="I214" s="24">
        <v>875000</v>
      </c>
      <c r="J214" s="24">
        <v>0</v>
      </c>
      <c r="K214" s="24">
        <v>0</v>
      </c>
      <c r="L214" s="24">
        <v>875000</v>
      </c>
      <c r="M214" s="29"/>
      <c r="N214" s="24">
        <f t="shared" si="3"/>
        <v>875000</v>
      </c>
      <c r="O214" s="29"/>
    </row>
    <row r="215" spans="1:15">
      <c r="A215" s="23" t="s">
        <v>401</v>
      </c>
      <c r="B215" s="23" t="s">
        <v>403</v>
      </c>
      <c r="C215" s="23" t="s">
        <v>405</v>
      </c>
      <c r="D215" s="23" t="s">
        <v>409</v>
      </c>
      <c r="E215" s="23" t="s">
        <v>72</v>
      </c>
      <c r="F215" s="23" t="s">
        <v>95</v>
      </c>
      <c r="G215" s="23" t="s">
        <v>95</v>
      </c>
      <c r="H215" s="23" t="s">
        <v>453</v>
      </c>
      <c r="I215" s="24">
        <v>1567000</v>
      </c>
      <c r="J215" s="24">
        <v>0</v>
      </c>
      <c r="K215" s="24">
        <v>0</v>
      </c>
      <c r="L215" s="24">
        <v>1567000</v>
      </c>
      <c r="M215" s="29"/>
      <c r="N215" s="24">
        <f t="shared" si="3"/>
        <v>1567000</v>
      </c>
      <c r="O215" s="29"/>
    </row>
    <row r="216" spans="1:15">
      <c r="A216" s="23" t="s">
        <v>401</v>
      </c>
      <c r="B216" s="23" t="s">
        <v>403</v>
      </c>
      <c r="C216" s="23" t="s">
        <v>405</v>
      </c>
      <c r="D216" s="23" t="s">
        <v>409</v>
      </c>
      <c r="E216" s="23" t="s">
        <v>72</v>
      </c>
      <c r="F216" s="23" t="s">
        <v>95</v>
      </c>
      <c r="G216" s="23" t="s">
        <v>95</v>
      </c>
      <c r="H216" s="23" t="s">
        <v>454</v>
      </c>
      <c r="I216" s="24">
        <v>2604000</v>
      </c>
      <c r="J216" s="24">
        <v>0</v>
      </c>
      <c r="K216" s="24">
        <v>0</v>
      </c>
      <c r="L216" s="24">
        <v>2604000</v>
      </c>
      <c r="M216" s="29"/>
      <c r="N216" s="24">
        <f t="shared" si="3"/>
        <v>2604000</v>
      </c>
      <c r="O216" s="29"/>
    </row>
    <row r="217" spans="1:15">
      <c r="A217" s="23" t="s">
        <v>401</v>
      </c>
      <c r="B217" s="23" t="s">
        <v>403</v>
      </c>
      <c r="C217" s="23" t="s">
        <v>405</v>
      </c>
      <c r="D217" s="23" t="s">
        <v>409</v>
      </c>
      <c r="E217" s="23" t="s">
        <v>72</v>
      </c>
      <c r="F217" s="23" t="s">
        <v>95</v>
      </c>
      <c r="G217" s="23" t="s">
        <v>95</v>
      </c>
      <c r="H217" s="23" t="s">
        <v>455</v>
      </c>
      <c r="I217" s="24">
        <v>1053000</v>
      </c>
      <c r="J217" s="24">
        <v>0</v>
      </c>
      <c r="K217" s="24">
        <v>0</v>
      </c>
      <c r="L217" s="24">
        <v>1053000</v>
      </c>
      <c r="M217" s="29"/>
      <c r="N217" s="24">
        <f t="shared" si="3"/>
        <v>1053000</v>
      </c>
      <c r="O217" s="29"/>
    </row>
    <row r="218" spans="1:15">
      <c r="A218" s="23" t="s">
        <v>401</v>
      </c>
      <c r="B218" s="23" t="s">
        <v>403</v>
      </c>
      <c r="C218" s="23" t="s">
        <v>405</v>
      </c>
      <c r="D218" s="23" t="s">
        <v>409</v>
      </c>
      <c r="E218" s="23" t="s">
        <v>72</v>
      </c>
      <c r="F218" s="23" t="s">
        <v>95</v>
      </c>
      <c r="G218" s="23" t="s">
        <v>95</v>
      </c>
      <c r="H218" s="23" t="s">
        <v>456</v>
      </c>
      <c r="I218" s="24">
        <v>152000</v>
      </c>
      <c r="J218" s="24">
        <v>0</v>
      </c>
      <c r="K218" s="24">
        <v>0</v>
      </c>
      <c r="L218" s="24">
        <v>152000</v>
      </c>
      <c r="M218" s="29"/>
      <c r="N218" s="24">
        <f t="shared" si="3"/>
        <v>152000</v>
      </c>
      <c r="O218" s="29"/>
    </row>
    <row r="219" spans="1:15">
      <c r="A219" s="23" t="s">
        <v>401</v>
      </c>
      <c r="B219" s="23" t="s">
        <v>403</v>
      </c>
      <c r="C219" s="23" t="s">
        <v>405</v>
      </c>
      <c r="D219" s="23" t="s">
        <v>409</v>
      </c>
      <c r="E219" s="23" t="s">
        <v>72</v>
      </c>
      <c r="F219" s="23" t="s">
        <v>95</v>
      </c>
      <c r="G219" s="23" t="s">
        <v>95</v>
      </c>
      <c r="H219" s="23" t="s">
        <v>457</v>
      </c>
      <c r="I219" s="24">
        <v>1090000</v>
      </c>
      <c r="J219" s="24">
        <v>0</v>
      </c>
      <c r="K219" s="24">
        <v>0</v>
      </c>
      <c r="L219" s="24">
        <v>1090000</v>
      </c>
      <c r="M219" s="29"/>
      <c r="N219" s="24">
        <f t="shared" si="3"/>
        <v>1090000</v>
      </c>
      <c r="O219" s="29"/>
    </row>
    <row r="220" spans="1:15">
      <c r="A220" s="23" t="s">
        <v>401</v>
      </c>
      <c r="B220" s="23" t="s">
        <v>403</v>
      </c>
      <c r="C220" s="23" t="s">
        <v>405</v>
      </c>
      <c r="D220" s="23" t="s">
        <v>409</v>
      </c>
      <c r="E220" s="23" t="s">
        <v>72</v>
      </c>
      <c r="F220" s="23" t="s">
        <v>95</v>
      </c>
      <c r="G220" s="23" t="s">
        <v>95</v>
      </c>
      <c r="H220" s="23" t="s">
        <v>458</v>
      </c>
      <c r="I220" s="24">
        <v>1040000</v>
      </c>
      <c r="J220" s="24">
        <v>0</v>
      </c>
      <c r="K220" s="24">
        <v>0</v>
      </c>
      <c r="L220" s="24">
        <v>1040000</v>
      </c>
      <c r="M220" s="29"/>
      <c r="N220" s="24">
        <f t="shared" si="3"/>
        <v>1040000</v>
      </c>
      <c r="O220" s="29"/>
    </row>
    <row r="221" spans="1:15">
      <c r="A221" s="23" t="s">
        <v>401</v>
      </c>
      <c r="B221" s="23" t="s">
        <v>403</v>
      </c>
      <c r="C221" s="23" t="s">
        <v>405</v>
      </c>
      <c r="D221" s="23" t="s">
        <v>409</v>
      </c>
      <c r="E221" s="23" t="s">
        <v>72</v>
      </c>
      <c r="F221" s="23" t="s">
        <v>95</v>
      </c>
      <c r="G221" s="23" t="s">
        <v>95</v>
      </c>
      <c r="H221" s="23" t="s">
        <v>459</v>
      </c>
      <c r="I221" s="24">
        <v>3003000</v>
      </c>
      <c r="J221" s="24">
        <v>0</v>
      </c>
      <c r="K221" s="24">
        <v>0</v>
      </c>
      <c r="L221" s="24">
        <v>3003000</v>
      </c>
      <c r="M221" s="29"/>
      <c r="N221" s="24">
        <f t="shared" si="3"/>
        <v>3003000</v>
      </c>
      <c r="O221" s="29"/>
    </row>
    <row r="222" spans="1:15">
      <c r="A222" s="23" t="s">
        <v>401</v>
      </c>
      <c r="B222" s="23" t="s">
        <v>403</v>
      </c>
      <c r="C222" s="23" t="s">
        <v>405</v>
      </c>
      <c r="D222" s="23" t="s">
        <v>460</v>
      </c>
      <c r="E222" s="23" t="s">
        <v>72</v>
      </c>
      <c r="F222" s="23" t="s">
        <v>74</v>
      </c>
      <c r="G222" s="23" t="s">
        <v>79</v>
      </c>
      <c r="H222" s="23" t="s">
        <v>461</v>
      </c>
      <c r="I222" s="24">
        <v>1822000</v>
      </c>
      <c r="J222" s="24">
        <v>1821600</v>
      </c>
      <c r="K222" s="24">
        <v>1821600</v>
      </c>
      <c r="L222" s="24">
        <v>400</v>
      </c>
      <c r="M222" s="29"/>
      <c r="N222" s="24">
        <f t="shared" si="3"/>
        <v>400</v>
      </c>
      <c r="O222" s="29"/>
    </row>
    <row r="223" spans="1:15">
      <c r="A223" s="23" t="s">
        <v>401</v>
      </c>
      <c r="B223" s="23" t="s">
        <v>403</v>
      </c>
      <c r="C223" s="23" t="s">
        <v>405</v>
      </c>
      <c r="D223" s="23" t="s">
        <v>460</v>
      </c>
      <c r="E223" s="23" t="s">
        <v>72</v>
      </c>
      <c r="F223" s="23" t="s">
        <v>74</v>
      </c>
      <c r="G223" s="23" t="s">
        <v>79</v>
      </c>
      <c r="H223" s="23" t="s">
        <v>462</v>
      </c>
      <c r="I223" s="24">
        <v>2063000</v>
      </c>
      <c r="J223" s="24">
        <v>1578320</v>
      </c>
      <c r="K223" s="24">
        <v>1578320</v>
      </c>
      <c r="L223" s="24">
        <v>484680</v>
      </c>
      <c r="M223" s="29"/>
      <c r="N223" s="24">
        <f t="shared" si="3"/>
        <v>484680</v>
      </c>
      <c r="O223" s="29"/>
    </row>
    <row r="224" spans="1:15">
      <c r="A224" s="23" t="s">
        <v>401</v>
      </c>
      <c r="B224" s="23" t="s">
        <v>403</v>
      </c>
      <c r="C224" s="23" t="s">
        <v>405</v>
      </c>
      <c r="D224" s="23" t="s">
        <v>460</v>
      </c>
      <c r="E224" s="23" t="s">
        <v>72</v>
      </c>
      <c r="F224" s="23" t="s">
        <v>74</v>
      </c>
      <c r="G224" s="23" t="s">
        <v>79</v>
      </c>
      <c r="H224" s="23" t="s">
        <v>463</v>
      </c>
      <c r="I224" s="24">
        <v>3705000</v>
      </c>
      <c r="J224" s="24">
        <v>3576960</v>
      </c>
      <c r="K224" s="24">
        <v>3576960</v>
      </c>
      <c r="L224" s="24">
        <v>128040</v>
      </c>
      <c r="M224" s="29"/>
      <c r="N224" s="24">
        <f t="shared" si="3"/>
        <v>128040</v>
      </c>
      <c r="O224" s="29"/>
    </row>
    <row r="225" spans="1:15">
      <c r="A225" s="23" t="s">
        <v>401</v>
      </c>
      <c r="B225" s="23" t="s">
        <v>403</v>
      </c>
      <c r="C225" s="23" t="s">
        <v>405</v>
      </c>
      <c r="D225" s="23" t="s">
        <v>460</v>
      </c>
      <c r="E225" s="23" t="s">
        <v>72</v>
      </c>
      <c r="F225" s="23" t="s">
        <v>74</v>
      </c>
      <c r="G225" s="23" t="s">
        <v>79</v>
      </c>
      <c r="H225" s="23" t="s">
        <v>464</v>
      </c>
      <c r="I225" s="24">
        <v>1482000</v>
      </c>
      <c r="J225" s="24">
        <v>902520</v>
      </c>
      <c r="K225" s="24">
        <v>902520</v>
      </c>
      <c r="L225" s="24">
        <v>579480</v>
      </c>
      <c r="M225" s="29"/>
      <c r="N225" s="24">
        <f t="shared" si="3"/>
        <v>579480</v>
      </c>
      <c r="O225" s="29"/>
    </row>
    <row r="226" spans="1:15">
      <c r="A226" s="23" t="s">
        <v>401</v>
      </c>
      <c r="B226" s="23" t="s">
        <v>403</v>
      </c>
      <c r="C226" s="23" t="s">
        <v>405</v>
      </c>
      <c r="D226" s="23" t="s">
        <v>460</v>
      </c>
      <c r="E226" s="23" t="s">
        <v>72</v>
      </c>
      <c r="F226" s="23" t="s">
        <v>74</v>
      </c>
      <c r="G226" s="23" t="s">
        <v>79</v>
      </c>
      <c r="H226" s="23" t="s">
        <v>465</v>
      </c>
      <c r="I226" s="24">
        <v>2120000</v>
      </c>
      <c r="J226" s="24">
        <v>2119680</v>
      </c>
      <c r="K226" s="24">
        <v>2119680</v>
      </c>
      <c r="L226" s="24">
        <v>320</v>
      </c>
      <c r="M226" s="29"/>
      <c r="N226" s="24">
        <f t="shared" si="3"/>
        <v>320</v>
      </c>
      <c r="O226" s="29"/>
    </row>
    <row r="227" spans="1:15">
      <c r="A227" s="23" t="s">
        <v>401</v>
      </c>
      <c r="B227" s="23" t="s">
        <v>403</v>
      </c>
      <c r="C227" s="23" t="s">
        <v>405</v>
      </c>
      <c r="D227" s="23" t="s">
        <v>460</v>
      </c>
      <c r="E227" s="23" t="s">
        <v>72</v>
      </c>
      <c r="F227" s="23" t="s">
        <v>74</v>
      </c>
      <c r="G227" s="23" t="s">
        <v>79</v>
      </c>
      <c r="H227" s="23" t="s">
        <v>466</v>
      </c>
      <c r="I227" s="24">
        <v>0</v>
      </c>
      <c r="J227" s="24">
        <v>0</v>
      </c>
      <c r="K227" s="24">
        <v>0</v>
      </c>
      <c r="L227" s="24">
        <v>0</v>
      </c>
      <c r="M227" s="29"/>
      <c r="N227" s="24">
        <f t="shared" si="3"/>
        <v>0</v>
      </c>
      <c r="O227" s="29"/>
    </row>
    <row r="228" spans="1:15">
      <c r="A228" s="23" t="s">
        <v>401</v>
      </c>
      <c r="B228" s="23" t="s">
        <v>403</v>
      </c>
      <c r="C228" s="23" t="s">
        <v>405</v>
      </c>
      <c r="D228" s="23" t="s">
        <v>460</v>
      </c>
      <c r="E228" s="23" t="s">
        <v>72</v>
      </c>
      <c r="F228" s="23" t="s">
        <v>74</v>
      </c>
      <c r="G228" s="23" t="s">
        <v>79</v>
      </c>
      <c r="H228" s="23" t="s">
        <v>467</v>
      </c>
      <c r="I228" s="24">
        <v>3949000</v>
      </c>
      <c r="J228" s="24">
        <v>1043280</v>
      </c>
      <c r="K228" s="24">
        <v>1043280</v>
      </c>
      <c r="L228" s="24">
        <v>2905720</v>
      </c>
      <c r="M228" s="29"/>
      <c r="N228" s="24">
        <f t="shared" si="3"/>
        <v>2905720</v>
      </c>
      <c r="O228" s="29"/>
    </row>
    <row r="229" spans="1:15">
      <c r="A229" s="23" t="s">
        <v>401</v>
      </c>
      <c r="B229" s="23" t="s">
        <v>403</v>
      </c>
      <c r="C229" s="23" t="s">
        <v>405</v>
      </c>
      <c r="D229" s="23" t="s">
        <v>460</v>
      </c>
      <c r="E229" s="23" t="s">
        <v>72</v>
      </c>
      <c r="F229" s="23" t="s">
        <v>74</v>
      </c>
      <c r="G229" s="23" t="s">
        <v>79</v>
      </c>
      <c r="H229" s="23" t="s">
        <v>468</v>
      </c>
      <c r="I229" s="24">
        <v>2600000</v>
      </c>
      <c r="J229" s="24">
        <v>2599920</v>
      </c>
      <c r="K229" s="24">
        <v>2599920</v>
      </c>
      <c r="L229" s="24">
        <v>80</v>
      </c>
      <c r="M229" s="29"/>
      <c r="N229" s="24">
        <f t="shared" si="3"/>
        <v>80</v>
      </c>
      <c r="O229" s="29"/>
    </row>
    <row r="230" spans="1:15">
      <c r="A230" s="23" t="s">
        <v>401</v>
      </c>
      <c r="B230" s="23" t="s">
        <v>403</v>
      </c>
      <c r="C230" s="23" t="s">
        <v>405</v>
      </c>
      <c r="D230" s="23" t="s">
        <v>460</v>
      </c>
      <c r="E230" s="23" t="s">
        <v>72</v>
      </c>
      <c r="F230" s="23" t="s">
        <v>74</v>
      </c>
      <c r="G230" s="23" t="s">
        <v>79</v>
      </c>
      <c r="H230" s="23" t="s">
        <v>469</v>
      </c>
      <c r="I230" s="24">
        <v>1819000</v>
      </c>
      <c r="J230" s="24">
        <v>1043280</v>
      </c>
      <c r="K230" s="24">
        <v>1043280</v>
      </c>
      <c r="L230" s="24">
        <v>775720</v>
      </c>
      <c r="M230" s="29"/>
      <c r="N230" s="24">
        <f t="shared" si="3"/>
        <v>775720</v>
      </c>
      <c r="O230" s="29"/>
    </row>
    <row r="231" spans="1:15">
      <c r="A231" s="23" t="s">
        <v>401</v>
      </c>
      <c r="B231" s="23" t="s">
        <v>403</v>
      </c>
      <c r="C231" s="23" t="s">
        <v>405</v>
      </c>
      <c r="D231" s="23" t="s">
        <v>460</v>
      </c>
      <c r="E231" s="23" t="s">
        <v>72</v>
      </c>
      <c r="F231" s="23" t="s">
        <v>74</v>
      </c>
      <c r="G231" s="23" t="s">
        <v>79</v>
      </c>
      <c r="H231" s="23" t="s">
        <v>470</v>
      </c>
      <c r="I231" s="24">
        <v>1729000</v>
      </c>
      <c r="J231" s="24">
        <v>1609200</v>
      </c>
      <c r="K231" s="24">
        <v>1609200</v>
      </c>
      <c r="L231" s="24">
        <v>119800</v>
      </c>
      <c r="M231" s="29"/>
      <c r="N231" s="24">
        <f t="shared" si="3"/>
        <v>119800</v>
      </c>
      <c r="O231" s="29"/>
    </row>
    <row r="232" spans="1:15">
      <c r="A232" s="23" t="s">
        <v>401</v>
      </c>
      <c r="B232" s="23" t="s">
        <v>403</v>
      </c>
      <c r="C232" s="23" t="s">
        <v>405</v>
      </c>
      <c r="D232" s="23" t="s">
        <v>460</v>
      </c>
      <c r="E232" s="23" t="s">
        <v>72</v>
      </c>
      <c r="F232" s="23" t="s">
        <v>74</v>
      </c>
      <c r="G232" s="23" t="s">
        <v>79</v>
      </c>
      <c r="H232" s="23" t="s">
        <v>471</v>
      </c>
      <c r="I232" s="24">
        <v>1895000</v>
      </c>
      <c r="J232" s="24">
        <v>1556640</v>
      </c>
      <c r="K232" s="24">
        <v>1556640</v>
      </c>
      <c r="L232" s="24">
        <v>338360</v>
      </c>
      <c r="M232" s="29"/>
      <c r="N232" s="24">
        <f t="shared" si="3"/>
        <v>338360</v>
      </c>
      <c r="O232" s="29"/>
    </row>
    <row r="233" spans="1:15">
      <c r="A233" s="23" t="s">
        <v>401</v>
      </c>
      <c r="B233" s="23" t="s">
        <v>403</v>
      </c>
      <c r="C233" s="23" t="s">
        <v>405</v>
      </c>
      <c r="D233" s="23" t="s">
        <v>460</v>
      </c>
      <c r="E233" s="23" t="s">
        <v>72</v>
      </c>
      <c r="F233" s="23" t="s">
        <v>74</v>
      </c>
      <c r="G233" s="23" t="s">
        <v>79</v>
      </c>
      <c r="H233" s="23" t="s">
        <v>472</v>
      </c>
      <c r="I233" s="24">
        <v>2542000</v>
      </c>
      <c r="J233" s="24">
        <v>2541960</v>
      </c>
      <c r="K233" s="24">
        <v>2541960</v>
      </c>
      <c r="L233" s="24">
        <v>40</v>
      </c>
      <c r="M233" s="29"/>
      <c r="N233" s="24">
        <f t="shared" si="3"/>
        <v>40</v>
      </c>
      <c r="O233" s="29"/>
    </row>
    <row r="234" spans="1:15">
      <c r="A234" s="23" t="s">
        <v>401</v>
      </c>
      <c r="B234" s="23" t="s">
        <v>403</v>
      </c>
      <c r="C234" s="23" t="s">
        <v>405</v>
      </c>
      <c r="D234" s="23" t="s">
        <v>460</v>
      </c>
      <c r="E234" s="23" t="s">
        <v>72</v>
      </c>
      <c r="F234" s="23" t="s">
        <v>74</v>
      </c>
      <c r="G234" s="23" t="s">
        <v>79</v>
      </c>
      <c r="H234" s="23" t="s">
        <v>473</v>
      </c>
      <c r="I234" s="24">
        <v>3057000</v>
      </c>
      <c r="J234" s="24">
        <v>1726010</v>
      </c>
      <c r="K234" s="24">
        <v>1726010</v>
      </c>
      <c r="L234" s="24">
        <v>1330990</v>
      </c>
      <c r="M234" s="29"/>
      <c r="N234" s="24">
        <f t="shared" si="3"/>
        <v>1330990</v>
      </c>
      <c r="O234" s="29"/>
    </row>
    <row r="235" spans="1:15">
      <c r="A235" s="23" t="s">
        <v>401</v>
      </c>
      <c r="B235" s="23" t="s">
        <v>403</v>
      </c>
      <c r="C235" s="23" t="s">
        <v>405</v>
      </c>
      <c r="D235" s="23" t="s">
        <v>460</v>
      </c>
      <c r="E235" s="23" t="s">
        <v>72</v>
      </c>
      <c r="F235" s="23" t="s">
        <v>74</v>
      </c>
      <c r="G235" s="23" t="s">
        <v>79</v>
      </c>
      <c r="H235" s="23" t="s">
        <v>474</v>
      </c>
      <c r="I235" s="24">
        <v>3571000</v>
      </c>
      <c r="J235" s="24">
        <v>3005640</v>
      </c>
      <c r="K235" s="24">
        <v>3005640</v>
      </c>
      <c r="L235" s="24">
        <v>565360</v>
      </c>
      <c r="M235" s="29"/>
      <c r="N235" s="24">
        <f t="shared" si="3"/>
        <v>565360</v>
      </c>
      <c r="O235" s="29"/>
    </row>
    <row r="236" spans="1:15">
      <c r="A236" s="23" t="s">
        <v>401</v>
      </c>
      <c r="B236" s="23" t="s">
        <v>403</v>
      </c>
      <c r="C236" s="23" t="s">
        <v>405</v>
      </c>
      <c r="D236" s="23" t="s">
        <v>460</v>
      </c>
      <c r="E236" s="23" t="s">
        <v>72</v>
      </c>
      <c r="F236" s="23" t="s">
        <v>74</v>
      </c>
      <c r="G236" s="23" t="s">
        <v>79</v>
      </c>
      <c r="H236" s="23" t="s">
        <v>475</v>
      </c>
      <c r="I236" s="24">
        <v>0</v>
      </c>
      <c r="J236" s="24">
        <v>0</v>
      </c>
      <c r="K236" s="24">
        <v>0</v>
      </c>
      <c r="L236" s="24">
        <v>0</v>
      </c>
      <c r="M236" s="29"/>
      <c r="N236" s="24">
        <f t="shared" si="3"/>
        <v>0</v>
      </c>
      <c r="O236" s="29"/>
    </row>
    <row r="237" spans="1:15">
      <c r="A237" s="23" t="s">
        <v>401</v>
      </c>
      <c r="B237" s="23" t="s">
        <v>403</v>
      </c>
      <c r="C237" s="23" t="s">
        <v>405</v>
      </c>
      <c r="D237" s="23" t="s">
        <v>460</v>
      </c>
      <c r="E237" s="23" t="s">
        <v>72</v>
      </c>
      <c r="F237" s="23" t="s">
        <v>74</v>
      </c>
      <c r="G237" s="23" t="s">
        <v>79</v>
      </c>
      <c r="H237" s="23" t="s">
        <v>476</v>
      </c>
      <c r="I237" s="24">
        <v>2425000</v>
      </c>
      <c r="J237" s="24">
        <v>1159200</v>
      </c>
      <c r="K237" s="24">
        <v>1159200</v>
      </c>
      <c r="L237" s="24">
        <v>1265800</v>
      </c>
      <c r="M237" s="29"/>
      <c r="N237" s="24">
        <f t="shared" si="3"/>
        <v>1265800</v>
      </c>
      <c r="O237" s="29"/>
    </row>
    <row r="238" spans="1:15">
      <c r="A238" s="23" t="s">
        <v>401</v>
      </c>
      <c r="B238" s="23" t="s">
        <v>403</v>
      </c>
      <c r="C238" s="23" t="s">
        <v>405</v>
      </c>
      <c r="D238" s="23" t="s">
        <v>460</v>
      </c>
      <c r="E238" s="23" t="s">
        <v>72</v>
      </c>
      <c r="F238" s="23" t="s">
        <v>74</v>
      </c>
      <c r="G238" s="23" t="s">
        <v>79</v>
      </c>
      <c r="H238" s="23" t="s">
        <v>477</v>
      </c>
      <c r="I238" s="24">
        <v>1819000</v>
      </c>
      <c r="J238" s="24">
        <v>1343570</v>
      </c>
      <c r="K238" s="24">
        <v>1343570</v>
      </c>
      <c r="L238" s="24">
        <v>475430</v>
      </c>
      <c r="M238" s="29"/>
      <c r="N238" s="24">
        <f t="shared" si="3"/>
        <v>475430</v>
      </c>
      <c r="O238" s="29"/>
    </row>
    <row r="239" spans="1:15">
      <c r="A239" s="23" t="s">
        <v>401</v>
      </c>
      <c r="B239" s="23" t="s">
        <v>403</v>
      </c>
      <c r="C239" s="23" t="s">
        <v>405</v>
      </c>
      <c r="D239" s="23" t="s">
        <v>460</v>
      </c>
      <c r="E239" s="23" t="s">
        <v>72</v>
      </c>
      <c r="F239" s="23" t="s">
        <v>74</v>
      </c>
      <c r="G239" s="23" t="s">
        <v>79</v>
      </c>
      <c r="H239" s="23" t="s">
        <v>478</v>
      </c>
      <c r="I239" s="24">
        <v>0</v>
      </c>
      <c r="J239" s="24">
        <v>0</v>
      </c>
      <c r="K239" s="24">
        <v>0</v>
      </c>
      <c r="L239" s="24">
        <v>0</v>
      </c>
      <c r="M239" s="29"/>
      <c r="N239" s="24">
        <f t="shared" si="3"/>
        <v>0</v>
      </c>
      <c r="O239" s="29"/>
    </row>
    <row r="240" spans="1:15">
      <c r="A240" s="23" t="s">
        <v>401</v>
      </c>
      <c r="B240" s="23" t="s">
        <v>403</v>
      </c>
      <c r="C240" s="23" t="s">
        <v>405</v>
      </c>
      <c r="D240" s="23" t="s">
        <v>460</v>
      </c>
      <c r="E240" s="23" t="s">
        <v>72</v>
      </c>
      <c r="F240" s="23" t="s">
        <v>74</v>
      </c>
      <c r="G240" s="23" t="s">
        <v>79</v>
      </c>
      <c r="H240" s="23" t="s">
        <v>479</v>
      </c>
      <c r="I240" s="24">
        <v>0</v>
      </c>
      <c r="J240" s="24">
        <v>0</v>
      </c>
      <c r="K240" s="24">
        <v>0</v>
      </c>
      <c r="L240" s="24">
        <v>0</v>
      </c>
      <c r="M240" s="29"/>
      <c r="N240" s="24">
        <f t="shared" si="3"/>
        <v>0</v>
      </c>
      <c r="O240" s="29"/>
    </row>
    <row r="241" spans="1:15">
      <c r="A241" s="23" t="s">
        <v>401</v>
      </c>
      <c r="B241" s="23" t="s">
        <v>403</v>
      </c>
      <c r="C241" s="23" t="s">
        <v>405</v>
      </c>
      <c r="D241" s="23" t="s">
        <v>460</v>
      </c>
      <c r="E241" s="23" t="s">
        <v>72</v>
      </c>
      <c r="F241" s="23" t="s">
        <v>74</v>
      </c>
      <c r="G241" s="23" t="s">
        <v>79</v>
      </c>
      <c r="H241" s="23" t="s">
        <v>480</v>
      </c>
      <c r="I241" s="24">
        <v>2619000</v>
      </c>
      <c r="J241" s="24">
        <v>1693230</v>
      </c>
      <c r="K241" s="24">
        <v>1693230</v>
      </c>
      <c r="L241" s="24">
        <v>925770</v>
      </c>
      <c r="M241" s="29"/>
      <c r="N241" s="24">
        <f t="shared" si="3"/>
        <v>925770</v>
      </c>
      <c r="O241" s="29"/>
    </row>
    <row r="242" spans="1:15">
      <c r="A242" s="23" t="s">
        <v>401</v>
      </c>
      <c r="B242" s="23" t="s">
        <v>403</v>
      </c>
      <c r="C242" s="23" t="s">
        <v>405</v>
      </c>
      <c r="D242" s="23" t="s">
        <v>460</v>
      </c>
      <c r="E242" s="23" t="s">
        <v>72</v>
      </c>
      <c r="F242" s="23" t="s">
        <v>74</v>
      </c>
      <c r="G242" s="23" t="s">
        <v>79</v>
      </c>
      <c r="H242" s="23" t="s">
        <v>481</v>
      </c>
      <c r="I242" s="24">
        <v>1937000</v>
      </c>
      <c r="J242" s="24">
        <v>1763640</v>
      </c>
      <c r="K242" s="24">
        <v>1763640</v>
      </c>
      <c r="L242" s="24">
        <v>173360</v>
      </c>
      <c r="M242" s="29"/>
      <c r="N242" s="24">
        <f t="shared" si="3"/>
        <v>173360</v>
      </c>
      <c r="O242" s="29"/>
    </row>
    <row r="243" spans="1:15">
      <c r="A243" s="23" t="s">
        <v>401</v>
      </c>
      <c r="B243" s="23" t="s">
        <v>403</v>
      </c>
      <c r="C243" s="23" t="s">
        <v>405</v>
      </c>
      <c r="D243" s="23" t="s">
        <v>460</v>
      </c>
      <c r="E243" s="23" t="s">
        <v>72</v>
      </c>
      <c r="F243" s="23" t="s">
        <v>74</v>
      </c>
      <c r="G243" s="23" t="s">
        <v>79</v>
      </c>
      <c r="H243" s="23" t="s">
        <v>482</v>
      </c>
      <c r="I243" s="24">
        <v>1946000</v>
      </c>
      <c r="J243" s="24">
        <v>1184040</v>
      </c>
      <c r="K243" s="24">
        <v>1184040</v>
      </c>
      <c r="L243" s="24">
        <v>761960</v>
      </c>
      <c r="M243" s="29"/>
      <c r="N243" s="24">
        <f t="shared" si="3"/>
        <v>761960</v>
      </c>
      <c r="O243" s="29"/>
    </row>
    <row r="244" spans="1:15">
      <c r="A244" s="23" t="s">
        <v>401</v>
      </c>
      <c r="B244" s="23" t="s">
        <v>403</v>
      </c>
      <c r="C244" s="23" t="s">
        <v>405</v>
      </c>
      <c r="D244" s="23" t="s">
        <v>460</v>
      </c>
      <c r="E244" s="23" t="s">
        <v>72</v>
      </c>
      <c r="F244" s="23" t="s">
        <v>74</v>
      </c>
      <c r="G244" s="23" t="s">
        <v>79</v>
      </c>
      <c r="H244" s="23" t="s">
        <v>483</v>
      </c>
      <c r="I244" s="24">
        <v>3537000</v>
      </c>
      <c r="J244" s="24">
        <v>2732400</v>
      </c>
      <c r="K244" s="24">
        <v>2732400</v>
      </c>
      <c r="L244" s="24">
        <v>804600</v>
      </c>
      <c r="M244" s="29"/>
      <c r="N244" s="24">
        <f t="shared" si="3"/>
        <v>804600</v>
      </c>
      <c r="O244" s="29"/>
    </row>
    <row r="245" spans="1:15">
      <c r="A245" s="23" t="s">
        <v>401</v>
      </c>
      <c r="B245" s="23" t="s">
        <v>403</v>
      </c>
      <c r="C245" s="23" t="s">
        <v>405</v>
      </c>
      <c r="D245" s="23" t="s">
        <v>460</v>
      </c>
      <c r="E245" s="23" t="s">
        <v>72</v>
      </c>
      <c r="F245" s="23" t="s">
        <v>74</v>
      </c>
      <c r="G245" s="23" t="s">
        <v>79</v>
      </c>
      <c r="H245" s="23" t="s">
        <v>484</v>
      </c>
      <c r="I245" s="24">
        <v>1988000</v>
      </c>
      <c r="J245" s="24">
        <v>1407600</v>
      </c>
      <c r="K245" s="24">
        <v>1407600</v>
      </c>
      <c r="L245" s="24">
        <v>580400</v>
      </c>
      <c r="M245" s="29"/>
      <c r="N245" s="24">
        <f t="shared" si="3"/>
        <v>580400</v>
      </c>
      <c r="O245" s="29"/>
    </row>
    <row r="246" spans="1:15">
      <c r="A246" s="23" t="s">
        <v>401</v>
      </c>
      <c r="B246" s="23" t="s">
        <v>403</v>
      </c>
      <c r="C246" s="23" t="s">
        <v>405</v>
      </c>
      <c r="D246" s="23" t="s">
        <v>460</v>
      </c>
      <c r="E246" s="23" t="s">
        <v>72</v>
      </c>
      <c r="F246" s="23" t="s">
        <v>74</v>
      </c>
      <c r="G246" s="23" t="s">
        <v>79</v>
      </c>
      <c r="H246" s="23" t="s">
        <v>485</v>
      </c>
      <c r="I246" s="24">
        <v>2543000</v>
      </c>
      <c r="J246" s="24">
        <v>1440720</v>
      </c>
      <c r="K246" s="24">
        <v>1440720</v>
      </c>
      <c r="L246" s="24">
        <v>1102280</v>
      </c>
      <c r="M246" s="29"/>
      <c r="N246" s="24">
        <f t="shared" si="3"/>
        <v>1102280</v>
      </c>
      <c r="O246" s="29"/>
    </row>
    <row r="247" spans="1:15">
      <c r="A247" s="23" t="s">
        <v>401</v>
      </c>
      <c r="B247" s="23" t="s">
        <v>403</v>
      </c>
      <c r="C247" s="23" t="s">
        <v>405</v>
      </c>
      <c r="D247" s="23" t="s">
        <v>460</v>
      </c>
      <c r="E247" s="23" t="s">
        <v>72</v>
      </c>
      <c r="F247" s="23" t="s">
        <v>74</v>
      </c>
      <c r="G247" s="23" t="s">
        <v>79</v>
      </c>
      <c r="H247" s="23" t="s">
        <v>486</v>
      </c>
      <c r="I247" s="24">
        <v>3175000</v>
      </c>
      <c r="J247" s="24">
        <v>1985770</v>
      </c>
      <c r="K247" s="24">
        <v>1985770</v>
      </c>
      <c r="L247" s="24">
        <v>1189230</v>
      </c>
      <c r="M247" s="29"/>
      <c r="N247" s="24">
        <f t="shared" si="3"/>
        <v>1189230</v>
      </c>
      <c r="O247" s="29"/>
    </row>
    <row r="248" spans="1:15">
      <c r="A248" s="23" t="s">
        <v>401</v>
      </c>
      <c r="B248" s="23" t="s">
        <v>403</v>
      </c>
      <c r="C248" s="23" t="s">
        <v>405</v>
      </c>
      <c r="D248" s="23" t="s">
        <v>460</v>
      </c>
      <c r="E248" s="23" t="s">
        <v>72</v>
      </c>
      <c r="F248" s="23" t="s">
        <v>74</v>
      </c>
      <c r="G248" s="23" t="s">
        <v>79</v>
      </c>
      <c r="H248" s="23" t="s">
        <v>487</v>
      </c>
      <c r="I248" s="24">
        <v>0</v>
      </c>
      <c r="J248" s="24">
        <v>0</v>
      </c>
      <c r="K248" s="24">
        <v>0</v>
      </c>
      <c r="L248" s="24">
        <v>0</v>
      </c>
      <c r="M248" s="29"/>
      <c r="N248" s="24">
        <f t="shared" si="3"/>
        <v>0</v>
      </c>
      <c r="O248" s="29"/>
    </row>
    <row r="249" spans="1:15">
      <c r="A249" s="23" t="s">
        <v>401</v>
      </c>
      <c r="B249" s="23" t="s">
        <v>403</v>
      </c>
      <c r="C249" s="23" t="s">
        <v>405</v>
      </c>
      <c r="D249" s="23" t="s">
        <v>460</v>
      </c>
      <c r="E249" s="23" t="s">
        <v>72</v>
      </c>
      <c r="F249" s="23" t="s">
        <v>74</v>
      </c>
      <c r="G249" s="23" t="s">
        <v>79</v>
      </c>
      <c r="H249" s="23" t="s">
        <v>488</v>
      </c>
      <c r="I249" s="24">
        <v>3705000</v>
      </c>
      <c r="J249" s="24">
        <v>2964540</v>
      </c>
      <c r="K249" s="24">
        <v>2964540</v>
      </c>
      <c r="L249" s="24">
        <v>740460</v>
      </c>
      <c r="M249" s="29"/>
      <c r="N249" s="24">
        <f t="shared" si="3"/>
        <v>740460</v>
      </c>
      <c r="O249" s="29"/>
    </row>
    <row r="250" spans="1:15">
      <c r="A250" s="23" t="s">
        <v>401</v>
      </c>
      <c r="B250" s="23" t="s">
        <v>403</v>
      </c>
      <c r="C250" s="23" t="s">
        <v>405</v>
      </c>
      <c r="D250" s="23" t="s">
        <v>460</v>
      </c>
      <c r="E250" s="23" t="s">
        <v>72</v>
      </c>
      <c r="F250" s="23" t="s">
        <v>74</v>
      </c>
      <c r="G250" s="23" t="s">
        <v>79</v>
      </c>
      <c r="H250" s="23" t="s">
        <v>489</v>
      </c>
      <c r="I250" s="24">
        <v>8778000</v>
      </c>
      <c r="J250" s="24">
        <v>5439340</v>
      </c>
      <c r="K250" s="24">
        <v>5439340</v>
      </c>
      <c r="L250" s="24">
        <v>3338660</v>
      </c>
      <c r="M250" s="29"/>
      <c r="N250" s="24">
        <f t="shared" si="3"/>
        <v>3338660</v>
      </c>
      <c r="O250" s="29"/>
    </row>
    <row r="251" spans="1:15">
      <c r="A251" s="23" t="s">
        <v>401</v>
      </c>
      <c r="B251" s="23" t="s">
        <v>403</v>
      </c>
      <c r="C251" s="23" t="s">
        <v>405</v>
      </c>
      <c r="D251" s="23" t="s">
        <v>460</v>
      </c>
      <c r="E251" s="23" t="s">
        <v>72</v>
      </c>
      <c r="F251" s="23" t="s">
        <v>74</v>
      </c>
      <c r="G251" s="23" t="s">
        <v>79</v>
      </c>
      <c r="H251" s="23" t="s">
        <v>490</v>
      </c>
      <c r="I251" s="24">
        <v>2800000</v>
      </c>
      <c r="J251" s="24">
        <v>2484000</v>
      </c>
      <c r="K251" s="24">
        <v>2484000</v>
      </c>
      <c r="L251" s="24">
        <v>316000</v>
      </c>
      <c r="M251" s="29"/>
      <c r="N251" s="24">
        <f t="shared" si="3"/>
        <v>316000</v>
      </c>
      <c r="O251" s="29"/>
    </row>
    <row r="252" spans="1:15">
      <c r="A252" s="23" t="s">
        <v>401</v>
      </c>
      <c r="B252" s="23" t="s">
        <v>403</v>
      </c>
      <c r="C252" s="23" t="s">
        <v>405</v>
      </c>
      <c r="D252" s="23" t="s">
        <v>460</v>
      </c>
      <c r="E252" s="23" t="s">
        <v>72</v>
      </c>
      <c r="F252" s="23" t="s">
        <v>74</v>
      </c>
      <c r="G252" s="23" t="s">
        <v>79</v>
      </c>
      <c r="H252" s="23" t="s">
        <v>491</v>
      </c>
      <c r="I252" s="24">
        <v>1242000</v>
      </c>
      <c r="J252" s="24">
        <v>1242000</v>
      </c>
      <c r="K252" s="24">
        <v>1242000</v>
      </c>
      <c r="L252" s="24">
        <v>0</v>
      </c>
      <c r="M252" s="29"/>
      <c r="N252" s="24">
        <f t="shared" si="3"/>
        <v>0</v>
      </c>
      <c r="O252" s="29"/>
    </row>
    <row r="253" spans="1:15">
      <c r="A253" s="23" t="s">
        <v>401</v>
      </c>
      <c r="B253" s="23" t="s">
        <v>403</v>
      </c>
      <c r="C253" s="23" t="s">
        <v>405</v>
      </c>
      <c r="D253" s="23" t="s">
        <v>460</v>
      </c>
      <c r="E253" s="23" t="s">
        <v>72</v>
      </c>
      <c r="F253" s="23" t="s">
        <v>74</v>
      </c>
      <c r="G253" s="23" t="s">
        <v>79</v>
      </c>
      <c r="H253" s="23" t="s">
        <v>492</v>
      </c>
      <c r="I253" s="24">
        <v>1193000</v>
      </c>
      <c r="J253" s="24">
        <v>1192320</v>
      </c>
      <c r="K253" s="24">
        <v>1192320</v>
      </c>
      <c r="L253" s="24">
        <v>680</v>
      </c>
      <c r="M253" s="29"/>
      <c r="N253" s="24">
        <f t="shared" si="3"/>
        <v>680</v>
      </c>
      <c r="O253" s="29"/>
    </row>
    <row r="254" spans="1:15">
      <c r="A254" s="23" t="s">
        <v>401</v>
      </c>
      <c r="B254" s="23" t="s">
        <v>403</v>
      </c>
      <c r="C254" s="23" t="s">
        <v>405</v>
      </c>
      <c r="D254" s="23" t="s">
        <v>460</v>
      </c>
      <c r="E254" s="23" t="s">
        <v>72</v>
      </c>
      <c r="F254" s="23" t="s">
        <v>74</v>
      </c>
      <c r="G254" s="23" t="s">
        <v>79</v>
      </c>
      <c r="H254" s="23" t="s">
        <v>493</v>
      </c>
      <c r="I254" s="24">
        <v>2261000</v>
      </c>
      <c r="J254" s="24">
        <v>2260440</v>
      </c>
      <c r="K254" s="24">
        <v>2260440</v>
      </c>
      <c r="L254" s="24">
        <v>560</v>
      </c>
      <c r="M254" s="29"/>
      <c r="N254" s="24">
        <f t="shared" si="3"/>
        <v>560</v>
      </c>
      <c r="O254" s="29"/>
    </row>
    <row r="255" spans="1:15">
      <c r="A255" s="23" t="s">
        <v>401</v>
      </c>
      <c r="B255" s="23" t="s">
        <v>403</v>
      </c>
      <c r="C255" s="23" t="s">
        <v>405</v>
      </c>
      <c r="D255" s="23" t="s">
        <v>460</v>
      </c>
      <c r="E255" s="23" t="s">
        <v>72</v>
      </c>
      <c r="F255" s="23" t="s">
        <v>74</v>
      </c>
      <c r="G255" s="23" t="s">
        <v>79</v>
      </c>
      <c r="H255" s="23" t="s">
        <v>494</v>
      </c>
      <c r="I255" s="24">
        <v>984000</v>
      </c>
      <c r="J255" s="24">
        <v>983400</v>
      </c>
      <c r="K255" s="24">
        <v>983400</v>
      </c>
      <c r="L255" s="24">
        <v>600</v>
      </c>
      <c r="M255" s="29"/>
      <c r="N255" s="24">
        <f t="shared" si="3"/>
        <v>600</v>
      </c>
      <c r="O255" s="29"/>
    </row>
    <row r="256" spans="1:15">
      <c r="A256" s="23" t="s">
        <v>401</v>
      </c>
      <c r="B256" s="23" t="s">
        <v>403</v>
      </c>
      <c r="C256" s="23" t="s">
        <v>405</v>
      </c>
      <c r="D256" s="23" t="s">
        <v>460</v>
      </c>
      <c r="E256" s="23" t="s">
        <v>72</v>
      </c>
      <c r="F256" s="23" t="s">
        <v>74</v>
      </c>
      <c r="G256" s="23" t="s">
        <v>79</v>
      </c>
      <c r="H256" s="23" t="s">
        <v>495</v>
      </c>
      <c r="I256" s="24">
        <v>1738000</v>
      </c>
      <c r="J256" s="24">
        <v>507110</v>
      </c>
      <c r="K256" s="24">
        <v>507110</v>
      </c>
      <c r="L256" s="24">
        <v>1230890</v>
      </c>
      <c r="M256" s="29"/>
      <c r="N256" s="24">
        <f t="shared" si="3"/>
        <v>1230890</v>
      </c>
      <c r="O256" s="29"/>
    </row>
    <row r="257" spans="1:15">
      <c r="A257" s="23" t="s">
        <v>401</v>
      </c>
      <c r="B257" s="23" t="s">
        <v>403</v>
      </c>
      <c r="C257" s="23" t="s">
        <v>405</v>
      </c>
      <c r="D257" s="23" t="s">
        <v>460</v>
      </c>
      <c r="E257" s="23" t="s">
        <v>72</v>
      </c>
      <c r="F257" s="23" t="s">
        <v>74</v>
      </c>
      <c r="G257" s="23" t="s">
        <v>79</v>
      </c>
      <c r="H257" s="23" t="s">
        <v>496</v>
      </c>
      <c r="I257" s="24">
        <v>2086000</v>
      </c>
      <c r="J257" s="24">
        <v>596160</v>
      </c>
      <c r="K257" s="24">
        <v>596160</v>
      </c>
      <c r="L257" s="24">
        <v>1489840</v>
      </c>
      <c r="M257" s="29"/>
      <c r="N257" s="24">
        <f t="shared" si="3"/>
        <v>1489840</v>
      </c>
      <c r="O257" s="29"/>
    </row>
    <row r="258" spans="1:15">
      <c r="A258" s="23" t="s">
        <v>401</v>
      </c>
      <c r="B258" s="23" t="s">
        <v>403</v>
      </c>
      <c r="C258" s="23" t="s">
        <v>405</v>
      </c>
      <c r="D258" s="23" t="s">
        <v>460</v>
      </c>
      <c r="E258" s="23" t="s">
        <v>72</v>
      </c>
      <c r="F258" s="23" t="s">
        <v>74</v>
      </c>
      <c r="G258" s="23" t="s">
        <v>79</v>
      </c>
      <c r="H258" s="23" t="s">
        <v>497</v>
      </c>
      <c r="I258" s="24">
        <v>3650000</v>
      </c>
      <c r="J258" s="24">
        <v>1126080</v>
      </c>
      <c r="K258" s="24">
        <v>1126080</v>
      </c>
      <c r="L258" s="24">
        <v>2523920</v>
      </c>
      <c r="M258" s="29"/>
      <c r="N258" s="24">
        <f t="shared" si="3"/>
        <v>2523920</v>
      </c>
      <c r="O258" s="29"/>
    </row>
    <row r="259" spans="1:15">
      <c r="A259" s="23" t="s">
        <v>401</v>
      </c>
      <c r="B259" s="23" t="s">
        <v>403</v>
      </c>
      <c r="C259" s="23" t="s">
        <v>405</v>
      </c>
      <c r="D259" s="23" t="s">
        <v>460</v>
      </c>
      <c r="E259" s="23" t="s">
        <v>72</v>
      </c>
      <c r="F259" s="23" t="s">
        <v>74</v>
      </c>
      <c r="G259" s="23" t="s">
        <v>79</v>
      </c>
      <c r="H259" s="23" t="s">
        <v>498</v>
      </c>
      <c r="I259" s="24">
        <v>1043000</v>
      </c>
      <c r="J259" s="24">
        <v>298080</v>
      </c>
      <c r="K259" s="24">
        <v>298080</v>
      </c>
      <c r="L259" s="24">
        <v>744920</v>
      </c>
      <c r="M259" s="29"/>
      <c r="N259" s="24">
        <f t="shared" si="3"/>
        <v>744920</v>
      </c>
      <c r="O259" s="29"/>
    </row>
    <row r="260" spans="1:15">
      <c r="A260" s="23" t="s">
        <v>401</v>
      </c>
      <c r="B260" s="23" t="s">
        <v>403</v>
      </c>
      <c r="C260" s="23" t="s">
        <v>405</v>
      </c>
      <c r="D260" s="23" t="s">
        <v>460</v>
      </c>
      <c r="E260" s="23" t="s">
        <v>72</v>
      </c>
      <c r="F260" s="23" t="s">
        <v>74</v>
      </c>
      <c r="G260" s="23" t="s">
        <v>79</v>
      </c>
      <c r="H260" s="23" t="s">
        <v>499</v>
      </c>
      <c r="I260" s="24">
        <v>1773000</v>
      </c>
      <c r="J260" s="24">
        <v>463680</v>
      </c>
      <c r="K260" s="24">
        <v>463680</v>
      </c>
      <c r="L260" s="24">
        <v>1309320</v>
      </c>
      <c r="M260" s="29"/>
      <c r="N260" s="24">
        <f t="shared" si="3"/>
        <v>1309320</v>
      </c>
      <c r="O260" s="29"/>
    </row>
    <row r="261" spans="1:15">
      <c r="A261" s="23" t="s">
        <v>401</v>
      </c>
      <c r="B261" s="23" t="s">
        <v>403</v>
      </c>
      <c r="C261" s="23" t="s">
        <v>405</v>
      </c>
      <c r="D261" s="23" t="s">
        <v>460</v>
      </c>
      <c r="E261" s="23" t="s">
        <v>72</v>
      </c>
      <c r="F261" s="23" t="s">
        <v>74</v>
      </c>
      <c r="G261" s="23" t="s">
        <v>79</v>
      </c>
      <c r="H261" s="23" t="s">
        <v>500</v>
      </c>
      <c r="I261" s="24">
        <v>1339000</v>
      </c>
      <c r="J261" s="24">
        <v>397440</v>
      </c>
      <c r="K261" s="24">
        <v>397440</v>
      </c>
      <c r="L261" s="24">
        <v>941560</v>
      </c>
      <c r="M261" s="29"/>
      <c r="N261" s="24">
        <f t="shared" si="3"/>
        <v>941560</v>
      </c>
      <c r="O261" s="29"/>
    </row>
    <row r="262" spans="1:15">
      <c r="A262" s="23" t="s">
        <v>401</v>
      </c>
      <c r="B262" s="23" t="s">
        <v>403</v>
      </c>
      <c r="C262" s="23" t="s">
        <v>405</v>
      </c>
      <c r="D262" s="23" t="s">
        <v>460</v>
      </c>
      <c r="E262" s="23" t="s">
        <v>72</v>
      </c>
      <c r="F262" s="23" t="s">
        <v>74</v>
      </c>
      <c r="G262" s="23" t="s">
        <v>79</v>
      </c>
      <c r="H262" s="23" t="s">
        <v>501</v>
      </c>
      <c r="I262" s="24">
        <v>3164000</v>
      </c>
      <c r="J262" s="24">
        <v>927360</v>
      </c>
      <c r="K262" s="24">
        <v>927360</v>
      </c>
      <c r="L262" s="24">
        <v>2236640</v>
      </c>
      <c r="M262" s="29"/>
      <c r="N262" s="24">
        <f t="shared" si="3"/>
        <v>2236640</v>
      </c>
      <c r="O262" s="29"/>
    </row>
    <row r="263" spans="1:15">
      <c r="A263" s="23" t="s">
        <v>401</v>
      </c>
      <c r="B263" s="23" t="s">
        <v>403</v>
      </c>
      <c r="C263" s="23" t="s">
        <v>405</v>
      </c>
      <c r="D263" s="23" t="s">
        <v>460</v>
      </c>
      <c r="E263" s="23" t="s">
        <v>72</v>
      </c>
      <c r="F263" s="23" t="s">
        <v>74</v>
      </c>
      <c r="G263" s="23" t="s">
        <v>79</v>
      </c>
      <c r="H263" s="23" t="s">
        <v>502</v>
      </c>
      <c r="I263" s="24">
        <v>2964000</v>
      </c>
      <c r="J263" s="24">
        <v>828000</v>
      </c>
      <c r="K263" s="24">
        <v>828000</v>
      </c>
      <c r="L263" s="24">
        <v>2136000</v>
      </c>
      <c r="M263" s="29"/>
      <c r="N263" s="24">
        <f t="shared" si="3"/>
        <v>2136000</v>
      </c>
      <c r="O263" s="29"/>
    </row>
    <row r="264" spans="1:15">
      <c r="A264" s="23" t="s">
        <v>401</v>
      </c>
      <c r="B264" s="23" t="s">
        <v>403</v>
      </c>
      <c r="C264" s="23" t="s">
        <v>405</v>
      </c>
      <c r="D264" s="23" t="s">
        <v>460</v>
      </c>
      <c r="E264" s="23" t="s">
        <v>72</v>
      </c>
      <c r="F264" s="23" t="s">
        <v>74</v>
      </c>
      <c r="G264" s="23" t="s">
        <v>79</v>
      </c>
      <c r="H264" s="23" t="s">
        <v>503</v>
      </c>
      <c r="I264" s="24">
        <v>1565000</v>
      </c>
      <c r="J264" s="24">
        <v>430560</v>
      </c>
      <c r="K264" s="24">
        <v>430560</v>
      </c>
      <c r="L264" s="24">
        <v>1134440</v>
      </c>
      <c r="M264" s="29"/>
      <c r="N264" s="24">
        <f t="shared" ref="N264:N327" si="4">L264-M264</f>
        <v>1134440</v>
      </c>
      <c r="O264" s="29"/>
    </row>
    <row r="265" spans="1:15">
      <c r="A265" s="23" t="s">
        <v>401</v>
      </c>
      <c r="B265" s="23" t="s">
        <v>403</v>
      </c>
      <c r="C265" s="23" t="s">
        <v>405</v>
      </c>
      <c r="D265" s="23" t="s">
        <v>460</v>
      </c>
      <c r="E265" s="23" t="s">
        <v>72</v>
      </c>
      <c r="F265" s="23" t="s">
        <v>74</v>
      </c>
      <c r="G265" s="23" t="s">
        <v>79</v>
      </c>
      <c r="H265" s="23" t="s">
        <v>504</v>
      </c>
      <c r="I265" s="24">
        <v>1651000</v>
      </c>
      <c r="J265" s="24">
        <v>429120</v>
      </c>
      <c r="K265" s="24">
        <v>429120</v>
      </c>
      <c r="L265" s="24">
        <v>1221880</v>
      </c>
      <c r="M265" s="29"/>
      <c r="N265" s="24">
        <f t="shared" si="4"/>
        <v>1221880</v>
      </c>
      <c r="O265" s="29"/>
    </row>
    <row r="266" spans="1:15">
      <c r="A266" s="23" t="s">
        <v>401</v>
      </c>
      <c r="B266" s="23" t="s">
        <v>403</v>
      </c>
      <c r="C266" s="23" t="s">
        <v>405</v>
      </c>
      <c r="D266" s="23" t="s">
        <v>460</v>
      </c>
      <c r="E266" s="23" t="s">
        <v>72</v>
      </c>
      <c r="F266" s="23" t="s">
        <v>74</v>
      </c>
      <c r="G266" s="23" t="s">
        <v>79</v>
      </c>
      <c r="H266" s="23" t="s">
        <v>505</v>
      </c>
      <c r="I266" s="24">
        <v>2008000</v>
      </c>
      <c r="J266" s="24">
        <v>397440</v>
      </c>
      <c r="K266" s="24">
        <v>397440</v>
      </c>
      <c r="L266" s="24">
        <v>1610560</v>
      </c>
      <c r="M266" s="29"/>
      <c r="N266" s="24">
        <f t="shared" si="4"/>
        <v>1610560</v>
      </c>
      <c r="O266" s="29"/>
    </row>
    <row r="267" spans="1:15">
      <c r="A267" s="23" t="s">
        <v>401</v>
      </c>
      <c r="B267" s="23" t="s">
        <v>403</v>
      </c>
      <c r="C267" s="23" t="s">
        <v>405</v>
      </c>
      <c r="D267" s="23" t="s">
        <v>460</v>
      </c>
      <c r="E267" s="23" t="s">
        <v>72</v>
      </c>
      <c r="F267" s="23" t="s">
        <v>74</v>
      </c>
      <c r="G267" s="23" t="s">
        <v>79</v>
      </c>
      <c r="H267" s="23" t="s">
        <v>506</v>
      </c>
      <c r="I267" s="24">
        <v>3633000</v>
      </c>
      <c r="J267" s="24">
        <v>1192320</v>
      </c>
      <c r="K267" s="24">
        <v>1192320</v>
      </c>
      <c r="L267" s="24">
        <v>2440680</v>
      </c>
      <c r="M267" s="29"/>
      <c r="N267" s="24">
        <f t="shared" si="4"/>
        <v>2440680</v>
      </c>
      <c r="O267" s="29"/>
    </row>
    <row r="268" spans="1:15">
      <c r="A268" s="23" t="s">
        <v>401</v>
      </c>
      <c r="B268" s="23" t="s">
        <v>403</v>
      </c>
      <c r="C268" s="23" t="s">
        <v>405</v>
      </c>
      <c r="D268" s="23" t="s">
        <v>460</v>
      </c>
      <c r="E268" s="23" t="s">
        <v>72</v>
      </c>
      <c r="F268" s="23" t="s">
        <v>74</v>
      </c>
      <c r="G268" s="23" t="s">
        <v>79</v>
      </c>
      <c r="H268" s="23" t="s">
        <v>507</v>
      </c>
      <c r="I268" s="24">
        <v>1912000</v>
      </c>
      <c r="J268" s="24">
        <v>656720</v>
      </c>
      <c r="K268" s="24">
        <v>656720</v>
      </c>
      <c r="L268" s="24">
        <v>1255280</v>
      </c>
      <c r="M268" s="29"/>
      <c r="N268" s="24">
        <f t="shared" si="4"/>
        <v>1255280</v>
      </c>
      <c r="O268" s="29"/>
    </row>
    <row r="269" spans="1:15">
      <c r="A269" s="23" t="s">
        <v>401</v>
      </c>
      <c r="B269" s="23" t="s">
        <v>403</v>
      </c>
      <c r="C269" s="23" t="s">
        <v>405</v>
      </c>
      <c r="D269" s="23" t="s">
        <v>460</v>
      </c>
      <c r="E269" s="23" t="s">
        <v>72</v>
      </c>
      <c r="F269" s="23" t="s">
        <v>74</v>
      </c>
      <c r="G269" s="23" t="s">
        <v>79</v>
      </c>
      <c r="H269" s="23" t="s">
        <v>508</v>
      </c>
      <c r="I269" s="24">
        <v>4172000</v>
      </c>
      <c r="J269" s="24">
        <v>1192320</v>
      </c>
      <c r="K269" s="24">
        <v>1192320</v>
      </c>
      <c r="L269" s="24">
        <v>2979680</v>
      </c>
      <c r="M269" s="29"/>
      <c r="N269" s="24">
        <f t="shared" si="4"/>
        <v>2979680</v>
      </c>
      <c r="O269" s="29"/>
    </row>
    <row r="270" spans="1:15">
      <c r="A270" s="23" t="s">
        <v>401</v>
      </c>
      <c r="B270" s="23" t="s">
        <v>403</v>
      </c>
      <c r="C270" s="23" t="s">
        <v>405</v>
      </c>
      <c r="D270" s="23" t="s">
        <v>460</v>
      </c>
      <c r="E270" s="23" t="s">
        <v>72</v>
      </c>
      <c r="F270" s="23" t="s">
        <v>74</v>
      </c>
      <c r="G270" s="23" t="s">
        <v>79</v>
      </c>
      <c r="H270" s="23" t="s">
        <v>509</v>
      </c>
      <c r="I270" s="24">
        <v>1530000</v>
      </c>
      <c r="J270" s="24">
        <v>322920</v>
      </c>
      <c r="K270" s="24">
        <v>322920</v>
      </c>
      <c r="L270" s="24">
        <v>1207080</v>
      </c>
      <c r="M270" s="29"/>
      <c r="N270" s="24">
        <f t="shared" si="4"/>
        <v>1207080</v>
      </c>
      <c r="O270" s="29"/>
    </row>
    <row r="271" spans="1:15">
      <c r="A271" s="23" t="s">
        <v>401</v>
      </c>
      <c r="B271" s="23" t="s">
        <v>403</v>
      </c>
      <c r="C271" s="23" t="s">
        <v>405</v>
      </c>
      <c r="D271" s="23" t="s">
        <v>460</v>
      </c>
      <c r="E271" s="23" t="s">
        <v>72</v>
      </c>
      <c r="F271" s="23" t="s">
        <v>74</v>
      </c>
      <c r="G271" s="23" t="s">
        <v>79</v>
      </c>
      <c r="H271" s="23" t="s">
        <v>510</v>
      </c>
      <c r="I271" s="24">
        <v>1721000</v>
      </c>
      <c r="J271" s="24">
        <v>422280</v>
      </c>
      <c r="K271" s="24">
        <v>422280</v>
      </c>
      <c r="L271" s="24">
        <v>1298720</v>
      </c>
      <c r="M271" s="29"/>
      <c r="N271" s="24">
        <f t="shared" si="4"/>
        <v>1298720</v>
      </c>
      <c r="O271" s="29"/>
    </row>
    <row r="272" spans="1:15">
      <c r="A272" s="23" t="s">
        <v>401</v>
      </c>
      <c r="B272" s="23" t="s">
        <v>403</v>
      </c>
      <c r="C272" s="23" t="s">
        <v>405</v>
      </c>
      <c r="D272" s="23" t="s">
        <v>460</v>
      </c>
      <c r="E272" s="23" t="s">
        <v>72</v>
      </c>
      <c r="F272" s="23" t="s">
        <v>74</v>
      </c>
      <c r="G272" s="23" t="s">
        <v>79</v>
      </c>
      <c r="H272" s="23" t="s">
        <v>511</v>
      </c>
      <c r="I272" s="24">
        <v>2008000</v>
      </c>
      <c r="J272" s="24">
        <v>563040</v>
      </c>
      <c r="K272" s="24">
        <v>563040</v>
      </c>
      <c r="L272" s="24">
        <v>1444960</v>
      </c>
      <c r="M272" s="29"/>
      <c r="N272" s="24">
        <f t="shared" si="4"/>
        <v>1444960</v>
      </c>
      <c r="O272" s="29"/>
    </row>
    <row r="273" spans="1:15">
      <c r="A273" s="23" t="s">
        <v>401</v>
      </c>
      <c r="B273" s="23" t="s">
        <v>403</v>
      </c>
      <c r="C273" s="23" t="s">
        <v>405</v>
      </c>
      <c r="D273" s="23" t="s">
        <v>460</v>
      </c>
      <c r="E273" s="23" t="s">
        <v>72</v>
      </c>
      <c r="F273" s="23" t="s">
        <v>74</v>
      </c>
      <c r="G273" s="23" t="s">
        <v>79</v>
      </c>
      <c r="H273" s="23" t="s">
        <v>512</v>
      </c>
      <c r="I273" s="24">
        <v>2260000</v>
      </c>
      <c r="J273" s="24">
        <v>546480</v>
      </c>
      <c r="K273" s="24">
        <v>546480</v>
      </c>
      <c r="L273" s="24">
        <v>1713520</v>
      </c>
      <c r="M273" s="29"/>
      <c r="N273" s="24">
        <f t="shared" si="4"/>
        <v>1713520</v>
      </c>
      <c r="O273" s="29"/>
    </row>
    <row r="274" spans="1:15">
      <c r="A274" s="23" t="s">
        <v>401</v>
      </c>
      <c r="B274" s="23" t="s">
        <v>403</v>
      </c>
      <c r="C274" s="23" t="s">
        <v>405</v>
      </c>
      <c r="D274" s="23" t="s">
        <v>460</v>
      </c>
      <c r="E274" s="23" t="s">
        <v>72</v>
      </c>
      <c r="F274" s="23" t="s">
        <v>74</v>
      </c>
      <c r="G274" s="23" t="s">
        <v>79</v>
      </c>
      <c r="H274" s="23" t="s">
        <v>513</v>
      </c>
      <c r="I274" s="24">
        <v>2364000</v>
      </c>
      <c r="J274" s="24">
        <v>794880</v>
      </c>
      <c r="K274" s="24">
        <v>794880</v>
      </c>
      <c r="L274" s="24">
        <v>1569120</v>
      </c>
      <c r="M274" s="29"/>
      <c r="N274" s="24">
        <f t="shared" si="4"/>
        <v>1569120</v>
      </c>
      <c r="O274" s="29"/>
    </row>
    <row r="275" spans="1:15">
      <c r="A275" s="23" t="s">
        <v>401</v>
      </c>
      <c r="B275" s="23" t="s">
        <v>403</v>
      </c>
      <c r="C275" s="23" t="s">
        <v>405</v>
      </c>
      <c r="D275" s="23" t="s">
        <v>460</v>
      </c>
      <c r="E275" s="23" t="s">
        <v>72</v>
      </c>
      <c r="F275" s="23" t="s">
        <v>74</v>
      </c>
      <c r="G275" s="23" t="s">
        <v>79</v>
      </c>
      <c r="H275" s="23" t="s">
        <v>514</v>
      </c>
      <c r="I275" s="24">
        <v>1356000</v>
      </c>
      <c r="J275" s="24">
        <v>331200</v>
      </c>
      <c r="K275" s="24">
        <v>331200</v>
      </c>
      <c r="L275" s="24">
        <v>1024800</v>
      </c>
      <c r="M275" s="29"/>
      <c r="N275" s="24">
        <f t="shared" si="4"/>
        <v>1024800</v>
      </c>
      <c r="O275" s="29"/>
    </row>
    <row r="276" spans="1:15">
      <c r="A276" s="23" t="s">
        <v>401</v>
      </c>
      <c r="B276" s="23" t="s">
        <v>403</v>
      </c>
      <c r="C276" s="23" t="s">
        <v>405</v>
      </c>
      <c r="D276" s="23" t="s">
        <v>460</v>
      </c>
      <c r="E276" s="23" t="s">
        <v>72</v>
      </c>
      <c r="F276" s="23" t="s">
        <v>74</v>
      </c>
      <c r="G276" s="23" t="s">
        <v>79</v>
      </c>
      <c r="H276" s="23" t="s">
        <v>515</v>
      </c>
      <c r="I276" s="24">
        <v>3233000</v>
      </c>
      <c r="J276" s="24">
        <v>794880</v>
      </c>
      <c r="K276" s="24">
        <v>794880</v>
      </c>
      <c r="L276" s="24">
        <v>2438120</v>
      </c>
      <c r="M276" s="29"/>
      <c r="N276" s="24">
        <f t="shared" si="4"/>
        <v>2438120</v>
      </c>
      <c r="O276" s="29"/>
    </row>
    <row r="277" spans="1:15">
      <c r="A277" s="23" t="s">
        <v>401</v>
      </c>
      <c r="B277" s="23" t="s">
        <v>403</v>
      </c>
      <c r="C277" s="23" t="s">
        <v>405</v>
      </c>
      <c r="D277" s="23" t="s">
        <v>460</v>
      </c>
      <c r="E277" s="23" t="s">
        <v>72</v>
      </c>
      <c r="F277" s="23" t="s">
        <v>74</v>
      </c>
      <c r="G277" s="23" t="s">
        <v>79</v>
      </c>
      <c r="H277" s="23" t="s">
        <v>516</v>
      </c>
      <c r="I277" s="24">
        <v>1591000</v>
      </c>
      <c r="J277" s="24">
        <v>563040</v>
      </c>
      <c r="K277" s="24">
        <v>563040</v>
      </c>
      <c r="L277" s="24">
        <v>1027960</v>
      </c>
      <c r="M277" s="29"/>
      <c r="N277" s="24">
        <f t="shared" si="4"/>
        <v>1027960</v>
      </c>
      <c r="O277" s="29"/>
    </row>
    <row r="278" spans="1:15">
      <c r="A278" s="23" t="s">
        <v>401</v>
      </c>
      <c r="B278" s="23" t="s">
        <v>403</v>
      </c>
      <c r="C278" s="23" t="s">
        <v>405</v>
      </c>
      <c r="D278" s="23" t="s">
        <v>460</v>
      </c>
      <c r="E278" s="23" t="s">
        <v>72</v>
      </c>
      <c r="F278" s="23" t="s">
        <v>74</v>
      </c>
      <c r="G278" s="23" t="s">
        <v>79</v>
      </c>
      <c r="H278" s="23" t="s">
        <v>517</v>
      </c>
      <c r="I278" s="24">
        <v>3824000</v>
      </c>
      <c r="J278" s="24">
        <v>1126080</v>
      </c>
      <c r="K278" s="24">
        <v>1126080</v>
      </c>
      <c r="L278" s="24">
        <v>2697920</v>
      </c>
      <c r="M278" s="29"/>
      <c r="N278" s="24">
        <f t="shared" si="4"/>
        <v>2697920</v>
      </c>
      <c r="O278" s="29"/>
    </row>
    <row r="279" spans="1:15">
      <c r="A279" s="23" t="s">
        <v>401</v>
      </c>
      <c r="B279" s="23" t="s">
        <v>403</v>
      </c>
      <c r="C279" s="23" t="s">
        <v>405</v>
      </c>
      <c r="D279" s="23" t="s">
        <v>460</v>
      </c>
      <c r="E279" s="23" t="s">
        <v>72</v>
      </c>
      <c r="F279" s="23" t="s">
        <v>74</v>
      </c>
      <c r="G279" s="23" t="s">
        <v>79</v>
      </c>
      <c r="H279" s="23" t="s">
        <v>518</v>
      </c>
      <c r="I279" s="24">
        <v>1721000</v>
      </c>
      <c r="J279" s="24">
        <v>596160</v>
      </c>
      <c r="K279" s="24">
        <v>596160</v>
      </c>
      <c r="L279" s="24">
        <v>1124840</v>
      </c>
      <c r="M279" s="29"/>
      <c r="N279" s="24">
        <f t="shared" si="4"/>
        <v>1124840</v>
      </c>
      <c r="O279" s="29"/>
    </row>
    <row r="280" spans="1:15">
      <c r="A280" s="23" t="s">
        <v>401</v>
      </c>
      <c r="B280" s="23" t="s">
        <v>403</v>
      </c>
      <c r="C280" s="23" t="s">
        <v>405</v>
      </c>
      <c r="D280" s="23" t="s">
        <v>460</v>
      </c>
      <c r="E280" s="23" t="s">
        <v>72</v>
      </c>
      <c r="F280" s="23" t="s">
        <v>74</v>
      </c>
      <c r="G280" s="23" t="s">
        <v>79</v>
      </c>
      <c r="H280" s="23" t="s">
        <v>519</v>
      </c>
      <c r="I280" s="24">
        <v>1504000</v>
      </c>
      <c r="J280" s="24">
        <v>463680</v>
      </c>
      <c r="K280" s="24">
        <v>463680</v>
      </c>
      <c r="L280" s="24">
        <v>1040320</v>
      </c>
      <c r="M280" s="29"/>
      <c r="N280" s="24">
        <f t="shared" si="4"/>
        <v>1040320</v>
      </c>
      <c r="O280" s="29"/>
    </row>
    <row r="281" spans="1:15">
      <c r="A281" s="23" t="s">
        <v>401</v>
      </c>
      <c r="B281" s="23" t="s">
        <v>403</v>
      </c>
      <c r="C281" s="23" t="s">
        <v>405</v>
      </c>
      <c r="D281" s="23" t="s">
        <v>460</v>
      </c>
      <c r="E281" s="23" t="s">
        <v>72</v>
      </c>
      <c r="F281" s="23" t="s">
        <v>74</v>
      </c>
      <c r="G281" s="23" t="s">
        <v>79</v>
      </c>
      <c r="H281" s="23" t="s">
        <v>520</v>
      </c>
      <c r="I281" s="24">
        <v>2773000</v>
      </c>
      <c r="J281" s="24">
        <v>654120</v>
      </c>
      <c r="K281" s="24">
        <v>654120</v>
      </c>
      <c r="L281" s="24">
        <v>2118880</v>
      </c>
      <c r="M281" s="29"/>
      <c r="N281" s="24">
        <f t="shared" si="4"/>
        <v>2118880</v>
      </c>
      <c r="O281" s="29"/>
    </row>
    <row r="282" spans="1:15">
      <c r="A282" s="23" t="s">
        <v>401</v>
      </c>
      <c r="B282" s="23" t="s">
        <v>403</v>
      </c>
      <c r="C282" s="23" t="s">
        <v>405</v>
      </c>
      <c r="D282" s="23" t="s">
        <v>460</v>
      </c>
      <c r="E282" s="23" t="s">
        <v>72</v>
      </c>
      <c r="F282" s="23" t="s">
        <v>74</v>
      </c>
      <c r="G282" s="23" t="s">
        <v>79</v>
      </c>
      <c r="H282" s="23" t="s">
        <v>521</v>
      </c>
      <c r="I282" s="24">
        <v>7270000</v>
      </c>
      <c r="J282" s="24">
        <v>1949700</v>
      </c>
      <c r="K282" s="24">
        <v>1949700</v>
      </c>
      <c r="L282" s="24">
        <v>5320300</v>
      </c>
      <c r="M282" s="29"/>
      <c r="N282" s="24">
        <f t="shared" si="4"/>
        <v>5320300</v>
      </c>
      <c r="O282" s="29"/>
    </row>
    <row r="283" spans="1:15">
      <c r="A283" s="23" t="s">
        <v>401</v>
      </c>
      <c r="B283" s="23" t="s">
        <v>403</v>
      </c>
      <c r="C283" s="23" t="s">
        <v>405</v>
      </c>
      <c r="D283" s="23" t="s">
        <v>460</v>
      </c>
      <c r="E283" s="23" t="s">
        <v>72</v>
      </c>
      <c r="F283" s="23" t="s">
        <v>74</v>
      </c>
      <c r="G283" s="23" t="s">
        <v>79</v>
      </c>
      <c r="H283" s="23" t="s">
        <v>522</v>
      </c>
      <c r="I283" s="24">
        <v>3729000</v>
      </c>
      <c r="J283" s="24">
        <v>1225440</v>
      </c>
      <c r="K283" s="24">
        <v>1225440</v>
      </c>
      <c r="L283" s="24">
        <v>2503560</v>
      </c>
      <c r="M283" s="29"/>
      <c r="N283" s="24">
        <f t="shared" si="4"/>
        <v>2503560</v>
      </c>
      <c r="O283" s="29"/>
    </row>
    <row r="284" spans="1:15">
      <c r="A284" s="23" t="s">
        <v>401</v>
      </c>
      <c r="B284" s="23" t="s">
        <v>403</v>
      </c>
      <c r="C284" s="23" t="s">
        <v>405</v>
      </c>
      <c r="D284" s="23" t="s">
        <v>460</v>
      </c>
      <c r="E284" s="23" t="s">
        <v>72</v>
      </c>
      <c r="F284" s="23" t="s">
        <v>74</v>
      </c>
      <c r="G284" s="23" t="s">
        <v>79</v>
      </c>
      <c r="H284" s="23" t="s">
        <v>523</v>
      </c>
      <c r="I284" s="24">
        <v>1548000</v>
      </c>
      <c r="J284" s="24">
        <v>429120</v>
      </c>
      <c r="K284" s="24">
        <v>429120</v>
      </c>
      <c r="L284" s="24">
        <v>1118880</v>
      </c>
      <c r="M284" s="29"/>
      <c r="N284" s="24">
        <f t="shared" si="4"/>
        <v>1118880</v>
      </c>
      <c r="O284" s="29"/>
    </row>
    <row r="285" spans="1:15">
      <c r="A285" s="23" t="s">
        <v>401</v>
      </c>
      <c r="B285" s="23" t="s">
        <v>403</v>
      </c>
      <c r="C285" s="23" t="s">
        <v>405</v>
      </c>
      <c r="D285" s="23" t="s">
        <v>524</v>
      </c>
      <c r="E285" s="23" t="s">
        <v>72</v>
      </c>
      <c r="F285" s="23" t="s">
        <v>74</v>
      </c>
      <c r="G285" s="23" t="s">
        <v>76</v>
      </c>
      <c r="H285" s="23" t="s">
        <v>525</v>
      </c>
      <c r="I285" s="24">
        <v>87000</v>
      </c>
      <c r="J285" s="24">
        <v>0</v>
      </c>
      <c r="K285" s="24">
        <v>0</v>
      </c>
      <c r="L285" s="24">
        <v>87000</v>
      </c>
      <c r="M285" s="29"/>
      <c r="N285" s="24">
        <f t="shared" si="4"/>
        <v>87000</v>
      </c>
      <c r="O285" s="29"/>
    </row>
    <row r="286" spans="1:15">
      <c r="A286" s="23" t="s">
        <v>401</v>
      </c>
      <c r="B286" s="23" t="s">
        <v>403</v>
      </c>
      <c r="C286" s="23" t="s">
        <v>405</v>
      </c>
      <c r="D286" s="23" t="s">
        <v>524</v>
      </c>
      <c r="E286" s="23" t="s">
        <v>72</v>
      </c>
      <c r="F286" s="23" t="s">
        <v>74</v>
      </c>
      <c r="G286" s="23" t="s">
        <v>76</v>
      </c>
      <c r="H286" s="23" t="s">
        <v>526</v>
      </c>
      <c r="I286" s="24">
        <v>104000</v>
      </c>
      <c r="J286" s="24">
        <v>0</v>
      </c>
      <c r="K286" s="24">
        <v>0</v>
      </c>
      <c r="L286" s="24">
        <v>104000</v>
      </c>
      <c r="M286" s="29"/>
      <c r="N286" s="24">
        <f t="shared" si="4"/>
        <v>104000</v>
      </c>
      <c r="O286" s="29"/>
    </row>
    <row r="287" spans="1:15">
      <c r="A287" s="23" t="s">
        <v>401</v>
      </c>
      <c r="B287" s="23" t="s">
        <v>403</v>
      </c>
      <c r="C287" s="23" t="s">
        <v>405</v>
      </c>
      <c r="D287" s="23" t="s">
        <v>524</v>
      </c>
      <c r="E287" s="23" t="s">
        <v>72</v>
      </c>
      <c r="F287" s="23" t="s">
        <v>74</v>
      </c>
      <c r="G287" s="23" t="s">
        <v>76</v>
      </c>
      <c r="H287" s="23" t="s">
        <v>527</v>
      </c>
      <c r="I287" s="24">
        <v>183000</v>
      </c>
      <c r="J287" s="24">
        <v>0</v>
      </c>
      <c r="K287" s="24">
        <v>0</v>
      </c>
      <c r="L287" s="24">
        <v>183000</v>
      </c>
      <c r="M287" s="29"/>
      <c r="N287" s="24">
        <f t="shared" si="4"/>
        <v>183000</v>
      </c>
      <c r="O287" s="29"/>
    </row>
    <row r="288" spans="1:15">
      <c r="A288" s="23" t="s">
        <v>401</v>
      </c>
      <c r="B288" s="23" t="s">
        <v>403</v>
      </c>
      <c r="C288" s="23" t="s">
        <v>405</v>
      </c>
      <c r="D288" s="23" t="s">
        <v>524</v>
      </c>
      <c r="E288" s="23" t="s">
        <v>72</v>
      </c>
      <c r="F288" s="23" t="s">
        <v>74</v>
      </c>
      <c r="G288" s="23" t="s">
        <v>76</v>
      </c>
      <c r="H288" s="23" t="s">
        <v>528</v>
      </c>
      <c r="I288" s="24">
        <v>52000</v>
      </c>
      <c r="J288" s="24">
        <v>0</v>
      </c>
      <c r="K288" s="24">
        <v>0</v>
      </c>
      <c r="L288" s="24">
        <v>52000</v>
      </c>
      <c r="M288" s="29"/>
      <c r="N288" s="24">
        <f t="shared" si="4"/>
        <v>52000</v>
      </c>
      <c r="O288" s="29"/>
    </row>
    <row r="289" spans="1:15">
      <c r="A289" s="23" t="s">
        <v>401</v>
      </c>
      <c r="B289" s="23" t="s">
        <v>403</v>
      </c>
      <c r="C289" s="23" t="s">
        <v>405</v>
      </c>
      <c r="D289" s="23" t="s">
        <v>524</v>
      </c>
      <c r="E289" s="23" t="s">
        <v>72</v>
      </c>
      <c r="F289" s="23" t="s">
        <v>74</v>
      </c>
      <c r="G289" s="23" t="s">
        <v>76</v>
      </c>
      <c r="H289" s="23" t="s">
        <v>529</v>
      </c>
      <c r="I289" s="24">
        <v>89000</v>
      </c>
      <c r="J289" s="24">
        <v>0</v>
      </c>
      <c r="K289" s="24">
        <v>0</v>
      </c>
      <c r="L289" s="24">
        <v>89000</v>
      </c>
      <c r="M289" s="29"/>
      <c r="N289" s="24">
        <f t="shared" si="4"/>
        <v>89000</v>
      </c>
      <c r="O289" s="29"/>
    </row>
    <row r="290" spans="1:15">
      <c r="A290" s="23" t="s">
        <v>401</v>
      </c>
      <c r="B290" s="23" t="s">
        <v>403</v>
      </c>
      <c r="C290" s="23" t="s">
        <v>405</v>
      </c>
      <c r="D290" s="23" t="s">
        <v>524</v>
      </c>
      <c r="E290" s="23" t="s">
        <v>72</v>
      </c>
      <c r="F290" s="23" t="s">
        <v>74</v>
      </c>
      <c r="G290" s="23" t="s">
        <v>76</v>
      </c>
      <c r="H290" s="23" t="s">
        <v>530</v>
      </c>
      <c r="I290" s="24">
        <v>67000</v>
      </c>
      <c r="J290" s="24">
        <v>0</v>
      </c>
      <c r="K290" s="24">
        <v>0</v>
      </c>
      <c r="L290" s="24">
        <v>67000</v>
      </c>
      <c r="M290" s="29"/>
      <c r="N290" s="24">
        <f t="shared" si="4"/>
        <v>67000</v>
      </c>
      <c r="O290" s="29"/>
    </row>
    <row r="291" spans="1:15">
      <c r="A291" s="23" t="s">
        <v>401</v>
      </c>
      <c r="B291" s="23" t="s">
        <v>403</v>
      </c>
      <c r="C291" s="23" t="s">
        <v>405</v>
      </c>
      <c r="D291" s="23" t="s">
        <v>524</v>
      </c>
      <c r="E291" s="23" t="s">
        <v>72</v>
      </c>
      <c r="F291" s="23" t="s">
        <v>74</v>
      </c>
      <c r="G291" s="23" t="s">
        <v>76</v>
      </c>
      <c r="H291" s="23" t="s">
        <v>531</v>
      </c>
      <c r="I291" s="24">
        <v>158000</v>
      </c>
      <c r="J291" s="24">
        <v>0</v>
      </c>
      <c r="K291" s="24">
        <v>0</v>
      </c>
      <c r="L291" s="24">
        <v>158000</v>
      </c>
      <c r="M291" s="29"/>
      <c r="N291" s="24">
        <f t="shared" si="4"/>
        <v>158000</v>
      </c>
      <c r="O291" s="29"/>
    </row>
    <row r="292" spans="1:15">
      <c r="A292" s="23" t="s">
        <v>401</v>
      </c>
      <c r="B292" s="23" t="s">
        <v>403</v>
      </c>
      <c r="C292" s="23" t="s">
        <v>405</v>
      </c>
      <c r="D292" s="23" t="s">
        <v>524</v>
      </c>
      <c r="E292" s="23" t="s">
        <v>72</v>
      </c>
      <c r="F292" s="23" t="s">
        <v>74</v>
      </c>
      <c r="G292" s="23" t="s">
        <v>76</v>
      </c>
      <c r="H292" s="23" t="s">
        <v>532</v>
      </c>
      <c r="I292" s="24">
        <v>148000</v>
      </c>
      <c r="J292" s="24">
        <v>0</v>
      </c>
      <c r="K292" s="24">
        <v>0</v>
      </c>
      <c r="L292" s="24">
        <v>148000</v>
      </c>
      <c r="M292" s="29"/>
      <c r="N292" s="24">
        <f t="shared" si="4"/>
        <v>148000</v>
      </c>
      <c r="O292" s="29"/>
    </row>
    <row r="293" spans="1:15">
      <c r="A293" s="23" t="s">
        <v>401</v>
      </c>
      <c r="B293" s="23" t="s">
        <v>403</v>
      </c>
      <c r="C293" s="23" t="s">
        <v>405</v>
      </c>
      <c r="D293" s="23" t="s">
        <v>524</v>
      </c>
      <c r="E293" s="23" t="s">
        <v>72</v>
      </c>
      <c r="F293" s="23" t="s">
        <v>74</v>
      </c>
      <c r="G293" s="23" t="s">
        <v>76</v>
      </c>
      <c r="H293" s="23" t="s">
        <v>533</v>
      </c>
      <c r="I293" s="24">
        <v>78000</v>
      </c>
      <c r="J293" s="24">
        <v>0</v>
      </c>
      <c r="K293" s="24">
        <v>0</v>
      </c>
      <c r="L293" s="24">
        <v>78000</v>
      </c>
      <c r="M293" s="29"/>
      <c r="N293" s="24">
        <f t="shared" si="4"/>
        <v>78000</v>
      </c>
      <c r="O293" s="29"/>
    </row>
    <row r="294" spans="1:15">
      <c r="A294" s="23" t="s">
        <v>401</v>
      </c>
      <c r="B294" s="23" t="s">
        <v>403</v>
      </c>
      <c r="C294" s="23" t="s">
        <v>405</v>
      </c>
      <c r="D294" s="23" t="s">
        <v>524</v>
      </c>
      <c r="E294" s="23" t="s">
        <v>72</v>
      </c>
      <c r="F294" s="23" t="s">
        <v>74</v>
      </c>
      <c r="G294" s="23" t="s">
        <v>76</v>
      </c>
      <c r="H294" s="23" t="s">
        <v>534</v>
      </c>
      <c r="I294" s="24">
        <v>83000</v>
      </c>
      <c r="J294" s="24">
        <v>0</v>
      </c>
      <c r="K294" s="24">
        <v>0</v>
      </c>
      <c r="L294" s="24">
        <v>83000</v>
      </c>
      <c r="M294" s="29"/>
      <c r="N294" s="24">
        <f t="shared" si="4"/>
        <v>83000</v>
      </c>
      <c r="O294" s="29"/>
    </row>
    <row r="295" spans="1:15">
      <c r="A295" s="23" t="s">
        <v>401</v>
      </c>
      <c r="B295" s="23" t="s">
        <v>403</v>
      </c>
      <c r="C295" s="23" t="s">
        <v>405</v>
      </c>
      <c r="D295" s="23" t="s">
        <v>524</v>
      </c>
      <c r="E295" s="23" t="s">
        <v>72</v>
      </c>
      <c r="F295" s="23" t="s">
        <v>74</v>
      </c>
      <c r="G295" s="23" t="s">
        <v>76</v>
      </c>
      <c r="H295" s="23" t="s">
        <v>535</v>
      </c>
      <c r="I295" s="24">
        <v>100000</v>
      </c>
      <c r="J295" s="24">
        <v>0</v>
      </c>
      <c r="K295" s="24">
        <v>0</v>
      </c>
      <c r="L295" s="24">
        <v>100000</v>
      </c>
      <c r="M295" s="29"/>
      <c r="N295" s="24">
        <f t="shared" si="4"/>
        <v>100000</v>
      </c>
      <c r="O295" s="29"/>
    </row>
    <row r="296" spans="1:15">
      <c r="A296" s="23" t="s">
        <v>401</v>
      </c>
      <c r="B296" s="23" t="s">
        <v>403</v>
      </c>
      <c r="C296" s="23" t="s">
        <v>405</v>
      </c>
      <c r="D296" s="23" t="s">
        <v>524</v>
      </c>
      <c r="E296" s="23" t="s">
        <v>72</v>
      </c>
      <c r="F296" s="23" t="s">
        <v>74</v>
      </c>
      <c r="G296" s="23" t="s">
        <v>76</v>
      </c>
      <c r="H296" s="23" t="s">
        <v>536</v>
      </c>
      <c r="I296" s="24">
        <v>182000</v>
      </c>
      <c r="J296" s="24">
        <v>0</v>
      </c>
      <c r="K296" s="24">
        <v>0</v>
      </c>
      <c r="L296" s="24">
        <v>182000</v>
      </c>
      <c r="M296" s="29"/>
      <c r="N296" s="24">
        <f t="shared" si="4"/>
        <v>182000</v>
      </c>
      <c r="O296" s="29"/>
    </row>
    <row r="297" spans="1:15">
      <c r="A297" s="23" t="s">
        <v>401</v>
      </c>
      <c r="B297" s="23" t="s">
        <v>403</v>
      </c>
      <c r="C297" s="23" t="s">
        <v>405</v>
      </c>
      <c r="D297" s="23" t="s">
        <v>524</v>
      </c>
      <c r="E297" s="23" t="s">
        <v>72</v>
      </c>
      <c r="F297" s="23" t="s">
        <v>74</v>
      </c>
      <c r="G297" s="23" t="s">
        <v>76</v>
      </c>
      <c r="H297" s="23" t="s">
        <v>537</v>
      </c>
      <c r="I297" s="24">
        <v>96000</v>
      </c>
      <c r="J297" s="24">
        <v>0</v>
      </c>
      <c r="K297" s="24">
        <v>0</v>
      </c>
      <c r="L297" s="24">
        <v>96000</v>
      </c>
      <c r="M297" s="29"/>
      <c r="N297" s="24">
        <f t="shared" si="4"/>
        <v>96000</v>
      </c>
      <c r="O297" s="29"/>
    </row>
    <row r="298" spans="1:15">
      <c r="A298" s="23" t="s">
        <v>401</v>
      </c>
      <c r="B298" s="23" t="s">
        <v>403</v>
      </c>
      <c r="C298" s="23" t="s">
        <v>405</v>
      </c>
      <c r="D298" s="23" t="s">
        <v>524</v>
      </c>
      <c r="E298" s="23" t="s">
        <v>72</v>
      </c>
      <c r="F298" s="23" t="s">
        <v>74</v>
      </c>
      <c r="G298" s="23" t="s">
        <v>76</v>
      </c>
      <c r="H298" s="23" t="s">
        <v>538</v>
      </c>
      <c r="I298" s="24">
        <v>209000</v>
      </c>
      <c r="J298" s="24">
        <v>0</v>
      </c>
      <c r="K298" s="24">
        <v>0</v>
      </c>
      <c r="L298" s="24">
        <v>209000</v>
      </c>
      <c r="M298" s="29"/>
      <c r="N298" s="24">
        <f t="shared" si="4"/>
        <v>209000</v>
      </c>
      <c r="O298" s="29"/>
    </row>
    <row r="299" spans="1:15">
      <c r="A299" s="23" t="s">
        <v>401</v>
      </c>
      <c r="B299" s="23" t="s">
        <v>403</v>
      </c>
      <c r="C299" s="23" t="s">
        <v>405</v>
      </c>
      <c r="D299" s="23" t="s">
        <v>524</v>
      </c>
      <c r="E299" s="23" t="s">
        <v>72</v>
      </c>
      <c r="F299" s="23" t="s">
        <v>74</v>
      </c>
      <c r="G299" s="23" t="s">
        <v>76</v>
      </c>
      <c r="H299" s="23" t="s">
        <v>539</v>
      </c>
      <c r="I299" s="24">
        <v>77000</v>
      </c>
      <c r="J299" s="24">
        <v>0</v>
      </c>
      <c r="K299" s="24">
        <v>0</v>
      </c>
      <c r="L299" s="24">
        <v>77000</v>
      </c>
      <c r="M299" s="29"/>
      <c r="N299" s="24">
        <f t="shared" si="4"/>
        <v>77000</v>
      </c>
      <c r="O299" s="29"/>
    </row>
    <row r="300" spans="1:15">
      <c r="A300" s="23" t="s">
        <v>401</v>
      </c>
      <c r="B300" s="23" t="s">
        <v>403</v>
      </c>
      <c r="C300" s="23" t="s">
        <v>405</v>
      </c>
      <c r="D300" s="23" t="s">
        <v>524</v>
      </c>
      <c r="E300" s="23" t="s">
        <v>72</v>
      </c>
      <c r="F300" s="23" t="s">
        <v>74</v>
      </c>
      <c r="G300" s="23" t="s">
        <v>76</v>
      </c>
      <c r="H300" s="23" t="s">
        <v>540</v>
      </c>
      <c r="I300" s="24">
        <v>86000</v>
      </c>
      <c r="J300" s="24">
        <v>0</v>
      </c>
      <c r="K300" s="24">
        <v>0</v>
      </c>
      <c r="L300" s="24">
        <v>86000</v>
      </c>
      <c r="M300" s="29"/>
      <c r="N300" s="24">
        <f t="shared" si="4"/>
        <v>86000</v>
      </c>
      <c r="O300" s="29"/>
    </row>
    <row r="301" spans="1:15">
      <c r="A301" s="23" t="s">
        <v>401</v>
      </c>
      <c r="B301" s="23" t="s">
        <v>403</v>
      </c>
      <c r="C301" s="23" t="s">
        <v>405</v>
      </c>
      <c r="D301" s="23" t="s">
        <v>524</v>
      </c>
      <c r="E301" s="23" t="s">
        <v>72</v>
      </c>
      <c r="F301" s="23" t="s">
        <v>74</v>
      </c>
      <c r="G301" s="23" t="s">
        <v>76</v>
      </c>
      <c r="H301" s="23" t="s">
        <v>541</v>
      </c>
      <c r="I301" s="24">
        <v>100000</v>
      </c>
      <c r="J301" s="24">
        <v>0</v>
      </c>
      <c r="K301" s="24">
        <v>0</v>
      </c>
      <c r="L301" s="24">
        <v>100000</v>
      </c>
      <c r="M301" s="29"/>
      <c r="N301" s="24">
        <f t="shared" si="4"/>
        <v>100000</v>
      </c>
      <c r="O301" s="29"/>
    </row>
    <row r="302" spans="1:15">
      <c r="A302" s="23" t="s">
        <v>401</v>
      </c>
      <c r="B302" s="23" t="s">
        <v>403</v>
      </c>
      <c r="C302" s="23" t="s">
        <v>405</v>
      </c>
      <c r="D302" s="23" t="s">
        <v>524</v>
      </c>
      <c r="E302" s="23" t="s">
        <v>72</v>
      </c>
      <c r="F302" s="23" t="s">
        <v>74</v>
      </c>
      <c r="G302" s="23" t="s">
        <v>76</v>
      </c>
      <c r="H302" s="23" t="s">
        <v>542</v>
      </c>
      <c r="I302" s="24">
        <v>113000</v>
      </c>
      <c r="J302" s="24">
        <v>0</v>
      </c>
      <c r="K302" s="24">
        <v>0</v>
      </c>
      <c r="L302" s="24">
        <v>113000</v>
      </c>
      <c r="M302" s="29"/>
      <c r="N302" s="24">
        <f t="shared" si="4"/>
        <v>113000</v>
      </c>
      <c r="O302" s="29"/>
    </row>
    <row r="303" spans="1:15">
      <c r="A303" s="23" t="s">
        <v>401</v>
      </c>
      <c r="B303" s="23" t="s">
        <v>403</v>
      </c>
      <c r="C303" s="23" t="s">
        <v>405</v>
      </c>
      <c r="D303" s="23" t="s">
        <v>524</v>
      </c>
      <c r="E303" s="23" t="s">
        <v>72</v>
      </c>
      <c r="F303" s="23" t="s">
        <v>74</v>
      </c>
      <c r="G303" s="23" t="s">
        <v>76</v>
      </c>
      <c r="H303" s="23" t="s">
        <v>543</v>
      </c>
      <c r="I303" s="24">
        <v>118000</v>
      </c>
      <c r="J303" s="24">
        <v>0</v>
      </c>
      <c r="K303" s="24">
        <v>0</v>
      </c>
      <c r="L303" s="24">
        <v>118000</v>
      </c>
      <c r="M303" s="29"/>
      <c r="N303" s="24">
        <f t="shared" si="4"/>
        <v>118000</v>
      </c>
      <c r="O303" s="29"/>
    </row>
    <row r="304" spans="1:15">
      <c r="A304" s="23" t="s">
        <v>401</v>
      </c>
      <c r="B304" s="23" t="s">
        <v>403</v>
      </c>
      <c r="C304" s="23" t="s">
        <v>405</v>
      </c>
      <c r="D304" s="23" t="s">
        <v>524</v>
      </c>
      <c r="E304" s="23" t="s">
        <v>72</v>
      </c>
      <c r="F304" s="23" t="s">
        <v>74</v>
      </c>
      <c r="G304" s="23" t="s">
        <v>76</v>
      </c>
      <c r="H304" s="23" t="s">
        <v>544</v>
      </c>
      <c r="I304" s="24">
        <v>68000</v>
      </c>
      <c r="J304" s="24">
        <v>0</v>
      </c>
      <c r="K304" s="24">
        <v>0</v>
      </c>
      <c r="L304" s="24">
        <v>68000</v>
      </c>
      <c r="M304" s="29"/>
      <c r="N304" s="24">
        <f t="shared" si="4"/>
        <v>68000</v>
      </c>
      <c r="O304" s="29"/>
    </row>
    <row r="305" spans="1:15">
      <c r="A305" s="23" t="s">
        <v>401</v>
      </c>
      <c r="B305" s="23" t="s">
        <v>403</v>
      </c>
      <c r="C305" s="23" t="s">
        <v>405</v>
      </c>
      <c r="D305" s="23" t="s">
        <v>524</v>
      </c>
      <c r="E305" s="23" t="s">
        <v>72</v>
      </c>
      <c r="F305" s="23" t="s">
        <v>74</v>
      </c>
      <c r="G305" s="23" t="s">
        <v>76</v>
      </c>
      <c r="H305" s="23" t="s">
        <v>545</v>
      </c>
      <c r="I305" s="24">
        <v>162000</v>
      </c>
      <c r="J305" s="24">
        <v>0</v>
      </c>
      <c r="K305" s="24">
        <v>0</v>
      </c>
      <c r="L305" s="24">
        <v>162000</v>
      </c>
      <c r="M305" s="29"/>
      <c r="N305" s="24">
        <f t="shared" si="4"/>
        <v>162000</v>
      </c>
      <c r="O305" s="29"/>
    </row>
    <row r="306" spans="1:15">
      <c r="A306" s="23" t="s">
        <v>401</v>
      </c>
      <c r="B306" s="23" t="s">
        <v>403</v>
      </c>
      <c r="C306" s="23" t="s">
        <v>405</v>
      </c>
      <c r="D306" s="23" t="s">
        <v>524</v>
      </c>
      <c r="E306" s="23" t="s">
        <v>72</v>
      </c>
      <c r="F306" s="23" t="s">
        <v>74</v>
      </c>
      <c r="G306" s="23" t="s">
        <v>76</v>
      </c>
      <c r="H306" s="23" t="s">
        <v>546</v>
      </c>
      <c r="I306" s="24">
        <v>80000</v>
      </c>
      <c r="J306" s="24">
        <v>0</v>
      </c>
      <c r="K306" s="24">
        <v>0</v>
      </c>
      <c r="L306" s="24">
        <v>80000</v>
      </c>
      <c r="M306" s="29"/>
      <c r="N306" s="24">
        <f t="shared" si="4"/>
        <v>80000</v>
      </c>
      <c r="O306" s="29"/>
    </row>
    <row r="307" spans="1:15">
      <c r="A307" s="23" t="s">
        <v>401</v>
      </c>
      <c r="B307" s="23" t="s">
        <v>403</v>
      </c>
      <c r="C307" s="23" t="s">
        <v>405</v>
      </c>
      <c r="D307" s="23" t="s">
        <v>524</v>
      </c>
      <c r="E307" s="23" t="s">
        <v>72</v>
      </c>
      <c r="F307" s="23" t="s">
        <v>74</v>
      </c>
      <c r="G307" s="23" t="s">
        <v>76</v>
      </c>
      <c r="H307" s="23" t="s">
        <v>547</v>
      </c>
      <c r="I307" s="24">
        <v>191000</v>
      </c>
      <c r="J307" s="24">
        <v>0</v>
      </c>
      <c r="K307" s="24">
        <v>0</v>
      </c>
      <c r="L307" s="24">
        <v>191000</v>
      </c>
      <c r="M307" s="29"/>
      <c r="N307" s="24">
        <f t="shared" si="4"/>
        <v>191000</v>
      </c>
      <c r="O307" s="29"/>
    </row>
    <row r="308" spans="1:15">
      <c r="A308" s="23" t="s">
        <v>401</v>
      </c>
      <c r="B308" s="23" t="s">
        <v>403</v>
      </c>
      <c r="C308" s="23" t="s">
        <v>405</v>
      </c>
      <c r="D308" s="23" t="s">
        <v>524</v>
      </c>
      <c r="E308" s="23" t="s">
        <v>72</v>
      </c>
      <c r="F308" s="23" t="s">
        <v>74</v>
      </c>
      <c r="G308" s="23" t="s">
        <v>76</v>
      </c>
      <c r="H308" s="23" t="s">
        <v>548</v>
      </c>
      <c r="I308" s="24">
        <v>86000</v>
      </c>
      <c r="J308" s="24">
        <v>0</v>
      </c>
      <c r="K308" s="24">
        <v>0</v>
      </c>
      <c r="L308" s="24">
        <v>86000</v>
      </c>
      <c r="M308" s="29"/>
      <c r="N308" s="24">
        <f t="shared" si="4"/>
        <v>86000</v>
      </c>
      <c r="O308" s="29"/>
    </row>
    <row r="309" spans="1:15">
      <c r="A309" s="23" t="s">
        <v>401</v>
      </c>
      <c r="B309" s="23" t="s">
        <v>403</v>
      </c>
      <c r="C309" s="23" t="s">
        <v>405</v>
      </c>
      <c r="D309" s="23" t="s">
        <v>524</v>
      </c>
      <c r="E309" s="23" t="s">
        <v>72</v>
      </c>
      <c r="F309" s="23" t="s">
        <v>74</v>
      </c>
      <c r="G309" s="23" t="s">
        <v>76</v>
      </c>
      <c r="H309" s="23" t="s">
        <v>549</v>
      </c>
      <c r="I309" s="24">
        <v>75000</v>
      </c>
      <c r="J309" s="24">
        <v>0</v>
      </c>
      <c r="K309" s="24">
        <v>0</v>
      </c>
      <c r="L309" s="24">
        <v>75000</v>
      </c>
      <c r="M309" s="29"/>
      <c r="N309" s="24">
        <f t="shared" si="4"/>
        <v>75000</v>
      </c>
      <c r="O309" s="29"/>
    </row>
    <row r="310" spans="1:15">
      <c r="A310" s="23" t="s">
        <v>401</v>
      </c>
      <c r="B310" s="23" t="s">
        <v>403</v>
      </c>
      <c r="C310" s="23" t="s">
        <v>405</v>
      </c>
      <c r="D310" s="23" t="s">
        <v>524</v>
      </c>
      <c r="E310" s="23" t="s">
        <v>72</v>
      </c>
      <c r="F310" s="23" t="s">
        <v>74</v>
      </c>
      <c r="G310" s="23" t="s">
        <v>76</v>
      </c>
      <c r="H310" s="23" t="s">
        <v>550</v>
      </c>
      <c r="I310" s="24">
        <v>139000</v>
      </c>
      <c r="J310" s="24">
        <v>0</v>
      </c>
      <c r="K310" s="24">
        <v>0</v>
      </c>
      <c r="L310" s="24">
        <v>139000</v>
      </c>
      <c r="M310" s="29"/>
      <c r="N310" s="24">
        <f t="shared" si="4"/>
        <v>139000</v>
      </c>
      <c r="O310" s="29"/>
    </row>
    <row r="311" spans="1:15">
      <c r="A311" s="23" t="s">
        <v>401</v>
      </c>
      <c r="B311" s="23" t="s">
        <v>403</v>
      </c>
      <c r="C311" s="23" t="s">
        <v>405</v>
      </c>
      <c r="D311" s="23" t="s">
        <v>524</v>
      </c>
      <c r="E311" s="23" t="s">
        <v>72</v>
      </c>
      <c r="F311" s="23" t="s">
        <v>74</v>
      </c>
      <c r="G311" s="23" t="s">
        <v>76</v>
      </c>
      <c r="H311" s="23" t="s">
        <v>551</v>
      </c>
      <c r="I311" s="24">
        <v>364000</v>
      </c>
      <c r="J311" s="24">
        <v>0</v>
      </c>
      <c r="K311" s="24">
        <v>0</v>
      </c>
      <c r="L311" s="24">
        <v>364000</v>
      </c>
      <c r="M311" s="29"/>
      <c r="N311" s="24">
        <f t="shared" si="4"/>
        <v>364000</v>
      </c>
      <c r="O311" s="29"/>
    </row>
    <row r="312" spans="1:15">
      <c r="A312" s="23" t="s">
        <v>401</v>
      </c>
      <c r="B312" s="23" t="s">
        <v>403</v>
      </c>
      <c r="C312" s="23" t="s">
        <v>405</v>
      </c>
      <c r="D312" s="23" t="s">
        <v>524</v>
      </c>
      <c r="E312" s="23" t="s">
        <v>72</v>
      </c>
      <c r="F312" s="23" t="s">
        <v>74</v>
      </c>
      <c r="G312" s="23" t="s">
        <v>76</v>
      </c>
      <c r="H312" s="23" t="s">
        <v>552</v>
      </c>
      <c r="I312" s="24">
        <v>186000</v>
      </c>
      <c r="J312" s="24">
        <v>0</v>
      </c>
      <c r="K312" s="24">
        <v>0</v>
      </c>
      <c r="L312" s="24">
        <v>186000</v>
      </c>
      <c r="M312" s="29"/>
      <c r="N312" s="24">
        <f t="shared" si="4"/>
        <v>186000</v>
      </c>
      <c r="O312" s="29"/>
    </row>
    <row r="313" spans="1:15">
      <c r="A313" s="23" t="s">
        <v>401</v>
      </c>
      <c r="B313" s="23" t="s">
        <v>403</v>
      </c>
      <c r="C313" s="23" t="s">
        <v>405</v>
      </c>
      <c r="D313" s="23" t="s">
        <v>524</v>
      </c>
      <c r="E313" s="23" t="s">
        <v>72</v>
      </c>
      <c r="F313" s="23" t="s">
        <v>74</v>
      </c>
      <c r="G313" s="23" t="s">
        <v>76</v>
      </c>
      <c r="H313" s="23" t="s">
        <v>553</v>
      </c>
      <c r="I313" s="24">
        <v>77000</v>
      </c>
      <c r="J313" s="24">
        <v>0</v>
      </c>
      <c r="K313" s="24">
        <v>0</v>
      </c>
      <c r="L313" s="24">
        <v>77000</v>
      </c>
      <c r="M313" s="29"/>
      <c r="N313" s="24">
        <f t="shared" si="4"/>
        <v>77000</v>
      </c>
      <c r="O313" s="29"/>
    </row>
    <row r="314" spans="1:15">
      <c r="A314" s="23" t="s">
        <v>401</v>
      </c>
      <c r="B314" s="23" t="s">
        <v>403</v>
      </c>
      <c r="C314" s="23" t="s">
        <v>405</v>
      </c>
      <c r="D314" s="23" t="s">
        <v>524</v>
      </c>
      <c r="E314" s="23" t="s">
        <v>72</v>
      </c>
      <c r="F314" s="23" t="s">
        <v>74</v>
      </c>
      <c r="G314" s="23" t="s">
        <v>79</v>
      </c>
      <c r="H314" s="23" t="s">
        <v>554</v>
      </c>
      <c r="I314" s="24">
        <v>103000</v>
      </c>
      <c r="J314" s="24">
        <v>79130</v>
      </c>
      <c r="K314" s="24">
        <v>79130</v>
      </c>
      <c r="L314" s="24">
        <v>23870</v>
      </c>
      <c r="M314" s="29"/>
      <c r="N314" s="24">
        <f t="shared" si="4"/>
        <v>23870</v>
      </c>
      <c r="O314" s="29"/>
    </row>
    <row r="315" spans="1:15">
      <c r="A315" s="23" t="s">
        <v>401</v>
      </c>
      <c r="B315" s="23" t="s">
        <v>403</v>
      </c>
      <c r="C315" s="23" t="s">
        <v>405</v>
      </c>
      <c r="D315" s="23" t="s">
        <v>524</v>
      </c>
      <c r="E315" s="23" t="s">
        <v>72</v>
      </c>
      <c r="F315" s="23" t="s">
        <v>74</v>
      </c>
      <c r="G315" s="23" t="s">
        <v>79</v>
      </c>
      <c r="H315" s="23" t="s">
        <v>555</v>
      </c>
      <c r="I315" s="24">
        <v>185000</v>
      </c>
      <c r="J315" s="24">
        <v>177120</v>
      </c>
      <c r="K315" s="24">
        <v>177120</v>
      </c>
      <c r="L315" s="24">
        <v>7880</v>
      </c>
      <c r="M315" s="29"/>
      <c r="N315" s="24">
        <f t="shared" si="4"/>
        <v>7880</v>
      </c>
      <c r="O315" s="29"/>
    </row>
    <row r="316" spans="1:15">
      <c r="A316" s="23" t="s">
        <v>401</v>
      </c>
      <c r="B316" s="23" t="s">
        <v>403</v>
      </c>
      <c r="C316" s="23" t="s">
        <v>405</v>
      </c>
      <c r="D316" s="23" t="s">
        <v>524</v>
      </c>
      <c r="E316" s="23" t="s">
        <v>72</v>
      </c>
      <c r="F316" s="23" t="s">
        <v>74</v>
      </c>
      <c r="G316" s="23" t="s">
        <v>79</v>
      </c>
      <c r="H316" s="23" t="s">
        <v>556</v>
      </c>
      <c r="I316" s="24">
        <v>74000</v>
      </c>
      <c r="J316" s="24">
        <v>44690</v>
      </c>
      <c r="K316" s="24">
        <v>44690</v>
      </c>
      <c r="L316" s="24">
        <v>29310</v>
      </c>
      <c r="M316" s="29"/>
      <c r="N316" s="24">
        <f t="shared" si="4"/>
        <v>29310</v>
      </c>
      <c r="O316" s="29"/>
    </row>
    <row r="317" spans="1:15">
      <c r="A317" s="23" t="s">
        <v>401</v>
      </c>
      <c r="B317" s="23" t="s">
        <v>403</v>
      </c>
      <c r="C317" s="23" t="s">
        <v>405</v>
      </c>
      <c r="D317" s="23" t="s">
        <v>524</v>
      </c>
      <c r="E317" s="23" t="s">
        <v>72</v>
      </c>
      <c r="F317" s="23" t="s">
        <v>74</v>
      </c>
      <c r="G317" s="23" t="s">
        <v>79</v>
      </c>
      <c r="H317" s="23" t="s">
        <v>557</v>
      </c>
      <c r="I317" s="24">
        <v>105000</v>
      </c>
      <c r="J317" s="24">
        <v>104960</v>
      </c>
      <c r="K317" s="24">
        <v>104960</v>
      </c>
      <c r="L317" s="24">
        <v>40</v>
      </c>
      <c r="M317" s="29"/>
      <c r="N317" s="24">
        <f t="shared" si="4"/>
        <v>40</v>
      </c>
      <c r="O317" s="29"/>
    </row>
    <row r="318" spans="1:15">
      <c r="A318" s="23" t="s">
        <v>401</v>
      </c>
      <c r="B318" s="23" t="s">
        <v>403</v>
      </c>
      <c r="C318" s="23" t="s">
        <v>405</v>
      </c>
      <c r="D318" s="23" t="s">
        <v>524</v>
      </c>
      <c r="E318" s="23" t="s">
        <v>72</v>
      </c>
      <c r="F318" s="23" t="s">
        <v>74</v>
      </c>
      <c r="G318" s="23" t="s">
        <v>79</v>
      </c>
      <c r="H318" s="23" t="s">
        <v>558</v>
      </c>
      <c r="I318" s="24">
        <v>0</v>
      </c>
      <c r="J318" s="24">
        <v>0</v>
      </c>
      <c r="K318" s="24">
        <v>0</v>
      </c>
      <c r="L318" s="24">
        <v>0</v>
      </c>
      <c r="M318" s="29"/>
      <c r="N318" s="24">
        <f t="shared" si="4"/>
        <v>0</v>
      </c>
      <c r="O318" s="29"/>
    </row>
    <row r="319" spans="1:15">
      <c r="A319" s="23" t="s">
        <v>401</v>
      </c>
      <c r="B319" s="23" t="s">
        <v>403</v>
      </c>
      <c r="C319" s="23" t="s">
        <v>405</v>
      </c>
      <c r="D319" s="23" t="s">
        <v>524</v>
      </c>
      <c r="E319" s="23" t="s">
        <v>72</v>
      </c>
      <c r="F319" s="23" t="s">
        <v>74</v>
      </c>
      <c r="G319" s="23" t="s">
        <v>79</v>
      </c>
      <c r="H319" s="23" t="s">
        <v>559</v>
      </c>
      <c r="I319" s="24">
        <v>197000</v>
      </c>
      <c r="J319" s="24">
        <v>51660</v>
      </c>
      <c r="K319" s="24">
        <v>51660</v>
      </c>
      <c r="L319" s="24">
        <v>145340</v>
      </c>
      <c r="M319" s="29"/>
      <c r="N319" s="24">
        <f t="shared" si="4"/>
        <v>145340</v>
      </c>
      <c r="O319" s="29"/>
    </row>
    <row r="320" spans="1:15">
      <c r="A320" s="23" t="s">
        <v>401</v>
      </c>
      <c r="B320" s="23" t="s">
        <v>403</v>
      </c>
      <c r="C320" s="23" t="s">
        <v>405</v>
      </c>
      <c r="D320" s="23" t="s">
        <v>524</v>
      </c>
      <c r="E320" s="23" t="s">
        <v>72</v>
      </c>
      <c r="F320" s="23" t="s">
        <v>74</v>
      </c>
      <c r="G320" s="23" t="s">
        <v>79</v>
      </c>
      <c r="H320" s="23" t="s">
        <v>560</v>
      </c>
      <c r="I320" s="24">
        <v>129000</v>
      </c>
      <c r="J320" s="24">
        <v>128740</v>
      </c>
      <c r="K320" s="24">
        <v>128740</v>
      </c>
      <c r="L320" s="24">
        <v>260</v>
      </c>
      <c r="M320" s="29"/>
      <c r="N320" s="24">
        <f t="shared" si="4"/>
        <v>260</v>
      </c>
      <c r="O320" s="29"/>
    </row>
    <row r="321" spans="1:15">
      <c r="A321" s="23" t="s">
        <v>401</v>
      </c>
      <c r="B321" s="23" t="s">
        <v>403</v>
      </c>
      <c r="C321" s="23" t="s">
        <v>405</v>
      </c>
      <c r="D321" s="23" t="s">
        <v>524</v>
      </c>
      <c r="E321" s="23" t="s">
        <v>72</v>
      </c>
      <c r="F321" s="23" t="s">
        <v>74</v>
      </c>
      <c r="G321" s="23" t="s">
        <v>79</v>
      </c>
      <c r="H321" s="23" t="s">
        <v>561</v>
      </c>
      <c r="I321" s="24">
        <v>91000</v>
      </c>
      <c r="J321" s="24">
        <v>51660</v>
      </c>
      <c r="K321" s="24">
        <v>51660</v>
      </c>
      <c r="L321" s="24">
        <v>39340</v>
      </c>
      <c r="M321" s="29"/>
      <c r="N321" s="24">
        <f t="shared" si="4"/>
        <v>39340</v>
      </c>
      <c r="O321" s="29"/>
    </row>
    <row r="322" spans="1:15">
      <c r="A322" s="23" t="s">
        <v>401</v>
      </c>
      <c r="B322" s="23" t="s">
        <v>403</v>
      </c>
      <c r="C322" s="23" t="s">
        <v>405</v>
      </c>
      <c r="D322" s="23" t="s">
        <v>524</v>
      </c>
      <c r="E322" s="23" t="s">
        <v>72</v>
      </c>
      <c r="F322" s="23" t="s">
        <v>74</v>
      </c>
      <c r="G322" s="23" t="s">
        <v>79</v>
      </c>
      <c r="H322" s="23" t="s">
        <v>562</v>
      </c>
      <c r="I322" s="24">
        <v>86000</v>
      </c>
      <c r="J322" s="24">
        <v>79200</v>
      </c>
      <c r="K322" s="24">
        <v>79200</v>
      </c>
      <c r="L322" s="24">
        <v>6800</v>
      </c>
      <c r="M322" s="29"/>
      <c r="N322" s="24">
        <f t="shared" si="4"/>
        <v>6800</v>
      </c>
      <c r="O322" s="29"/>
    </row>
    <row r="323" spans="1:15">
      <c r="A323" s="23" t="s">
        <v>401</v>
      </c>
      <c r="B323" s="23" t="s">
        <v>403</v>
      </c>
      <c r="C323" s="23" t="s">
        <v>405</v>
      </c>
      <c r="D323" s="23" t="s">
        <v>524</v>
      </c>
      <c r="E323" s="23" t="s">
        <v>72</v>
      </c>
      <c r="F323" s="23" t="s">
        <v>74</v>
      </c>
      <c r="G323" s="23" t="s">
        <v>79</v>
      </c>
      <c r="H323" s="23" t="s">
        <v>563</v>
      </c>
      <c r="I323" s="24">
        <v>95000</v>
      </c>
      <c r="J323" s="24">
        <v>77080</v>
      </c>
      <c r="K323" s="24">
        <v>77080</v>
      </c>
      <c r="L323" s="24">
        <v>17920</v>
      </c>
      <c r="M323" s="29"/>
      <c r="N323" s="24">
        <f t="shared" si="4"/>
        <v>17920</v>
      </c>
      <c r="O323" s="29"/>
    </row>
    <row r="324" spans="1:15">
      <c r="A324" s="23" t="s">
        <v>401</v>
      </c>
      <c r="B324" s="23" t="s">
        <v>403</v>
      </c>
      <c r="C324" s="23" t="s">
        <v>405</v>
      </c>
      <c r="D324" s="23" t="s">
        <v>524</v>
      </c>
      <c r="E324" s="23" t="s">
        <v>72</v>
      </c>
      <c r="F324" s="23" t="s">
        <v>74</v>
      </c>
      <c r="G324" s="23" t="s">
        <v>79</v>
      </c>
      <c r="H324" s="23" t="s">
        <v>564</v>
      </c>
      <c r="I324" s="24">
        <v>126000</v>
      </c>
      <c r="J324" s="24">
        <v>125870</v>
      </c>
      <c r="K324" s="24">
        <v>125870</v>
      </c>
      <c r="L324" s="24">
        <v>130</v>
      </c>
      <c r="M324" s="29"/>
      <c r="N324" s="24">
        <f t="shared" si="4"/>
        <v>130</v>
      </c>
      <c r="O324" s="29"/>
    </row>
    <row r="325" spans="1:15">
      <c r="A325" s="23" t="s">
        <v>401</v>
      </c>
      <c r="B325" s="23" t="s">
        <v>403</v>
      </c>
      <c r="C325" s="23" t="s">
        <v>405</v>
      </c>
      <c r="D325" s="23" t="s">
        <v>524</v>
      </c>
      <c r="E325" s="23" t="s">
        <v>72</v>
      </c>
      <c r="F325" s="23" t="s">
        <v>74</v>
      </c>
      <c r="G325" s="23" t="s">
        <v>79</v>
      </c>
      <c r="H325" s="23" t="s">
        <v>565</v>
      </c>
      <c r="I325" s="24">
        <v>153000</v>
      </c>
      <c r="J325" s="24">
        <v>90200</v>
      </c>
      <c r="K325" s="24">
        <v>90200</v>
      </c>
      <c r="L325" s="24">
        <v>62800</v>
      </c>
      <c r="M325" s="29"/>
      <c r="N325" s="24">
        <f t="shared" si="4"/>
        <v>62800</v>
      </c>
      <c r="O325" s="29"/>
    </row>
    <row r="326" spans="1:15">
      <c r="A326" s="23" t="s">
        <v>401</v>
      </c>
      <c r="B326" s="23" t="s">
        <v>403</v>
      </c>
      <c r="C326" s="23" t="s">
        <v>405</v>
      </c>
      <c r="D326" s="23" t="s">
        <v>524</v>
      </c>
      <c r="E326" s="23" t="s">
        <v>72</v>
      </c>
      <c r="F326" s="23" t="s">
        <v>74</v>
      </c>
      <c r="G326" s="23" t="s">
        <v>79</v>
      </c>
      <c r="H326" s="23" t="s">
        <v>566</v>
      </c>
      <c r="I326" s="24">
        <v>179000</v>
      </c>
      <c r="J326" s="24">
        <v>148830</v>
      </c>
      <c r="K326" s="24">
        <v>148830</v>
      </c>
      <c r="L326" s="24">
        <v>30170</v>
      </c>
      <c r="M326" s="29"/>
      <c r="N326" s="24">
        <f t="shared" si="4"/>
        <v>30170</v>
      </c>
      <c r="O326" s="29"/>
    </row>
    <row r="327" spans="1:15">
      <c r="A327" s="23" t="s">
        <v>401</v>
      </c>
      <c r="B327" s="23" t="s">
        <v>403</v>
      </c>
      <c r="C327" s="23" t="s">
        <v>405</v>
      </c>
      <c r="D327" s="23" t="s">
        <v>524</v>
      </c>
      <c r="E327" s="23" t="s">
        <v>72</v>
      </c>
      <c r="F327" s="23" t="s">
        <v>74</v>
      </c>
      <c r="G327" s="23" t="s">
        <v>79</v>
      </c>
      <c r="H327" s="23" t="s">
        <v>567</v>
      </c>
      <c r="I327" s="24">
        <v>0</v>
      </c>
      <c r="J327" s="24">
        <v>0</v>
      </c>
      <c r="K327" s="24">
        <v>0</v>
      </c>
      <c r="L327" s="24">
        <v>0</v>
      </c>
      <c r="M327" s="29"/>
      <c r="N327" s="24">
        <f t="shared" si="4"/>
        <v>0</v>
      </c>
      <c r="O327" s="29"/>
    </row>
    <row r="328" spans="1:15">
      <c r="A328" s="23" t="s">
        <v>401</v>
      </c>
      <c r="B328" s="23" t="s">
        <v>403</v>
      </c>
      <c r="C328" s="23" t="s">
        <v>405</v>
      </c>
      <c r="D328" s="23" t="s">
        <v>524</v>
      </c>
      <c r="E328" s="23" t="s">
        <v>72</v>
      </c>
      <c r="F328" s="23" t="s">
        <v>74</v>
      </c>
      <c r="G328" s="23" t="s">
        <v>79</v>
      </c>
      <c r="H328" s="23" t="s">
        <v>568</v>
      </c>
      <c r="I328" s="24">
        <v>121000</v>
      </c>
      <c r="J328" s="24">
        <v>57400</v>
      </c>
      <c r="K328" s="24">
        <v>57400</v>
      </c>
      <c r="L328" s="24">
        <v>63600</v>
      </c>
      <c r="M328" s="29"/>
      <c r="N328" s="24">
        <f t="shared" ref="N328:N391" si="5">L328-M328</f>
        <v>63600</v>
      </c>
      <c r="O328" s="29"/>
    </row>
    <row r="329" spans="1:15">
      <c r="A329" s="23" t="s">
        <v>401</v>
      </c>
      <c r="B329" s="23" t="s">
        <v>403</v>
      </c>
      <c r="C329" s="23" t="s">
        <v>405</v>
      </c>
      <c r="D329" s="23" t="s">
        <v>524</v>
      </c>
      <c r="E329" s="23" t="s">
        <v>72</v>
      </c>
      <c r="F329" s="23" t="s">
        <v>74</v>
      </c>
      <c r="G329" s="23" t="s">
        <v>79</v>
      </c>
      <c r="H329" s="23" t="s">
        <v>569</v>
      </c>
      <c r="I329" s="24">
        <v>91000</v>
      </c>
      <c r="J329" s="24">
        <v>66540</v>
      </c>
      <c r="K329" s="24">
        <v>66540</v>
      </c>
      <c r="L329" s="24">
        <v>24460</v>
      </c>
      <c r="M329" s="29"/>
      <c r="N329" s="24">
        <f t="shared" si="5"/>
        <v>24460</v>
      </c>
      <c r="O329" s="29"/>
    </row>
    <row r="330" spans="1:15">
      <c r="A330" s="23" t="s">
        <v>401</v>
      </c>
      <c r="B330" s="23" t="s">
        <v>403</v>
      </c>
      <c r="C330" s="23" t="s">
        <v>405</v>
      </c>
      <c r="D330" s="23" t="s">
        <v>524</v>
      </c>
      <c r="E330" s="23" t="s">
        <v>72</v>
      </c>
      <c r="F330" s="23" t="s">
        <v>74</v>
      </c>
      <c r="G330" s="23" t="s">
        <v>79</v>
      </c>
      <c r="H330" s="23" t="s">
        <v>570</v>
      </c>
      <c r="I330" s="24">
        <v>0</v>
      </c>
      <c r="J330" s="24">
        <v>0</v>
      </c>
      <c r="K330" s="24">
        <v>0</v>
      </c>
      <c r="L330" s="24">
        <v>0</v>
      </c>
      <c r="M330" s="29"/>
      <c r="N330" s="24">
        <f t="shared" si="5"/>
        <v>0</v>
      </c>
      <c r="O330" s="29"/>
    </row>
    <row r="331" spans="1:15">
      <c r="A331" s="23" t="s">
        <v>401</v>
      </c>
      <c r="B331" s="23" t="s">
        <v>403</v>
      </c>
      <c r="C331" s="23" t="s">
        <v>405</v>
      </c>
      <c r="D331" s="23" t="s">
        <v>524</v>
      </c>
      <c r="E331" s="23" t="s">
        <v>72</v>
      </c>
      <c r="F331" s="23" t="s">
        <v>74</v>
      </c>
      <c r="G331" s="23" t="s">
        <v>79</v>
      </c>
      <c r="H331" s="23" t="s">
        <v>571</v>
      </c>
      <c r="I331" s="24">
        <v>0</v>
      </c>
      <c r="J331" s="24">
        <v>0</v>
      </c>
      <c r="K331" s="24">
        <v>0</v>
      </c>
      <c r="L331" s="24">
        <v>0</v>
      </c>
      <c r="M331" s="29"/>
      <c r="N331" s="24">
        <f t="shared" si="5"/>
        <v>0</v>
      </c>
      <c r="O331" s="29"/>
    </row>
    <row r="332" spans="1:15">
      <c r="A332" s="23" t="s">
        <v>401</v>
      </c>
      <c r="B332" s="23" t="s">
        <v>403</v>
      </c>
      <c r="C332" s="23" t="s">
        <v>405</v>
      </c>
      <c r="D332" s="23" t="s">
        <v>524</v>
      </c>
      <c r="E332" s="23" t="s">
        <v>72</v>
      </c>
      <c r="F332" s="23" t="s">
        <v>74</v>
      </c>
      <c r="G332" s="23" t="s">
        <v>79</v>
      </c>
      <c r="H332" s="23" t="s">
        <v>572</v>
      </c>
      <c r="I332" s="24">
        <v>131000</v>
      </c>
      <c r="J332" s="24">
        <v>86920</v>
      </c>
      <c r="K332" s="24">
        <v>86920</v>
      </c>
      <c r="L332" s="24">
        <v>44080</v>
      </c>
      <c r="M332" s="29"/>
      <c r="N332" s="24">
        <f t="shared" si="5"/>
        <v>44080</v>
      </c>
      <c r="O332" s="29"/>
    </row>
    <row r="333" spans="1:15">
      <c r="A333" s="23" t="s">
        <v>401</v>
      </c>
      <c r="B333" s="23" t="s">
        <v>403</v>
      </c>
      <c r="C333" s="23" t="s">
        <v>405</v>
      </c>
      <c r="D333" s="23" t="s">
        <v>524</v>
      </c>
      <c r="E333" s="23" t="s">
        <v>72</v>
      </c>
      <c r="F333" s="23" t="s">
        <v>74</v>
      </c>
      <c r="G333" s="23" t="s">
        <v>79</v>
      </c>
      <c r="H333" s="23" t="s">
        <v>573</v>
      </c>
      <c r="I333" s="24">
        <v>97000</v>
      </c>
      <c r="J333" s="24">
        <v>87330</v>
      </c>
      <c r="K333" s="24">
        <v>87330</v>
      </c>
      <c r="L333" s="24">
        <v>9670</v>
      </c>
      <c r="M333" s="29"/>
      <c r="N333" s="24">
        <f t="shared" si="5"/>
        <v>9670</v>
      </c>
      <c r="O333" s="29"/>
    </row>
    <row r="334" spans="1:15">
      <c r="A334" s="23" t="s">
        <v>401</v>
      </c>
      <c r="B334" s="23" t="s">
        <v>403</v>
      </c>
      <c r="C334" s="23" t="s">
        <v>405</v>
      </c>
      <c r="D334" s="23" t="s">
        <v>524</v>
      </c>
      <c r="E334" s="23" t="s">
        <v>72</v>
      </c>
      <c r="F334" s="23" t="s">
        <v>74</v>
      </c>
      <c r="G334" s="23" t="s">
        <v>79</v>
      </c>
      <c r="H334" s="23" t="s">
        <v>574</v>
      </c>
      <c r="I334" s="24">
        <v>97000</v>
      </c>
      <c r="J334" s="24">
        <v>58630</v>
      </c>
      <c r="K334" s="24">
        <v>58630</v>
      </c>
      <c r="L334" s="24">
        <v>38370</v>
      </c>
      <c r="M334" s="29"/>
      <c r="N334" s="24">
        <f t="shared" si="5"/>
        <v>38370</v>
      </c>
      <c r="O334" s="29"/>
    </row>
    <row r="335" spans="1:15">
      <c r="A335" s="23" t="s">
        <v>401</v>
      </c>
      <c r="B335" s="23" t="s">
        <v>403</v>
      </c>
      <c r="C335" s="23" t="s">
        <v>405</v>
      </c>
      <c r="D335" s="23" t="s">
        <v>524</v>
      </c>
      <c r="E335" s="23" t="s">
        <v>72</v>
      </c>
      <c r="F335" s="23" t="s">
        <v>74</v>
      </c>
      <c r="G335" s="23" t="s">
        <v>79</v>
      </c>
      <c r="H335" s="23" t="s">
        <v>575</v>
      </c>
      <c r="I335" s="24">
        <v>177000</v>
      </c>
      <c r="J335" s="24">
        <v>135300</v>
      </c>
      <c r="K335" s="24">
        <v>135300</v>
      </c>
      <c r="L335" s="24">
        <v>41700</v>
      </c>
      <c r="M335" s="29"/>
      <c r="N335" s="24">
        <f t="shared" si="5"/>
        <v>41700</v>
      </c>
      <c r="O335" s="29"/>
    </row>
    <row r="336" spans="1:15">
      <c r="A336" s="23" t="s">
        <v>401</v>
      </c>
      <c r="B336" s="23" t="s">
        <v>403</v>
      </c>
      <c r="C336" s="23" t="s">
        <v>405</v>
      </c>
      <c r="D336" s="23" t="s">
        <v>524</v>
      </c>
      <c r="E336" s="23" t="s">
        <v>72</v>
      </c>
      <c r="F336" s="23" t="s">
        <v>74</v>
      </c>
      <c r="G336" s="23" t="s">
        <v>79</v>
      </c>
      <c r="H336" s="23" t="s">
        <v>576</v>
      </c>
      <c r="I336" s="24">
        <v>99000</v>
      </c>
      <c r="J336" s="24">
        <v>69700</v>
      </c>
      <c r="K336" s="24">
        <v>69700</v>
      </c>
      <c r="L336" s="24">
        <v>29300</v>
      </c>
      <c r="M336" s="29"/>
      <c r="N336" s="24">
        <f t="shared" si="5"/>
        <v>29300</v>
      </c>
      <c r="O336" s="29"/>
    </row>
    <row r="337" spans="1:15">
      <c r="A337" s="23" t="s">
        <v>401</v>
      </c>
      <c r="B337" s="23" t="s">
        <v>403</v>
      </c>
      <c r="C337" s="23" t="s">
        <v>405</v>
      </c>
      <c r="D337" s="23" t="s">
        <v>524</v>
      </c>
      <c r="E337" s="23" t="s">
        <v>72</v>
      </c>
      <c r="F337" s="23" t="s">
        <v>74</v>
      </c>
      <c r="G337" s="23" t="s">
        <v>79</v>
      </c>
      <c r="H337" s="23" t="s">
        <v>577</v>
      </c>
      <c r="I337" s="24">
        <v>127000</v>
      </c>
      <c r="J337" s="24">
        <v>71340</v>
      </c>
      <c r="K337" s="24">
        <v>71340</v>
      </c>
      <c r="L337" s="24">
        <v>55660</v>
      </c>
      <c r="M337" s="29"/>
      <c r="N337" s="24">
        <f t="shared" si="5"/>
        <v>55660</v>
      </c>
      <c r="O337" s="29"/>
    </row>
    <row r="338" spans="1:15">
      <c r="A338" s="23" t="s">
        <v>401</v>
      </c>
      <c r="B338" s="23" t="s">
        <v>403</v>
      </c>
      <c r="C338" s="23" t="s">
        <v>405</v>
      </c>
      <c r="D338" s="23" t="s">
        <v>524</v>
      </c>
      <c r="E338" s="23" t="s">
        <v>72</v>
      </c>
      <c r="F338" s="23" t="s">
        <v>74</v>
      </c>
      <c r="G338" s="23" t="s">
        <v>79</v>
      </c>
      <c r="H338" s="23" t="s">
        <v>578</v>
      </c>
      <c r="I338" s="24">
        <v>159000</v>
      </c>
      <c r="J338" s="24">
        <v>98480</v>
      </c>
      <c r="K338" s="24">
        <v>98480</v>
      </c>
      <c r="L338" s="24">
        <v>60520</v>
      </c>
      <c r="M338" s="29"/>
      <c r="N338" s="24">
        <f t="shared" si="5"/>
        <v>60520</v>
      </c>
      <c r="O338" s="29"/>
    </row>
    <row r="339" spans="1:15">
      <c r="A339" s="23" t="s">
        <v>401</v>
      </c>
      <c r="B339" s="23" t="s">
        <v>403</v>
      </c>
      <c r="C339" s="23" t="s">
        <v>405</v>
      </c>
      <c r="D339" s="23" t="s">
        <v>524</v>
      </c>
      <c r="E339" s="23" t="s">
        <v>72</v>
      </c>
      <c r="F339" s="23" t="s">
        <v>74</v>
      </c>
      <c r="G339" s="23" t="s">
        <v>79</v>
      </c>
      <c r="H339" s="23" t="s">
        <v>579</v>
      </c>
      <c r="I339" s="24">
        <v>0</v>
      </c>
      <c r="J339" s="24">
        <v>0</v>
      </c>
      <c r="K339" s="24">
        <v>0</v>
      </c>
      <c r="L339" s="24">
        <v>0</v>
      </c>
      <c r="M339" s="29"/>
      <c r="N339" s="24">
        <f t="shared" si="5"/>
        <v>0</v>
      </c>
      <c r="O339" s="29"/>
    </row>
    <row r="340" spans="1:15">
      <c r="A340" s="23" t="s">
        <v>401</v>
      </c>
      <c r="B340" s="23" t="s">
        <v>403</v>
      </c>
      <c r="C340" s="23" t="s">
        <v>405</v>
      </c>
      <c r="D340" s="23" t="s">
        <v>524</v>
      </c>
      <c r="E340" s="23" t="s">
        <v>72</v>
      </c>
      <c r="F340" s="23" t="s">
        <v>74</v>
      </c>
      <c r="G340" s="23" t="s">
        <v>79</v>
      </c>
      <c r="H340" s="23" t="s">
        <v>580</v>
      </c>
      <c r="I340" s="24">
        <v>185000</v>
      </c>
      <c r="J340" s="24">
        <v>146800</v>
      </c>
      <c r="K340" s="24">
        <v>146800</v>
      </c>
      <c r="L340" s="24">
        <v>38200</v>
      </c>
      <c r="M340" s="29"/>
      <c r="N340" s="24">
        <f t="shared" si="5"/>
        <v>38200</v>
      </c>
      <c r="O340" s="29"/>
    </row>
    <row r="341" spans="1:15">
      <c r="A341" s="23" t="s">
        <v>401</v>
      </c>
      <c r="B341" s="23" t="s">
        <v>403</v>
      </c>
      <c r="C341" s="23" t="s">
        <v>405</v>
      </c>
      <c r="D341" s="23" t="s">
        <v>524</v>
      </c>
      <c r="E341" s="23" t="s">
        <v>72</v>
      </c>
      <c r="F341" s="23" t="s">
        <v>74</v>
      </c>
      <c r="G341" s="23" t="s">
        <v>79</v>
      </c>
      <c r="H341" s="23" t="s">
        <v>581</v>
      </c>
      <c r="I341" s="24">
        <v>439000</v>
      </c>
      <c r="J341" s="24">
        <v>278820</v>
      </c>
      <c r="K341" s="24">
        <v>278820</v>
      </c>
      <c r="L341" s="24">
        <v>160180</v>
      </c>
      <c r="M341" s="29"/>
      <c r="N341" s="24">
        <f t="shared" si="5"/>
        <v>160180</v>
      </c>
      <c r="O341" s="29"/>
    </row>
    <row r="342" spans="1:15">
      <c r="A342" s="23" t="s">
        <v>401</v>
      </c>
      <c r="B342" s="23" t="s">
        <v>403</v>
      </c>
      <c r="C342" s="23" t="s">
        <v>405</v>
      </c>
      <c r="D342" s="23" t="s">
        <v>524</v>
      </c>
      <c r="E342" s="23" t="s">
        <v>72</v>
      </c>
      <c r="F342" s="23" t="s">
        <v>74</v>
      </c>
      <c r="G342" s="23" t="s">
        <v>79</v>
      </c>
      <c r="H342" s="23" t="s">
        <v>582</v>
      </c>
      <c r="I342" s="24">
        <v>91000</v>
      </c>
      <c r="J342" s="24">
        <v>90200</v>
      </c>
      <c r="K342" s="24">
        <v>90200</v>
      </c>
      <c r="L342" s="24">
        <v>800</v>
      </c>
      <c r="M342" s="29"/>
      <c r="N342" s="24">
        <f t="shared" si="5"/>
        <v>800</v>
      </c>
      <c r="O342" s="29"/>
    </row>
    <row r="343" spans="1:15">
      <c r="A343" s="23" t="s">
        <v>401</v>
      </c>
      <c r="B343" s="23" t="s">
        <v>403</v>
      </c>
      <c r="C343" s="23" t="s">
        <v>405</v>
      </c>
      <c r="D343" s="23" t="s">
        <v>524</v>
      </c>
      <c r="E343" s="23" t="s">
        <v>72</v>
      </c>
      <c r="F343" s="23" t="s">
        <v>74</v>
      </c>
      <c r="G343" s="23" t="s">
        <v>79</v>
      </c>
      <c r="H343" s="23" t="s">
        <v>583</v>
      </c>
      <c r="I343" s="24">
        <v>200000</v>
      </c>
      <c r="J343" s="24">
        <v>123000</v>
      </c>
      <c r="K343" s="24">
        <v>123000</v>
      </c>
      <c r="L343" s="24">
        <v>77000</v>
      </c>
      <c r="M343" s="29"/>
      <c r="N343" s="24">
        <f t="shared" si="5"/>
        <v>77000</v>
      </c>
      <c r="O343" s="29"/>
    </row>
    <row r="344" spans="1:15">
      <c r="A344" s="23" t="s">
        <v>401</v>
      </c>
      <c r="B344" s="23" t="s">
        <v>403</v>
      </c>
      <c r="C344" s="23" t="s">
        <v>405</v>
      </c>
      <c r="D344" s="23" t="s">
        <v>524</v>
      </c>
      <c r="E344" s="23" t="s">
        <v>72</v>
      </c>
      <c r="F344" s="23" t="s">
        <v>74</v>
      </c>
      <c r="G344" s="23" t="s">
        <v>79</v>
      </c>
      <c r="H344" s="23" t="s">
        <v>584</v>
      </c>
      <c r="I344" s="24">
        <v>200000</v>
      </c>
      <c r="J344" s="24">
        <v>61500</v>
      </c>
      <c r="K344" s="24">
        <v>61500</v>
      </c>
      <c r="L344" s="24">
        <v>138500</v>
      </c>
      <c r="M344" s="29"/>
      <c r="N344" s="24">
        <f t="shared" si="5"/>
        <v>138500</v>
      </c>
      <c r="O344" s="29"/>
    </row>
    <row r="345" spans="1:15">
      <c r="A345" s="23" t="s">
        <v>401</v>
      </c>
      <c r="B345" s="23" t="s">
        <v>403</v>
      </c>
      <c r="C345" s="23" t="s">
        <v>405</v>
      </c>
      <c r="D345" s="23" t="s">
        <v>524</v>
      </c>
      <c r="E345" s="23" t="s">
        <v>72</v>
      </c>
      <c r="F345" s="23" t="s">
        <v>74</v>
      </c>
      <c r="G345" s="23" t="s">
        <v>79</v>
      </c>
      <c r="H345" s="23" t="s">
        <v>585</v>
      </c>
      <c r="I345" s="24">
        <v>200000</v>
      </c>
      <c r="J345" s="24">
        <v>59040</v>
      </c>
      <c r="K345" s="24">
        <v>59040</v>
      </c>
      <c r="L345" s="24">
        <v>140960</v>
      </c>
      <c r="M345" s="29"/>
      <c r="N345" s="24">
        <f t="shared" si="5"/>
        <v>140960</v>
      </c>
      <c r="O345" s="29"/>
    </row>
    <row r="346" spans="1:15">
      <c r="A346" s="23" t="s">
        <v>401</v>
      </c>
      <c r="B346" s="23" t="s">
        <v>403</v>
      </c>
      <c r="C346" s="23" t="s">
        <v>405</v>
      </c>
      <c r="D346" s="23" t="s">
        <v>524</v>
      </c>
      <c r="E346" s="23" t="s">
        <v>72</v>
      </c>
      <c r="F346" s="23" t="s">
        <v>74</v>
      </c>
      <c r="G346" s="23" t="s">
        <v>79</v>
      </c>
      <c r="H346" s="23" t="s">
        <v>586</v>
      </c>
      <c r="I346" s="24">
        <v>200000</v>
      </c>
      <c r="J346" s="24">
        <v>111930</v>
      </c>
      <c r="K346" s="24">
        <v>111930</v>
      </c>
      <c r="L346" s="24">
        <v>88070</v>
      </c>
      <c r="M346" s="29"/>
      <c r="N346" s="24">
        <f t="shared" si="5"/>
        <v>88070</v>
      </c>
      <c r="O346" s="29"/>
    </row>
    <row r="347" spans="1:15">
      <c r="A347" s="23" t="s">
        <v>401</v>
      </c>
      <c r="B347" s="23" t="s">
        <v>403</v>
      </c>
      <c r="C347" s="23" t="s">
        <v>405</v>
      </c>
      <c r="D347" s="23" t="s">
        <v>524</v>
      </c>
      <c r="E347" s="23" t="s">
        <v>72</v>
      </c>
      <c r="F347" s="23" t="s">
        <v>74</v>
      </c>
      <c r="G347" s="23" t="s">
        <v>79</v>
      </c>
      <c r="H347" s="23" t="s">
        <v>587</v>
      </c>
      <c r="I347" s="24">
        <v>200000</v>
      </c>
      <c r="J347" s="24">
        <v>48400</v>
      </c>
      <c r="K347" s="24">
        <v>48400</v>
      </c>
      <c r="L347" s="24">
        <v>151600</v>
      </c>
      <c r="M347" s="29"/>
      <c r="N347" s="24">
        <f t="shared" si="5"/>
        <v>151600</v>
      </c>
      <c r="O347" s="29"/>
    </row>
    <row r="348" spans="1:15">
      <c r="A348" s="23" t="s">
        <v>401</v>
      </c>
      <c r="B348" s="23" t="s">
        <v>403</v>
      </c>
      <c r="C348" s="23" t="s">
        <v>405</v>
      </c>
      <c r="D348" s="23" t="s">
        <v>589</v>
      </c>
      <c r="E348" s="23" t="s">
        <v>72</v>
      </c>
      <c r="F348" s="23" t="s">
        <v>95</v>
      </c>
      <c r="G348" s="23" t="s">
        <v>95</v>
      </c>
      <c r="H348" s="23" t="s">
        <v>589</v>
      </c>
      <c r="I348" s="24">
        <v>36000000</v>
      </c>
      <c r="J348" s="24">
        <v>18847340</v>
      </c>
      <c r="K348" s="24">
        <v>18847340</v>
      </c>
      <c r="L348" s="24">
        <v>17152660</v>
      </c>
      <c r="M348" s="29"/>
      <c r="N348" s="24">
        <f t="shared" si="5"/>
        <v>17152660</v>
      </c>
      <c r="O348" s="29"/>
    </row>
    <row r="349" spans="1:15">
      <c r="A349" s="23" t="s">
        <v>401</v>
      </c>
      <c r="B349" s="23" t="s">
        <v>403</v>
      </c>
      <c r="C349" s="23" t="s">
        <v>405</v>
      </c>
      <c r="D349" s="23" t="s">
        <v>591</v>
      </c>
      <c r="E349" s="23" t="s">
        <v>72</v>
      </c>
      <c r="F349" s="23" t="s">
        <v>95</v>
      </c>
      <c r="G349" s="23" t="s">
        <v>95</v>
      </c>
      <c r="H349" s="23" t="s">
        <v>591</v>
      </c>
      <c r="I349" s="24">
        <v>4540000</v>
      </c>
      <c r="J349" s="24">
        <v>1469230</v>
      </c>
      <c r="K349" s="24">
        <v>1469230</v>
      </c>
      <c r="L349" s="24">
        <v>3070770</v>
      </c>
      <c r="M349" s="29"/>
      <c r="N349" s="24">
        <f t="shared" si="5"/>
        <v>3070770</v>
      </c>
      <c r="O349" s="29"/>
    </row>
    <row r="350" spans="1:15">
      <c r="A350" s="23" t="s">
        <v>401</v>
      </c>
      <c r="B350" s="23" t="s">
        <v>403</v>
      </c>
      <c r="C350" s="23" t="s">
        <v>593</v>
      </c>
      <c r="D350" s="23" t="s">
        <v>594</v>
      </c>
      <c r="E350" s="23" t="s">
        <v>72</v>
      </c>
      <c r="F350" s="23" t="s">
        <v>74</v>
      </c>
      <c r="G350" s="23" t="s">
        <v>76</v>
      </c>
      <c r="H350" s="23" t="s">
        <v>595</v>
      </c>
      <c r="I350" s="24">
        <v>6950000</v>
      </c>
      <c r="J350" s="24">
        <v>0</v>
      </c>
      <c r="K350" s="24">
        <v>0</v>
      </c>
      <c r="L350" s="24">
        <v>6950000</v>
      </c>
      <c r="M350" s="29"/>
      <c r="N350" s="24">
        <f t="shared" si="5"/>
        <v>6950000</v>
      </c>
      <c r="O350" s="29"/>
    </row>
    <row r="351" spans="1:15">
      <c r="A351" s="23" t="s">
        <v>401</v>
      </c>
      <c r="B351" s="23" t="s">
        <v>403</v>
      </c>
      <c r="C351" s="23" t="s">
        <v>593</v>
      </c>
      <c r="D351" s="23" t="s">
        <v>594</v>
      </c>
      <c r="E351" s="23" t="s">
        <v>72</v>
      </c>
      <c r="F351" s="23" t="s">
        <v>74</v>
      </c>
      <c r="G351" s="23" t="s">
        <v>76</v>
      </c>
      <c r="H351" s="23" t="s">
        <v>596</v>
      </c>
      <c r="I351" s="24">
        <v>1600000</v>
      </c>
      <c r="J351" s="24">
        <v>366020</v>
      </c>
      <c r="K351" s="24">
        <v>366020</v>
      </c>
      <c r="L351" s="24">
        <v>1233980</v>
      </c>
      <c r="M351" s="29"/>
      <c r="N351" s="24">
        <f t="shared" si="5"/>
        <v>1233980</v>
      </c>
      <c r="O351" s="29"/>
    </row>
    <row r="352" spans="1:15">
      <c r="A352" s="23" t="s">
        <v>401</v>
      </c>
      <c r="B352" s="23" t="s">
        <v>403</v>
      </c>
      <c r="C352" s="23" t="s">
        <v>593</v>
      </c>
      <c r="D352" s="23" t="s">
        <v>594</v>
      </c>
      <c r="E352" s="23" t="s">
        <v>72</v>
      </c>
      <c r="F352" s="23" t="s">
        <v>74</v>
      </c>
      <c r="G352" s="23" t="s">
        <v>79</v>
      </c>
      <c r="H352" s="23" t="s">
        <v>597</v>
      </c>
      <c r="I352" s="24">
        <v>2500000</v>
      </c>
      <c r="J352" s="24">
        <v>880000</v>
      </c>
      <c r="K352" s="24">
        <v>880000</v>
      </c>
      <c r="L352" s="24">
        <v>1620000</v>
      </c>
      <c r="M352" s="29"/>
      <c r="N352" s="24">
        <f t="shared" si="5"/>
        <v>1620000</v>
      </c>
      <c r="O352" s="29"/>
    </row>
    <row r="353" spans="1:15">
      <c r="A353" s="23" t="s">
        <v>401</v>
      </c>
      <c r="B353" s="23" t="s">
        <v>403</v>
      </c>
      <c r="C353" s="23" t="s">
        <v>593</v>
      </c>
      <c r="D353" s="23" t="s">
        <v>594</v>
      </c>
      <c r="E353" s="23" t="s">
        <v>72</v>
      </c>
      <c r="F353" s="23" t="s">
        <v>74</v>
      </c>
      <c r="G353" s="23" t="s">
        <v>79</v>
      </c>
      <c r="H353" s="23" t="s">
        <v>598</v>
      </c>
      <c r="I353" s="24">
        <v>960000</v>
      </c>
      <c r="J353" s="24">
        <v>0</v>
      </c>
      <c r="K353" s="24">
        <v>0</v>
      </c>
      <c r="L353" s="24">
        <v>960000</v>
      </c>
      <c r="M353" s="29"/>
      <c r="N353" s="24">
        <f t="shared" si="5"/>
        <v>960000</v>
      </c>
      <c r="O353" s="29"/>
    </row>
    <row r="354" spans="1:15">
      <c r="A354" s="23" t="s">
        <v>401</v>
      </c>
      <c r="B354" s="23" t="s">
        <v>403</v>
      </c>
      <c r="C354" s="23" t="s">
        <v>593</v>
      </c>
      <c r="D354" s="23" t="s">
        <v>594</v>
      </c>
      <c r="E354" s="23" t="s">
        <v>72</v>
      </c>
      <c r="F354" s="23" t="s">
        <v>95</v>
      </c>
      <c r="G354" s="23" t="s">
        <v>95</v>
      </c>
      <c r="H354" s="23" t="s">
        <v>599</v>
      </c>
      <c r="I354" s="24">
        <v>7450000</v>
      </c>
      <c r="J354" s="24">
        <v>3427380</v>
      </c>
      <c r="K354" s="24">
        <v>3114480</v>
      </c>
      <c r="L354" s="24">
        <v>4022620</v>
      </c>
      <c r="M354" s="29"/>
      <c r="N354" s="24">
        <f t="shared" si="5"/>
        <v>4022620</v>
      </c>
      <c r="O354" s="29"/>
    </row>
    <row r="355" spans="1:15">
      <c r="A355" s="23" t="s">
        <v>401</v>
      </c>
      <c r="B355" s="23" t="s">
        <v>403</v>
      </c>
      <c r="C355" s="23" t="s">
        <v>593</v>
      </c>
      <c r="D355" s="23" t="s">
        <v>600</v>
      </c>
      <c r="E355" s="23" t="s">
        <v>72</v>
      </c>
      <c r="F355" s="23" t="s">
        <v>74</v>
      </c>
      <c r="G355" s="23" t="s">
        <v>76</v>
      </c>
      <c r="H355" s="23" t="s">
        <v>595</v>
      </c>
      <c r="I355" s="24">
        <v>5000000</v>
      </c>
      <c r="J355" s="24">
        <v>1782000</v>
      </c>
      <c r="K355" s="24">
        <v>1782000</v>
      </c>
      <c r="L355" s="24">
        <v>3218000</v>
      </c>
      <c r="M355" s="29"/>
      <c r="N355" s="24">
        <f t="shared" si="5"/>
        <v>3218000</v>
      </c>
      <c r="O355" s="29"/>
    </row>
    <row r="356" spans="1:15">
      <c r="A356" s="23" t="s">
        <v>401</v>
      </c>
      <c r="B356" s="23" t="s">
        <v>403</v>
      </c>
      <c r="C356" s="23" t="s">
        <v>593</v>
      </c>
      <c r="D356" s="23" t="s">
        <v>601</v>
      </c>
      <c r="E356" s="23" t="s">
        <v>72</v>
      </c>
      <c r="F356" s="23" t="s">
        <v>74</v>
      </c>
      <c r="G356" s="23" t="s">
        <v>76</v>
      </c>
      <c r="H356" s="23" t="s">
        <v>595</v>
      </c>
      <c r="I356" s="24">
        <v>7200000</v>
      </c>
      <c r="J356" s="24">
        <v>2160000</v>
      </c>
      <c r="K356" s="24">
        <v>2160000</v>
      </c>
      <c r="L356" s="24">
        <v>5040000</v>
      </c>
      <c r="M356" s="29"/>
      <c r="N356" s="24">
        <f t="shared" si="5"/>
        <v>5040000</v>
      </c>
      <c r="O356" s="29"/>
    </row>
    <row r="357" spans="1:15">
      <c r="A357" s="23" t="s">
        <v>401</v>
      </c>
      <c r="B357" s="23" t="s">
        <v>403</v>
      </c>
      <c r="C357" s="23" t="s">
        <v>593</v>
      </c>
      <c r="D357" s="23" t="s">
        <v>601</v>
      </c>
      <c r="E357" s="23" t="s">
        <v>72</v>
      </c>
      <c r="F357" s="23" t="s">
        <v>74</v>
      </c>
      <c r="G357" s="23" t="s">
        <v>76</v>
      </c>
      <c r="H357" s="23" t="s">
        <v>601</v>
      </c>
      <c r="I357" s="24">
        <v>800000</v>
      </c>
      <c r="J357" s="24">
        <v>736240</v>
      </c>
      <c r="K357" s="24">
        <v>736240</v>
      </c>
      <c r="L357" s="24">
        <v>63760</v>
      </c>
      <c r="M357" s="29"/>
      <c r="N357" s="24">
        <f t="shared" si="5"/>
        <v>63760</v>
      </c>
      <c r="O357" s="29"/>
    </row>
    <row r="358" spans="1:15">
      <c r="A358" s="23" t="s">
        <v>401</v>
      </c>
      <c r="B358" s="23" t="s">
        <v>403</v>
      </c>
      <c r="C358" s="23" t="s">
        <v>593</v>
      </c>
      <c r="D358" s="23" t="s">
        <v>602</v>
      </c>
      <c r="E358" s="23" t="s">
        <v>72</v>
      </c>
      <c r="F358" s="23" t="s">
        <v>74</v>
      </c>
      <c r="G358" s="23" t="s">
        <v>76</v>
      </c>
      <c r="H358" s="23" t="s">
        <v>603</v>
      </c>
      <c r="I358" s="24">
        <v>800000</v>
      </c>
      <c r="J358" s="24">
        <v>528000</v>
      </c>
      <c r="K358" s="24">
        <v>528000</v>
      </c>
      <c r="L358" s="24">
        <v>272000</v>
      </c>
      <c r="M358" s="29"/>
      <c r="N358" s="24">
        <f t="shared" si="5"/>
        <v>272000</v>
      </c>
      <c r="O358" s="29"/>
    </row>
    <row r="359" spans="1:15">
      <c r="A359" s="23" t="s">
        <v>401</v>
      </c>
      <c r="B359" s="23" t="s">
        <v>403</v>
      </c>
      <c r="C359" s="23" t="s">
        <v>593</v>
      </c>
      <c r="D359" s="23" t="s">
        <v>605</v>
      </c>
      <c r="E359" s="23" t="s">
        <v>72</v>
      </c>
      <c r="F359" s="23" t="s">
        <v>95</v>
      </c>
      <c r="G359" s="23" t="s">
        <v>95</v>
      </c>
      <c r="H359" s="23" t="s">
        <v>606</v>
      </c>
      <c r="I359" s="24">
        <v>34800000</v>
      </c>
      <c r="J359" s="24">
        <v>14425000</v>
      </c>
      <c r="K359" s="24">
        <v>14425000</v>
      </c>
      <c r="L359" s="24">
        <v>20375000</v>
      </c>
      <c r="M359" s="29"/>
      <c r="N359" s="24">
        <f t="shared" si="5"/>
        <v>20375000</v>
      </c>
      <c r="O359" s="29"/>
    </row>
    <row r="360" spans="1:15">
      <c r="A360" s="23" t="s">
        <v>401</v>
      </c>
      <c r="B360" s="23" t="s">
        <v>403</v>
      </c>
      <c r="C360" s="23" t="s">
        <v>593</v>
      </c>
      <c r="D360" s="23" t="s">
        <v>608</v>
      </c>
      <c r="E360" s="23" t="s">
        <v>192</v>
      </c>
      <c r="F360" s="23" t="s">
        <v>192</v>
      </c>
      <c r="G360" s="23" t="s">
        <v>192</v>
      </c>
      <c r="H360" s="23" t="s">
        <v>609</v>
      </c>
      <c r="I360" s="24">
        <v>3000000</v>
      </c>
      <c r="J360" s="24">
        <v>1024000</v>
      </c>
      <c r="K360" s="24">
        <v>1024000</v>
      </c>
      <c r="L360" s="24">
        <v>1976000</v>
      </c>
      <c r="M360" s="29"/>
      <c r="N360" s="24">
        <f t="shared" si="5"/>
        <v>1976000</v>
      </c>
      <c r="O360" s="29"/>
    </row>
    <row r="361" spans="1:15">
      <c r="A361" s="23" t="s">
        <v>401</v>
      </c>
      <c r="B361" s="23" t="s">
        <v>403</v>
      </c>
      <c r="C361" s="23" t="s">
        <v>593</v>
      </c>
      <c r="D361" s="23" t="s">
        <v>611</v>
      </c>
      <c r="E361" s="23" t="s">
        <v>72</v>
      </c>
      <c r="F361" s="23" t="s">
        <v>95</v>
      </c>
      <c r="G361" s="23" t="s">
        <v>95</v>
      </c>
      <c r="H361" s="23" t="s">
        <v>612</v>
      </c>
      <c r="I361" s="24">
        <v>8314000</v>
      </c>
      <c r="J361" s="24">
        <v>8066500</v>
      </c>
      <c r="K361" s="24">
        <v>0</v>
      </c>
      <c r="L361" s="24">
        <v>247500</v>
      </c>
      <c r="M361" s="29"/>
      <c r="N361" s="24">
        <f t="shared" si="5"/>
        <v>247500</v>
      </c>
      <c r="O361" s="29"/>
    </row>
    <row r="362" spans="1:15">
      <c r="A362" s="23" t="s">
        <v>401</v>
      </c>
      <c r="B362" s="23" t="s">
        <v>403</v>
      </c>
      <c r="C362" s="23" t="s">
        <v>593</v>
      </c>
      <c r="D362" s="23" t="s">
        <v>614</v>
      </c>
      <c r="E362" s="23" t="s">
        <v>72</v>
      </c>
      <c r="F362" s="23" t="s">
        <v>74</v>
      </c>
      <c r="G362" s="23" t="s">
        <v>76</v>
      </c>
      <c r="H362" s="23" t="s">
        <v>615</v>
      </c>
      <c r="I362" s="24">
        <v>13800000</v>
      </c>
      <c r="J362" s="24">
        <v>4598000</v>
      </c>
      <c r="K362" s="24">
        <v>4598000</v>
      </c>
      <c r="L362" s="24">
        <v>9202000</v>
      </c>
      <c r="M362" s="29"/>
      <c r="N362" s="24">
        <f t="shared" si="5"/>
        <v>9202000</v>
      </c>
      <c r="O362" s="29"/>
    </row>
    <row r="363" spans="1:15">
      <c r="A363" s="23" t="s">
        <v>401</v>
      </c>
      <c r="B363" s="23" t="s">
        <v>403</v>
      </c>
      <c r="C363" s="23" t="s">
        <v>593</v>
      </c>
      <c r="D363" s="23" t="s">
        <v>614</v>
      </c>
      <c r="E363" s="23" t="s">
        <v>72</v>
      </c>
      <c r="F363" s="23" t="s">
        <v>74</v>
      </c>
      <c r="G363" s="23" t="s">
        <v>76</v>
      </c>
      <c r="H363" s="23" t="s">
        <v>616</v>
      </c>
      <c r="I363" s="24">
        <v>600000</v>
      </c>
      <c r="J363" s="24">
        <v>0</v>
      </c>
      <c r="K363" s="24">
        <v>0</v>
      </c>
      <c r="L363" s="24">
        <v>600000</v>
      </c>
      <c r="M363" s="29"/>
      <c r="N363" s="24">
        <f t="shared" si="5"/>
        <v>600000</v>
      </c>
      <c r="O363" s="29"/>
    </row>
    <row r="364" spans="1:15">
      <c r="A364" s="23" t="s">
        <v>401</v>
      </c>
      <c r="B364" s="23" t="s">
        <v>403</v>
      </c>
      <c r="C364" s="23" t="s">
        <v>593</v>
      </c>
      <c r="D364" s="23" t="s">
        <v>614</v>
      </c>
      <c r="E364" s="23" t="s">
        <v>72</v>
      </c>
      <c r="F364" s="23" t="s">
        <v>74</v>
      </c>
      <c r="G364" s="23" t="s">
        <v>76</v>
      </c>
      <c r="H364" s="23" t="s">
        <v>617</v>
      </c>
      <c r="I364" s="24">
        <v>600000</v>
      </c>
      <c r="J364" s="24">
        <v>402320</v>
      </c>
      <c r="K364" s="24">
        <v>353490</v>
      </c>
      <c r="L364" s="24">
        <v>197680</v>
      </c>
      <c r="M364" s="29"/>
      <c r="N364" s="24">
        <f t="shared" si="5"/>
        <v>197680</v>
      </c>
      <c r="O364" s="29"/>
    </row>
    <row r="365" spans="1:15">
      <c r="A365" s="23" t="s">
        <v>401</v>
      </c>
      <c r="B365" s="23" t="s">
        <v>403</v>
      </c>
      <c r="C365" s="23" t="s">
        <v>593</v>
      </c>
      <c r="D365" s="23" t="s">
        <v>614</v>
      </c>
      <c r="E365" s="23" t="s">
        <v>72</v>
      </c>
      <c r="F365" s="23" t="s">
        <v>95</v>
      </c>
      <c r="G365" s="23" t="s">
        <v>95</v>
      </c>
      <c r="H365" s="23" t="s">
        <v>618</v>
      </c>
      <c r="I365" s="24">
        <v>38400000</v>
      </c>
      <c r="J365" s="24">
        <v>25877240</v>
      </c>
      <c r="K365" s="24">
        <v>20037240</v>
      </c>
      <c r="L365" s="24">
        <v>12522760</v>
      </c>
      <c r="M365" s="29"/>
      <c r="N365" s="24">
        <f t="shared" si="5"/>
        <v>12522760</v>
      </c>
      <c r="O365" s="29"/>
    </row>
    <row r="366" spans="1:15">
      <c r="A366" s="23" t="s">
        <v>401</v>
      </c>
      <c r="B366" s="23" t="s">
        <v>403</v>
      </c>
      <c r="C366" s="23" t="s">
        <v>593</v>
      </c>
      <c r="D366" s="23" t="s">
        <v>614</v>
      </c>
      <c r="E366" s="23" t="s">
        <v>72</v>
      </c>
      <c r="F366" s="23" t="s">
        <v>95</v>
      </c>
      <c r="G366" s="23" t="s">
        <v>95</v>
      </c>
      <c r="H366" s="23" t="s">
        <v>619</v>
      </c>
      <c r="I366" s="24">
        <v>3600000</v>
      </c>
      <c r="J366" s="24">
        <v>3588000</v>
      </c>
      <c r="K366" s="24">
        <v>3090000</v>
      </c>
      <c r="L366" s="24">
        <v>12000</v>
      </c>
      <c r="M366" s="29"/>
      <c r="N366" s="24">
        <f t="shared" si="5"/>
        <v>12000</v>
      </c>
      <c r="O366" s="29"/>
    </row>
    <row r="367" spans="1:15">
      <c r="A367" s="23" t="s">
        <v>401</v>
      </c>
      <c r="B367" s="23" t="s">
        <v>403</v>
      </c>
      <c r="C367" s="23" t="s">
        <v>593</v>
      </c>
      <c r="D367" s="23" t="s">
        <v>614</v>
      </c>
      <c r="E367" s="23" t="s">
        <v>72</v>
      </c>
      <c r="F367" s="23" t="s">
        <v>95</v>
      </c>
      <c r="G367" s="23" t="s">
        <v>95</v>
      </c>
      <c r="H367" s="23" t="s">
        <v>620</v>
      </c>
      <c r="I367" s="24">
        <v>3600000</v>
      </c>
      <c r="J367" s="24">
        <v>1097860</v>
      </c>
      <c r="K367" s="24">
        <v>1097860</v>
      </c>
      <c r="L367" s="24">
        <v>2502140</v>
      </c>
      <c r="M367" s="29"/>
      <c r="N367" s="24">
        <f t="shared" si="5"/>
        <v>2502140</v>
      </c>
      <c r="O367" s="29"/>
    </row>
    <row r="368" spans="1:15">
      <c r="A368" s="23" t="s">
        <v>401</v>
      </c>
      <c r="B368" s="23" t="s">
        <v>403</v>
      </c>
      <c r="C368" s="23" t="s">
        <v>593</v>
      </c>
      <c r="D368" s="23" t="s">
        <v>614</v>
      </c>
      <c r="E368" s="23" t="s">
        <v>72</v>
      </c>
      <c r="F368" s="23" t="s">
        <v>95</v>
      </c>
      <c r="G368" s="23" t="s">
        <v>95</v>
      </c>
      <c r="H368" s="23" t="s">
        <v>621</v>
      </c>
      <c r="I368" s="24">
        <v>9367000</v>
      </c>
      <c r="J368" s="24">
        <v>2398440</v>
      </c>
      <c r="K368" s="24">
        <v>1706400</v>
      </c>
      <c r="L368" s="24">
        <v>6968560</v>
      </c>
      <c r="M368" s="29"/>
      <c r="N368" s="24">
        <f t="shared" si="5"/>
        <v>6968560</v>
      </c>
      <c r="O368" s="29"/>
    </row>
    <row r="369" spans="1:15">
      <c r="A369" s="23" t="s">
        <v>401</v>
      </c>
      <c r="B369" s="23" t="s">
        <v>403</v>
      </c>
      <c r="C369" s="23" t="s">
        <v>593</v>
      </c>
      <c r="D369" s="23" t="s">
        <v>614</v>
      </c>
      <c r="E369" s="23" t="s">
        <v>72</v>
      </c>
      <c r="F369" s="23" t="s">
        <v>124</v>
      </c>
      <c r="G369" s="23" t="s">
        <v>138</v>
      </c>
      <c r="H369" s="23" t="s">
        <v>622</v>
      </c>
      <c r="I369" s="24">
        <v>120000</v>
      </c>
      <c r="J369" s="24">
        <v>9670</v>
      </c>
      <c r="K369" s="24">
        <v>9670</v>
      </c>
      <c r="L369" s="24">
        <v>110330</v>
      </c>
      <c r="M369" s="29"/>
      <c r="N369" s="24">
        <f t="shared" si="5"/>
        <v>110330</v>
      </c>
      <c r="O369" s="29"/>
    </row>
    <row r="370" spans="1:15">
      <c r="A370" s="23" t="s">
        <v>401</v>
      </c>
      <c r="B370" s="23" t="s">
        <v>403</v>
      </c>
      <c r="C370" s="23" t="s">
        <v>593</v>
      </c>
      <c r="D370" s="23" t="s">
        <v>614</v>
      </c>
      <c r="E370" s="23" t="s">
        <v>87</v>
      </c>
      <c r="F370" s="23" t="s">
        <v>89</v>
      </c>
      <c r="G370" s="23" t="s">
        <v>106</v>
      </c>
      <c r="H370" s="23" t="s">
        <v>623</v>
      </c>
      <c r="I370" s="24">
        <v>240000</v>
      </c>
      <c r="J370" s="24">
        <v>0</v>
      </c>
      <c r="K370" s="24">
        <v>0</v>
      </c>
      <c r="L370" s="24">
        <v>240000</v>
      </c>
      <c r="M370" s="29"/>
      <c r="N370" s="24">
        <f t="shared" si="5"/>
        <v>240000</v>
      </c>
      <c r="O370" s="29"/>
    </row>
    <row r="371" spans="1:15">
      <c r="A371" s="23" t="s">
        <v>401</v>
      </c>
      <c r="B371" s="23" t="s">
        <v>403</v>
      </c>
      <c r="C371" s="23" t="s">
        <v>593</v>
      </c>
      <c r="D371" s="23" t="s">
        <v>625</v>
      </c>
      <c r="E371" s="23" t="s">
        <v>72</v>
      </c>
      <c r="F371" s="23" t="s">
        <v>74</v>
      </c>
      <c r="G371" s="23" t="s">
        <v>76</v>
      </c>
      <c r="H371" s="23" t="s">
        <v>626</v>
      </c>
      <c r="I371" s="24">
        <v>1000000</v>
      </c>
      <c r="J371" s="24">
        <v>1000000</v>
      </c>
      <c r="K371" s="24">
        <v>1000000</v>
      </c>
      <c r="L371" s="24">
        <v>0</v>
      </c>
      <c r="M371" s="29"/>
      <c r="N371" s="24">
        <f t="shared" si="5"/>
        <v>0</v>
      </c>
      <c r="O371" s="29"/>
    </row>
    <row r="372" spans="1:15">
      <c r="A372" s="23" t="s">
        <v>401</v>
      </c>
      <c r="B372" s="23" t="s">
        <v>403</v>
      </c>
      <c r="C372" s="23" t="s">
        <v>593</v>
      </c>
      <c r="D372" s="23" t="s">
        <v>628</v>
      </c>
      <c r="E372" s="23" t="s">
        <v>72</v>
      </c>
      <c r="F372" s="23" t="s">
        <v>74</v>
      </c>
      <c r="G372" s="23" t="s">
        <v>76</v>
      </c>
      <c r="H372" s="23" t="s">
        <v>629</v>
      </c>
      <c r="I372" s="24">
        <v>200000</v>
      </c>
      <c r="J372" s="24">
        <v>0</v>
      </c>
      <c r="K372" s="24">
        <v>0</v>
      </c>
      <c r="L372" s="24">
        <v>200000</v>
      </c>
      <c r="M372" s="29"/>
      <c r="N372" s="24">
        <f t="shared" si="5"/>
        <v>200000</v>
      </c>
      <c r="O372" s="29"/>
    </row>
    <row r="373" spans="1:15">
      <c r="A373" s="23" t="s">
        <v>401</v>
      </c>
      <c r="B373" s="23" t="s">
        <v>403</v>
      </c>
      <c r="C373" s="23" t="s">
        <v>593</v>
      </c>
      <c r="D373" s="23" t="s">
        <v>628</v>
      </c>
      <c r="E373" s="23" t="s">
        <v>72</v>
      </c>
      <c r="F373" s="23" t="s">
        <v>74</v>
      </c>
      <c r="G373" s="23" t="s">
        <v>76</v>
      </c>
      <c r="H373" s="23" t="s">
        <v>630</v>
      </c>
      <c r="I373" s="24">
        <v>480000</v>
      </c>
      <c r="J373" s="24">
        <v>0</v>
      </c>
      <c r="K373" s="24">
        <v>0</v>
      </c>
      <c r="L373" s="24">
        <v>480000</v>
      </c>
      <c r="M373" s="29"/>
      <c r="N373" s="24">
        <f t="shared" si="5"/>
        <v>480000</v>
      </c>
      <c r="O373" s="29"/>
    </row>
    <row r="374" spans="1:15">
      <c r="A374" s="23" t="s">
        <v>401</v>
      </c>
      <c r="B374" s="23" t="s">
        <v>403</v>
      </c>
      <c r="C374" s="23" t="s">
        <v>593</v>
      </c>
      <c r="D374" s="23" t="s">
        <v>628</v>
      </c>
      <c r="E374" s="23" t="s">
        <v>72</v>
      </c>
      <c r="F374" s="23" t="s">
        <v>74</v>
      </c>
      <c r="G374" s="23" t="s">
        <v>79</v>
      </c>
      <c r="H374" s="23" t="s">
        <v>631</v>
      </c>
      <c r="I374" s="24">
        <v>3440000</v>
      </c>
      <c r="J374" s="24">
        <v>1120000</v>
      </c>
      <c r="K374" s="24">
        <v>1120000</v>
      </c>
      <c r="L374" s="24">
        <v>2320000</v>
      </c>
      <c r="M374" s="29"/>
      <c r="N374" s="24">
        <f t="shared" si="5"/>
        <v>2320000</v>
      </c>
      <c r="O374" s="29"/>
    </row>
    <row r="375" spans="1:15">
      <c r="A375" s="23" t="s">
        <v>401</v>
      </c>
      <c r="B375" s="23" t="s">
        <v>403</v>
      </c>
      <c r="C375" s="23" t="s">
        <v>593</v>
      </c>
      <c r="D375" s="23" t="s">
        <v>628</v>
      </c>
      <c r="E375" s="23" t="s">
        <v>72</v>
      </c>
      <c r="F375" s="23" t="s">
        <v>74</v>
      </c>
      <c r="G375" s="23" t="s">
        <v>79</v>
      </c>
      <c r="H375" s="23" t="s">
        <v>632</v>
      </c>
      <c r="I375" s="24">
        <v>1200000</v>
      </c>
      <c r="J375" s="24">
        <v>163580</v>
      </c>
      <c r="K375" s="24">
        <v>163580</v>
      </c>
      <c r="L375" s="24">
        <v>1036420</v>
      </c>
      <c r="M375" s="29"/>
      <c r="N375" s="24">
        <f t="shared" si="5"/>
        <v>1036420</v>
      </c>
      <c r="O375" s="29"/>
    </row>
    <row r="376" spans="1:15">
      <c r="A376" s="23" t="s">
        <v>401</v>
      </c>
      <c r="B376" s="23" t="s">
        <v>403</v>
      </c>
      <c r="C376" s="23" t="s">
        <v>593</v>
      </c>
      <c r="D376" s="23" t="s">
        <v>628</v>
      </c>
      <c r="E376" s="23" t="s">
        <v>72</v>
      </c>
      <c r="F376" s="23" t="s">
        <v>74</v>
      </c>
      <c r="G376" s="23" t="s">
        <v>79</v>
      </c>
      <c r="H376" s="23" t="s">
        <v>633</v>
      </c>
      <c r="I376" s="24">
        <v>1080000</v>
      </c>
      <c r="J376" s="24">
        <v>0</v>
      </c>
      <c r="K376" s="24">
        <v>0</v>
      </c>
      <c r="L376" s="24">
        <v>1080000</v>
      </c>
      <c r="M376" s="29"/>
      <c r="N376" s="24">
        <f t="shared" si="5"/>
        <v>1080000</v>
      </c>
      <c r="O376" s="29"/>
    </row>
    <row r="377" spans="1:15">
      <c r="A377" s="23" t="s">
        <v>401</v>
      </c>
      <c r="B377" s="23" t="s">
        <v>403</v>
      </c>
      <c r="C377" s="23" t="s">
        <v>593</v>
      </c>
      <c r="D377" s="23" t="s">
        <v>628</v>
      </c>
      <c r="E377" s="23" t="s">
        <v>72</v>
      </c>
      <c r="F377" s="23" t="s">
        <v>74</v>
      </c>
      <c r="G377" s="23" t="s">
        <v>79</v>
      </c>
      <c r="H377" s="23" t="s">
        <v>634</v>
      </c>
      <c r="I377" s="24">
        <v>240000</v>
      </c>
      <c r="J377" s="24">
        <v>0</v>
      </c>
      <c r="K377" s="24">
        <v>0</v>
      </c>
      <c r="L377" s="24">
        <v>240000</v>
      </c>
      <c r="M377" s="29"/>
      <c r="N377" s="24">
        <f t="shared" si="5"/>
        <v>240000</v>
      </c>
      <c r="O377" s="29"/>
    </row>
    <row r="378" spans="1:15">
      <c r="A378" s="23" t="s">
        <v>401</v>
      </c>
      <c r="B378" s="23" t="s">
        <v>403</v>
      </c>
      <c r="C378" s="23" t="s">
        <v>593</v>
      </c>
      <c r="D378" s="23" t="s">
        <v>628</v>
      </c>
      <c r="E378" s="23" t="s">
        <v>72</v>
      </c>
      <c r="F378" s="23" t="s">
        <v>95</v>
      </c>
      <c r="G378" s="23" t="s">
        <v>95</v>
      </c>
      <c r="H378" s="23" t="s">
        <v>635</v>
      </c>
      <c r="I378" s="24">
        <v>1000000</v>
      </c>
      <c r="J378" s="24">
        <v>0</v>
      </c>
      <c r="K378" s="24">
        <v>0</v>
      </c>
      <c r="L378" s="24">
        <v>1000000</v>
      </c>
      <c r="M378" s="29"/>
      <c r="N378" s="24">
        <f t="shared" si="5"/>
        <v>1000000</v>
      </c>
      <c r="O378" s="29"/>
    </row>
    <row r="379" spans="1:15">
      <c r="A379" s="23" t="s">
        <v>401</v>
      </c>
      <c r="B379" s="23" t="s">
        <v>403</v>
      </c>
      <c r="C379" s="23" t="s">
        <v>593</v>
      </c>
      <c r="D379" s="23" t="s">
        <v>628</v>
      </c>
      <c r="E379" s="23" t="s">
        <v>72</v>
      </c>
      <c r="F379" s="23" t="s">
        <v>95</v>
      </c>
      <c r="G379" s="23" t="s">
        <v>95</v>
      </c>
      <c r="H379" s="23" t="s">
        <v>636</v>
      </c>
      <c r="I379" s="24">
        <v>0</v>
      </c>
      <c r="J379" s="24">
        <v>0</v>
      </c>
      <c r="K379" s="24">
        <v>0</v>
      </c>
      <c r="L379" s="24">
        <v>0</v>
      </c>
      <c r="M379" s="29"/>
      <c r="N379" s="24">
        <f t="shared" si="5"/>
        <v>0</v>
      </c>
      <c r="O379" s="29"/>
    </row>
    <row r="380" spans="1:15">
      <c r="A380" s="23" t="s">
        <v>401</v>
      </c>
      <c r="B380" s="23" t="s">
        <v>403</v>
      </c>
      <c r="C380" s="23" t="s">
        <v>593</v>
      </c>
      <c r="D380" s="23" t="s">
        <v>628</v>
      </c>
      <c r="E380" s="23" t="s">
        <v>72</v>
      </c>
      <c r="F380" s="23" t="s">
        <v>95</v>
      </c>
      <c r="G380" s="23" t="s">
        <v>95</v>
      </c>
      <c r="H380" s="23" t="s">
        <v>637</v>
      </c>
      <c r="I380" s="24">
        <v>1000000</v>
      </c>
      <c r="J380" s="24">
        <v>0</v>
      </c>
      <c r="K380" s="24">
        <v>0</v>
      </c>
      <c r="L380" s="24">
        <v>1000000</v>
      </c>
      <c r="M380" s="29"/>
      <c r="N380" s="24">
        <f t="shared" si="5"/>
        <v>1000000</v>
      </c>
      <c r="O380" s="29"/>
    </row>
    <row r="381" spans="1:15">
      <c r="A381" s="23" t="s">
        <v>401</v>
      </c>
      <c r="B381" s="23" t="s">
        <v>403</v>
      </c>
      <c r="C381" s="23" t="s">
        <v>593</v>
      </c>
      <c r="D381" s="23" t="s">
        <v>628</v>
      </c>
      <c r="E381" s="23" t="s">
        <v>72</v>
      </c>
      <c r="F381" s="23" t="s">
        <v>124</v>
      </c>
      <c r="G381" s="23" t="s">
        <v>138</v>
      </c>
      <c r="H381" s="23" t="s">
        <v>638</v>
      </c>
      <c r="I381" s="24">
        <v>90000</v>
      </c>
      <c r="J381" s="24">
        <v>0</v>
      </c>
      <c r="K381" s="24">
        <v>0</v>
      </c>
      <c r="L381" s="24">
        <v>90000</v>
      </c>
      <c r="M381" s="29"/>
      <c r="N381" s="24">
        <f t="shared" si="5"/>
        <v>90000</v>
      </c>
      <c r="O381" s="29"/>
    </row>
    <row r="382" spans="1:15">
      <c r="A382" s="23" t="s">
        <v>401</v>
      </c>
      <c r="B382" s="23" t="s">
        <v>403</v>
      </c>
      <c r="C382" s="23" t="s">
        <v>593</v>
      </c>
      <c r="D382" s="23" t="s">
        <v>628</v>
      </c>
      <c r="E382" s="23" t="s">
        <v>87</v>
      </c>
      <c r="F382" s="23" t="s">
        <v>89</v>
      </c>
      <c r="G382" s="23" t="s">
        <v>106</v>
      </c>
      <c r="H382" s="23" t="s">
        <v>107</v>
      </c>
      <c r="I382" s="24">
        <v>270000</v>
      </c>
      <c r="J382" s="24">
        <v>0</v>
      </c>
      <c r="K382" s="24">
        <v>0</v>
      </c>
      <c r="L382" s="24">
        <v>270000</v>
      </c>
      <c r="M382" s="29"/>
      <c r="N382" s="24">
        <f t="shared" si="5"/>
        <v>270000</v>
      </c>
      <c r="O382" s="29"/>
    </row>
    <row r="383" spans="1:15">
      <c r="A383" s="23" t="s">
        <v>401</v>
      </c>
      <c r="B383" s="23" t="s">
        <v>403</v>
      </c>
      <c r="C383" s="23" t="s">
        <v>593</v>
      </c>
      <c r="D383" s="23" t="s">
        <v>640</v>
      </c>
      <c r="E383" s="23" t="s">
        <v>72</v>
      </c>
      <c r="F383" s="23" t="s">
        <v>74</v>
      </c>
      <c r="G383" s="23" t="s">
        <v>76</v>
      </c>
      <c r="H383" s="23" t="s">
        <v>641</v>
      </c>
      <c r="I383" s="24">
        <v>2560000</v>
      </c>
      <c r="J383" s="24">
        <v>0</v>
      </c>
      <c r="K383" s="24">
        <v>0</v>
      </c>
      <c r="L383" s="24">
        <v>2560000</v>
      </c>
      <c r="M383" s="29"/>
      <c r="N383" s="24">
        <f t="shared" si="5"/>
        <v>2560000</v>
      </c>
      <c r="O383" s="29"/>
    </row>
    <row r="384" spans="1:15">
      <c r="A384" s="23" t="s">
        <v>401</v>
      </c>
      <c r="B384" s="23" t="s">
        <v>403</v>
      </c>
      <c r="C384" s="23" t="s">
        <v>593</v>
      </c>
      <c r="D384" s="23" t="s">
        <v>640</v>
      </c>
      <c r="E384" s="23" t="s">
        <v>72</v>
      </c>
      <c r="F384" s="23" t="s">
        <v>74</v>
      </c>
      <c r="G384" s="23" t="s">
        <v>76</v>
      </c>
      <c r="H384" s="23" t="s">
        <v>642</v>
      </c>
      <c r="I384" s="24">
        <v>440000</v>
      </c>
      <c r="J384" s="24">
        <v>90790</v>
      </c>
      <c r="K384" s="24">
        <v>90790</v>
      </c>
      <c r="L384" s="24">
        <v>349210</v>
      </c>
      <c r="M384" s="29"/>
      <c r="N384" s="24">
        <f t="shared" si="5"/>
        <v>349210</v>
      </c>
      <c r="O384" s="29"/>
    </row>
    <row r="385" spans="1:15">
      <c r="A385" s="23" t="s">
        <v>401</v>
      </c>
      <c r="B385" s="23" t="s">
        <v>403</v>
      </c>
      <c r="C385" s="23" t="s">
        <v>593</v>
      </c>
      <c r="D385" s="23" t="s">
        <v>640</v>
      </c>
      <c r="E385" s="23" t="s">
        <v>72</v>
      </c>
      <c r="F385" s="23" t="s">
        <v>74</v>
      </c>
      <c r="G385" s="23" t="s">
        <v>79</v>
      </c>
      <c r="H385" s="23" t="s">
        <v>330</v>
      </c>
      <c r="I385" s="24">
        <v>150000</v>
      </c>
      <c r="J385" s="24">
        <v>0</v>
      </c>
      <c r="K385" s="24">
        <v>0</v>
      </c>
      <c r="L385" s="24">
        <v>150000</v>
      </c>
      <c r="M385" s="29"/>
      <c r="N385" s="24">
        <f t="shared" si="5"/>
        <v>150000</v>
      </c>
      <c r="O385" s="29"/>
    </row>
    <row r="386" spans="1:15">
      <c r="A386" s="23" t="s">
        <v>401</v>
      </c>
      <c r="B386" s="23" t="s">
        <v>403</v>
      </c>
      <c r="C386" s="23" t="s">
        <v>593</v>
      </c>
      <c r="D386" s="23" t="s">
        <v>640</v>
      </c>
      <c r="E386" s="23" t="s">
        <v>72</v>
      </c>
      <c r="F386" s="23" t="s">
        <v>74</v>
      </c>
      <c r="G386" s="23" t="s">
        <v>79</v>
      </c>
      <c r="H386" s="23" t="s">
        <v>643</v>
      </c>
      <c r="I386" s="24">
        <v>50000</v>
      </c>
      <c r="J386" s="24">
        <v>0</v>
      </c>
      <c r="K386" s="24">
        <v>0</v>
      </c>
      <c r="L386" s="24">
        <v>50000</v>
      </c>
      <c r="M386" s="29"/>
      <c r="N386" s="24">
        <f t="shared" si="5"/>
        <v>50000</v>
      </c>
      <c r="O386" s="29"/>
    </row>
    <row r="387" spans="1:15">
      <c r="A387" s="23" t="s">
        <v>401</v>
      </c>
      <c r="B387" s="23" t="s">
        <v>403</v>
      </c>
      <c r="C387" s="23" t="s">
        <v>593</v>
      </c>
      <c r="D387" s="23" t="s">
        <v>640</v>
      </c>
      <c r="E387" s="23" t="s">
        <v>87</v>
      </c>
      <c r="F387" s="23" t="s">
        <v>89</v>
      </c>
      <c r="G387" s="23" t="s">
        <v>106</v>
      </c>
      <c r="H387" s="23" t="s">
        <v>107</v>
      </c>
      <c r="I387" s="24">
        <v>800000</v>
      </c>
      <c r="J387" s="24">
        <v>122060</v>
      </c>
      <c r="K387" s="24">
        <v>122060</v>
      </c>
      <c r="L387" s="24">
        <v>677940</v>
      </c>
      <c r="M387" s="29"/>
      <c r="N387" s="24">
        <f t="shared" si="5"/>
        <v>677940</v>
      </c>
      <c r="O387" s="29"/>
    </row>
    <row r="388" spans="1:15">
      <c r="A388" s="23" t="s">
        <v>401</v>
      </c>
      <c r="B388" s="23" t="s">
        <v>645</v>
      </c>
      <c r="C388" s="23" t="s">
        <v>647</v>
      </c>
      <c r="D388" s="23" t="s">
        <v>648</v>
      </c>
      <c r="E388" s="23" t="s">
        <v>72</v>
      </c>
      <c r="F388" s="23" t="s">
        <v>95</v>
      </c>
      <c r="G388" s="23" t="s">
        <v>95</v>
      </c>
      <c r="H388" s="23" t="s">
        <v>649</v>
      </c>
      <c r="I388" s="24">
        <v>2000000</v>
      </c>
      <c r="J388" s="24">
        <v>0</v>
      </c>
      <c r="K388" s="24">
        <v>0</v>
      </c>
      <c r="L388" s="24">
        <v>2000000</v>
      </c>
      <c r="M388" s="29"/>
      <c r="N388" s="24">
        <f t="shared" si="5"/>
        <v>2000000</v>
      </c>
      <c r="O388" s="29"/>
    </row>
    <row r="389" spans="1:15">
      <c r="A389" s="23" t="s">
        <v>401</v>
      </c>
      <c r="B389" s="23" t="s">
        <v>645</v>
      </c>
      <c r="C389" s="23" t="s">
        <v>647</v>
      </c>
      <c r="D389" s="23" t="s">
        <v>648</v>
      </c>
      <c r="E389" s="23" t="s">
        <v>72</v>
      </c>
      <c r="F389" s="23" t="s">
        <v>95</v>
      </c>
      <c r="G389" s="23" t="s">
        <v>95</v>
      </c>
      <c r="H389" s="23" t="s">
        <v>650</v>
      </c>
      <c r="I389" s="24">
        <v>500000</v>
      </c>
      <c r="J389" s="24">
        <v>0</v>
      </c>
      <c r="K389" s="24">
        <v>0</v>
      </c>
      <c r="L389" s="24">
        <v>500000</v>
      </c>
      <c r="M389" s="29"/>
      <c r="N389" s="24">
        <f t="shared" si="5"/>
        <v>500000</v>
      </c>
      <c r="O389" s="29"/>
    </row>
    <row r="390" spans="1:15">
      <c r="A390" s="23" t="s">
        <v>401</v>
      </c>
      <c r="B390" s="23" t="s">
        <v>645</v>
      </c>
      <c r="C390" s="23" t="s">
        <v>647</v>
      </c>
      <c r="D390" s="23" t="s">
        <v>651</v>
      </c>
      <c r="E390" s="23" t="s">
        <v>131</v>
      </c>
      <c r="F390" s="23" t="s">
        <v>133</v>
      </c>
      <c r="G390" s="23" t="s">
        <v>135</v>
      </c>
      <c r="H390" s="23" t="s">
        <v>651</v>
      </c>
      <c r="I390" s="24">
        <v>48546000</v>
      </c>
      <c r="J390" s="24">
        <v>17273590</v>
      </c>
      <c r="K390" s="24">
        <v>17273590</v>
      </c>
      <c r="L390" s="24">
        <v>31272410</v>
      </c>
      <c r="M390" s="29"/>
      <c r="N390" s="24">
        <f t="shared" si="5"/>
        <v>31272410</v>
      </c>
      <c r="O390" s="29"/>
    </row>
    <row r="391" spans="1:15">
      <c r="A391" s="23" t="s">
        <v>401</v>
      </c>
      <c r="B391" s="23" t="s">
        <v>645</v>
      </c>
      <c r="C391" s="23" t="s">
        <v>647</v>
      </c>
      <c r="D391" s="23" t="s">
        <v>652</v>
      </c>
      <c r="E391" s="23" t="s">
        <v>72</v>
      </c>
      <c r="F391" s="23" t="s">
        <v>74</v>
      </c>
      <c r="G391" s="23" t="s">
        <v>79</v>
      </c>
      <c r="H391" s="23" t="s">
        <v>653</v>
      </c>
      <c r="I391" s="24">
        <v>15600000</v>
      </c>
      <c r="J391" s="24">
        <v>7500000</v>
      </c>
      <c r="K391" s="24">
        <v>7500000</v>
      </c>
      <c r="L391" s="24">
        <v>8100000</v>
      </c>
      <c r="M391" s="29"/>
      <c r="N391" s="24">
        <f t="shared" si="5"/>
        <v>8100000</v>
      </c>
      <c r="O391" s="29"/>
    </row>
    <row r="392" spans="1:15">
      <c r="A392" s="23" t="s">
        <v>401</v>
      </c>
      <c r="B392" s="23" t="s">
        <v>645</v>
      </c>
      <c r="C392" s="23" t="s">
        <v>647</v>
      </c>
      <c r="D392" s="23" t="s">
        <v>652</v>
      </c>
      <c r="E392" s="23" t="s">
        <v>72</v>
      </c>
      <c r="F392" s="23" t="s">
        <v>124</v>
      </c>
      <c r="G392" s="23" t="s">
        <v>138</v>
      </c>
      <c r="H392" s="23" t="s">
        <v>654</v>
      </c>
      <c r="I392" s="24">
        <v>1680000</v>
      </c>
      <c r="J392" s="24">
        <v>850340</v>
      </c>
      <c r="K392" s="24">
        <v>850340</v>
      </c>
      <c r="L392" s="24">
        <v>829660</v>
      </c>
      <c r="M392" s="29"/>
      <c r="N392" s="24">
        <f t="shared" ref="N392:N455" si="6">L392-M392</f>
        <v>829660</v>
      </c>
      <c r="O392" s="29"/>
    </row>
    <row r="393" spans="1:15">
      <c r="A393" s="23" t="s">
        <v>401</v>
      </c>
      <c r="B393" s="23" t="s">
        <v>645</v>
      </c>
      <c r="C393" s="23" t="s">
        <v>647</v>
      </c>
      <c r="D393" s="23" t="s">
        <v>655</v>
      </c>
      <c r="E393" s="23" t="s">
        <v>72</v>
      </c>
      <c r="F393" s="23" t="s">
        <v>95</v>
      </c>
      <c r="G393" s="23" t="s">
        <v>95</v>
      </c>
      <c r="H393" s="23" t="s">
        <v>656</v>
      </c>
      <c r="I393" s="24">
        <v>1065000</v>
      </c>
      <c r="J393" s="24">
        <v>0</v>
      </c>
      <c r="K393" s="24">
        <v>0</v>
      </c>
      <c r="L393" s="24">
        <v>1065000</v>
      </c>
      <c r="M393" s="29"/>
      <c r="N393" s="24">
        <f t="shared" si="6"/>
        <v>1065000</v>
      </c>
      <c r="O393" s="29"/>
    </row>
    <row r="394" spans="1:15">
      <c r="A394" s="23" t="s">
        <v>401</v>
      </c>
      <c r="B394" s="23" t="s">
        <v>645</v>
      </c>
      <c r="C394" s="23" t="s">
        <v>647</v>
      </c>
      <c r="D394" s="23" t="s">
        <v>657</v>
      </c>
      <c r="E394" s="23" t="s">
        <v>72</v>
      </c>
      <c r="F394" s="23" t="s">
        <v>95</v>
      </c>
      <c r="G394" s="23" t="s">
        <v>95</v>
      </c>
      <c r="H394" s="23" t="s">
        <v>658</v>
      </c>
      <c r="I394" s="24">
        <v>5000000</v>
      </c>
      <c r="J394" s="24">
        <v>140000</v>
      </c>
      <c r="K394" s="24">
        <v>0</v>
      </c>
      <c r="L394" s="24">
        <v>4860000</v>
      </c>
      <c r="M394" s="29"/>
      <c r="N394" s="24">
        <f t="shared" si="6"/>
        <v>4860000</v>
      </c>
      <c r="O394" s="29"/>
    </row>
    <row r="395" spans="1:15">
      <c r="A395" s="23" t="s">
        <v>401</v>
      </c>
      <c r="B395" s="23" t="s">
        <v>660</v>
      </c>
      <c r="C395" s="23" t="s">
        <v>662</v>
      </c>
      <c r="D395" s="23" t="s">
        <v>663</v>
      </c>
      <c r="E395" s="23" t="s">
        <v>72</v>
      </c>
      <c r="F395" s="23" t="s">
        <v>74</v>
      </c>
      <c r="G395" s="23" t="s">
        <v>76</v>
      </c>
      <c r="H395" s="23" t="s">
        <v>664</v>
      </c>
      <c r="I395" s="24">
        <v>500000</v>
      </c>
      <c r="J395" s="24">
        <v>280400</v>
      </c>
      <c r="K395" s="24">
        <v>280400</v>
      </c>
      <c r="L395" s="24">
        <v>219600</v>
      </c>
      <c r="M395" s="29"/>
      <c r="N395" s="24">
        <f t="shared" si="6"/>
        <v>219600</v>
      </c>
      <c r="O395" s="29"/>
    </row>
    <row r="396" spans="1:15">
      <c r="A396" s="23" t="s">
        <v>401</v>
      </c>
      <c r="B396" s="23" t="s">
        <v>660</v>
      </c>
      <c r="C396" s="23" t="s">
        <v>662</v>
      </c>
      <c r="D396" s="23" t="s">
        <v>663</v>
      </c>
      <c r="E396" s="23" t="s">
        <v>192</v>
      </c>
      <c r="F396" s="23" t="s">
        <v>192</v>
      </c>
      <c r="G396" s="23" t="s">
        <v>666</v>
      </c>
      <c r="H396" s="23" t="s">
        <v>666</v>
      </c>
      <c r="I396" s="24">
        <v>16500000</v>
      </c>
      <c r="J396" s="24">
        <v>9610320</v>
      </c>
      <c r="K396" s="24">
        <v>9112320</v>
      </c>
      <c r="L396" s="24">
        <v>6889680</v>
      </c>
      <c r="M396" s="29"/>
      <c r="N396" s="24">
        <f t="shared" si="6"/>
        <v>6889680</v>
      </c>
      <c r="O396" s="29"/>
    </row>
    <row r="397" spans="1:15">
      <c r="A397" s="23" t="s">
        <v>401</v>
      </c>
      <c r="B397" s="23" t="s">
        <v>660</v>
      </c>
      <c r="C397" s="23" t="s">
        <v>662</v>
      </c>
      <c r="D397" s="23" t="s">
        <v>667</v>
      </c>
      <c r="E397" s="23" t="s">
        <v>72</v>
      </c>
      <c r="F397" s="23" t="s">
        <v>74</v>
      </c>
      <c r="G397" s="23" t="s">
        <v>76</v>
      </c>
      <c r="H397" s="23" t="s">
        <v>668</v>
      </c>
      <c r="I397" s="24">
        <v>700000</v>
      </c>
      <c r="J397" s="24">
        <v>951780</v>
      </c>
      <c r="K397" s="24">
        <v>951780</v>
      </c>
      <c r="L397" s="24">
        <v>-251780</v>
      </c>
      <c r="M397" s="29"/>
      <c r="N397" s="24">
        <f t="shared" si="6"/>
        <v>-251780</v>
      </c>
      <c r="O397" s="29"/>
    </row>
    <row r="398" spans="1:15">
      <c r="A398" s="23" t="s">
        <v>401</v>
      </c>
      <c r="B398" s="23" t="s">
        <v>660</v>
      </c>
      <c r="C398" s="23" t="s">
        <v>662</v>
      </c>
      <c r="D398" s="23" t="s">
        <v>667</v>
      </c>
      <c r="E398" s="23" t="s">
        <v>72</v>
      </c>
      <c r="F398" s="23" t="s">
        <v>74</v>
      </c>
      <c r="G398" s="23" t="s">
        <v>76</v>
      </c>
      <c r="H398" s="23" t="s">
        <v>669</v>
      </c>
      <c r="I398" s="24">
        <v>1200000</v>
      </c>
      <c r="J398" s="24">
        <v>672250</v>
      </c>
      <c r="K398" s="24">
        <v>409390</v>
      </c>
      <c r="L398" s="24">
        <v>527750</v>
      </c>
      <c r="M398" s="29"/>
      <c r="N398" s="24">
        <f t="shared" si="6"/>
        <v>527750</v>
      </c>
      <c r="O398" s="29"/>
    </row>
    <row r="399" spans="1:15">
      <c r="A399" s="23" t="s">
        <v>401</v>
      </c>
      <c r="B399" s="23" t="s">
        <v>660</v>
      </c>
      <c r="C399" s="23" t="s">
        <v>662</v>
      </c>
      <c r="D399" s="23" t="s">
        <v>667</v>
      </c>
      <c r="E399" s="23" t="s">
        <v>72</v>
      </c>
      <c r="F399" s="23" t="s">
        <v>95</v>
      </c>
      <c r="G399" s="23" t="s">
        <v>95</v>
      </c>
      <c r="H399" s="23" t="s">
        <v>670</v>
      </c>
      <c r="I399" s="24">
        <v>4500000</v>
      </c>
      <c r="J399" s="24">
        <v>4150000</v>
      </c>
      <c r="K399" s="24">
        <v>4150000</v>
      </c>
      <c r="L399" s="24">
        <v>350000</v>
      </c>
      <c r="M399" s="29"/>
      <c r="N399" s="24">
        <f t="shared" si="6"/>
        <v>350000</v>
      </c>
      <c r="O399" s="29"/>
    </row>
    <row r="400" spans="1:15">
      <c r="A400" s="23" t="s">
        <v>401</v>
      </c>
      <c r="B400" s="23" t="s">
        <v>660</v>
      </c>
      <c r="C400" s="23" t="s">
        <v>662</v>
      </c>
      <c r="D400" s="23" t="s">
        <v>667</v>
      </c>
      <c r="E400" s="23" t="s">
        <v>72</v>
      </c>
      <c r="F400" s="23" t="s">
        <v>95</v>
      </c>
      <c r="G400" s="23" t="s">
        <v>95</v>
      </c>
      <c r="H400" s="23" t="s">
        <v>671</v>
      </c>
      <c r="I400" s="24">
        <v>500000</v>
      </c>
      <c r="J400" s="24">
        <v>252340</v>
      </c>
      <c r="K400" s="24">
        <v>252340</v>
      </c>
      <c r="L400" s="24">
        <v>247660</v>
      </c>
      <c r="M400" s="29"/>
      <c r="N400" s="24">
        <f t="shared" si="6"/>
        <v>247660</v>
      </c>
      <c r="O400" s="29"/>
    </row>
    <row r="401" spans="1:15">
      <c r="A401" s="23" t="s">
        <v>401</v>
      </c>
      <c r="B401" s="23" t="s">
        <v>660</v>
      </c>
      <c r="C401" s="23" t="s">
        <v>662</v>
      </c>
      <c r="D401" s="23" t="s">
        <v>667</v>
      </c>
      <c r="E401" s="23" t="s">
        <v>87</v>
      </c>
      <c r="F401" s="23" t="s">
        <v>89</v>
      </c>
      <c r="G401" s="23" t="s">
        <v>89</v>
      </c>
      <c r="H401" s="23" t="s">
        <v>672</v>
      </c>
      <c r="I401" s="24">
        <v>100000</v>
      </c>
      <c r="J401" s="24">
        <v>65630</v>
      </c>
      <c r="K401" s="24">
        <v>65630</v>
      </c>
      <c r="L401" s="24">
        <v>34370</v>
      </c>
      <c r="M401" s="29"/>
      <c r="N401" s="24">
        <f t="shared" si="6"/>
        <v>34370</v>
      </c>
      <c r="O401" s="29"/>
    </row>
    <row r="402" spans="1:15">
      <c r="A402" s="23" t="s">
        <v>401</v>
      </c>
      <c r="B402" s="23" t="s">
        <v>660</v>
      </c>
      <c r="C402" s="23" t="s">
        <v>662</v>
      </c>
      <c r="D402" s="23" t="s">
        <v>667</v>
      </c>
      <c r="E402" s="23" t="s">
        <v>192</v>
      </c>
      <c r="F402" s="23" t="s">
        <v>192</v>
      </c>
      <c r="G402" s="23" t="s">
        <v>192</v>
      </c>
      <c r="H402" s="23" t="s">
        <v>673</v>
      </c>
      <c r="I402" s="24">
        <v>1800000</v>
      </c>
      <c r="J402" s="24">
        <v>1414200</v>
      </c>
      <c r="K402" s="24">
        <v>1414200</v>
      </c>
      <c r="L402" s="24">
        <v>385800</v>
      </c>
      <c r="M402" s="29"/>
      <c r="N402" s="24">
        <f t="shared" si="6"/>
        <v>385800</v>
      </c>
      <c r="O402" s="29"/>
    </row>
    <row r="403" spans="1:15">
      <c r="A403" s="23" t="s">
        <v>401</v>
      </c>
      <c r="B403" s="23" t="s">
        <v>660</v>
      </c>
      <c r="C403" s="23" t="s">
        <v>662</v>
      </c>
      <c r="D403" s="23" t="s">
        <v>674</v>
      </c>
      <c r="E403" s="23" t="s">
        <v>72</v>
      </c>
      <c r="F403" s="23" t="s">
        <v>95</v>
      </c>
      <c r="G403" s="23" t="s">
        <v>95</v>
      </c>
      <c r="H403" s="23" t="s">
        <v>675</v>
      </c>
      <c r="I403" s="24">
        <v>300000</v>
      </c>
      <c r="J403" s="24">
        <v>0</v>
      </c>
      <c r="K403" s="24">
        <v>0</v>
      </c>
      <c r="L403" s="24">
        <v>300000</v>
      </c>
      <c r="M403" s="29"/>
      <c r="N403" s="24">
        <f t="shared" si="6"/>
        <v>300000</v>
      </c>
      <c r="O403" s="29"/>
    </row>
    <row r="404" spans="1:15">
      <c r="A404" s="23" t="s">
        <v>401</v>
      </c>
      <c r="B404" s="23" t="s">
        <v>660</v>
      </c>
      <c r="C404" s="23" t="s">
        <v>662</v>
      </c>
      <c r="D404" s="23" t="s">
        <v>674</v>
      </c>
      <c r="E404" s="23" t="s">
        <v>72</v>
      </c>
      <c r="F404" s="23" t="s">
        <v>95</v>
      </c>
      <c r="G404" s="23" t="s">
        <v>95</v>
      </c>
      <c r="H404" s="23" t="s">
        <v>676</v>
      </c>
      <c r="I404" s="24">
        <v>6000000</v>
      </c>
      <c r="J404" s="24">
        <v>0</v>
      </c>
      <c r="K404" s="24">
        <v>0</v>
      </c>
      <c r="L404" s="24">
        <v>6000000</v>
      </c>
      <c r="M404" s="29"/>
      <c r="N404" s="24">
        <f t="shared" si="6"/>
        <v>6000000</v>
      </c>
      <c r="O404" s="29"/>
    </row>
    <row r="405" spans="1:15">
      <c r="A405" s="23" t="s">
        <v>401</v>
      </c>
      <c r="B405" s="23" t="s">
        <v>660</v>
      </c>
      <c r="C405" s="23" t="s">
        <v>662</v>
      </c>
      <c r="D405" s="23" t="s">
        <v>674</v>
      </c>
      <c r="E405" s="23" t="s">
        <v>72</v>
      </c>
      <c r="F405" s="23" t="s">
        <v>95</v>
      </c>
      <c r="G405" s="23" t="s">
        <v>95</v>
      </c>
      <c r="H405" s="23" t="s">
        <v>677</v>
      </c>
      <c r="I405" s="24">
        <v>1000000</v>
      </c>
      <c r="J405" s="24">
        <v>498000</v>
      </c>
      <c r="K405" s="24">
        <v>498000</v>
      </c>
      <c r="L405" s="24">
        <v>502000</v>
      </c>
      <c r="M405" s="29"/>
      <c r="N405" s="24">
        <f t="shared" si="6"/>
        <v>502000</v>
      </c>
      <c r="O405" s="29"/>
    </row>
    <row r="406" spans="1:15">
      <c r="A406" s="23" t="s">
        <v>401</v>
      </c>
      <c r="B406" s="23" t="s">
        <v>660</v>
      </c>
      <c r="C406" s="23" t="s">
        <v>662</v>
      </c>
      <c r="D406" s="23" t="s">
        <v>678</v>
      </c>
      <c r="E406" s="23" t="s">
        <v>192</v>
      </c>
      <c r="F406" s="23" t="s">
        <v>192</v>
      </c>
      <c r="G406" s="23" t="s">
        <v>666</v>
      </c>
      <c r="H406" s="23" t="s">
        <v>679</v>
      </c>
      <c r="I406" s="24">
        <v>6808000</v>
      </c>
      <c r="J406" s="24">
        <v>6808000</v>
      </c>
      <c r="K406" s="24">
        <v>6808000</v>
      </c>
      <c r="L406" s="24">
        <v>0</v>
      </c>
      <c r="M406" s="29"/>
      <c r="N406" s="24">
        <f t="shared" si="6"/>
        <v>0</v>
      </c>
      <c r="O406" s="29"/>
    </row>
    <row r="407" spans="1:15">
      <c r="A407" s="23" t="s">
        <v>401</v>
      </c>
      <c r="B407" s="23" t="s">
        <v>660</v>
      </c>
      <c r="C407" s="23" t="s">
        <v>662</v>
      </c>
      <c r="D407" s="23" t="s">
        <v>678</v>
      </c>
      <c r="E407" s="23" t="s">
        <v>192</v>
      </c>
      <c r="F407" s="23" t="s">
        <v>192</v>
      </c>
      <c r="G407" s="23" t="s">
        <v>666</v>
      </c>
      <c r="H407" s="23" t="s">
        <v>680</v>
      </c>
      <c r="I407" s="24">
        <v>1192000</v>
      </c>
      <c r="J407" s="24">
        <v>1192000</v>
      </c>
      <c r="K407" s="24">
        <v>1192000</v>
      </c>
      <c r="L407" s="24">
        <v>0</v>
      </c>
      <c r="M407" s="29"/>
      <c r="N407" s="24">
        <f t="shared" si="6"/>
        <v>0</v>
      </c>
      <c r="O407" s="29"/>
    </row>
    <row r="408" spans="1:15">
      <c r="A408" s="23" t="s">
        <v>682</v>
      </c>
      <c r="B408" s="23" t="s">
        <v>684</v>
      </c>
      <c r="C408" s="23" t="s">
        <v>686</v>
      </c>
      <c r="D408" s="23" t="s">
        <v>686</v>
      </c>
      <c r="E408" s="23" t="s">
        <v>72</v>
      </c>
      <c r="F408" s="23" t="s">
        <v>74</v>
      </c>
      <c r="G408" s="23" t="s">
        <v>76</v>
      </c>
      <c r="H408" s="23" t="s">
        <v>687</v>
      </c>
      <c r="I408" s="24">
        <v>1000000</v>
      </c>
      <c r="J408" s="24">
        <v>580000</v>
      </c>
      <c r="K408" s="24">
        <v>580000</v>
      </c>
      <c r="L408" s="24">
        <v>420000</v>
      </c>
      <c r="M408" s="29"/>
      <c r="N408" s="24">
        <f t="shared" si="6"/>
        <v>420000</v>
      </c>
      <c r="O408" s="29"/>
    </row>
    <row r="409" spans="1:15">
      <c r="A409" s="23" t="s">
        <v>682</v>
      </c>
      <c r="B409" s="23" t="s">
        <v>684</v>
      </c>
      <c r="C409" s="23" t="s">
        <v>686</v>
      </c>
      <c r="D409" s="23" t="s">
        <v>686</v>
      </c>
      <c r="E409" s="23" t="s">
        <v>72</v>
      </c>
      <c r="F409" s="23" t="s">
        <v>74</v>
      </c>
      <c r="G409" s="23" t="s">
        <v>76</v>
      </c>
      <c r="H409" s="23" t="s">
        <v>688</v>
      </c>
      <c r="I409" s="24">
        <v>1500000</v>
      </c>
      <c r="J409" s="24">
        <v>586930</v>
      </c>
      <c r="K409" s="24">
        <v>586930</v>
      </c>
      <c r="L409" s="24">
        <v>913070</v>
      </c>
      <c r="M409" s="29"/>
      <c r="N409" s="24">
        <f t="shared" si="6"/>
        <v>913070</v>
      </c>
      <c r="O409" s="29"/>
    </row>
    <row r="410" spans="1:15">
      <c r="A410" s="23" t="s">
        <v>682</v>
      </c>
      <c r="B410" s="23" t="s">
        <v>684</v>
      </c>
      <c r="C410" s="23" t="s">
        <v>686</v>
      </c>
      <c r="D410" s="23" t="s">
        <v>686</v>
      </c>
      <c r="E410" s="23" t="s">
        <v>72</v>
      </c>
      <c r="F410" s="23" t="s">
        <v>74</v>
      </c>
      <c r="G410" s="23" t="s">
        <v>76</v>
      </c>
      <c r="H410" s="23" t="s">
        <v>689</v>
      </c>
      <c r="I410" s="24">
        <v>1188000</v>
      </c>
      <c r="J410" s="24">
        <v>1188000</v>
      </c>
      <c r="K410" s="24">
        <v>1188000</v>
      </c>
      <c r="L410" s="24">
        <v>0</v>
      </c>
      <c r="M410" s="29"/>
      <c r="N410" s="24">
        <f t="shared" si="6"/>
        <v>0</v>
      </c>
      <c r="O410" s="29"/>
    </row>
    <row r="411" spans="1:15">
      <c r="A411" s="23" t="s">
        <v>682</v>
      </c>
      <c r="B411" s="23" t="s">
        <v>684</v>
      </c>
      <c r="C411" s="23" t="s">
        <v>686</v>
      </c>
      <c r="D411" s="23" t="s">
        <v>686</v>
      </c>
      <c r="E411" s="23" t="s">
        <v>72</v>
      </c>
      <c r="F411" s="23" t="s">
        <v>74</v>
      </c>
      <c r="G411" s="23" t="s">
        <v>76</v>
      </c>
      <c r="H411" s="23" t="s">
        <v>690</v>
      </c>
      <c r="I411" s="24">
        <v>3000000</v>
      </c>
      <c r="J411" s="24">
        <v>1344000</v>
      </c>
      <c r="K411" s="24">
        <v>1344000</v>
      </c>
      <c r="L411" s="24">
        <v>1656000</v>
      </c>
      <c r="M411" s="29"/>
      <c r="N411" s="24">
        <f t="shared" si="6"/>
        <v>1656000</v>
      </c>
      <c r="O411" s="29"/>
    </row>
    <row r="412" spans="1:15">
      <c r="A412" s="23" t="s">
        <v>682</v>
      </c>
      <c r="B412" s="23" t="s">
        <v>684</v>
      </c>
      <c r="C412" s="23" t="s">
        <v>686</v>
      </c>
      <c r="D412" s="23" t="s">
        <v>686</v>
      </c>
      <c r="E412" s="23" t="s">
        <v>72</v>
      </c>
      <c r="F412" s="23" t="s">
        <v>74</v>
      </c>
      <c r="G412" s="23" t="s">
        <v>76</v>
      </c>
      <c r="H412" s="23" t="s">
        <v>691</v>
      </c>
      <c r="I412" s="24">
        <v>1650000</v>
      </c>
      <c r="J412" s="24">
        <v>1619790</v>
      </c>
      <c r="K412" s="24">
        <v>1619790</v>
      </c>
      <c r="L412" s="24">
        <v>30210</v>
      </c>
      <c r="M412" s="29"/>
      <c r="N412" s="24">
        <f t="shared" si="6"/>
        <v>30210</v>
      </c>
      <c r="O412" s="29"/>
    </row>
    <row r="413" spans="1:15">
      <c r="A413" s="23" t="s">
        <v>682</v>
      </c>
      <c r="B413" s="23" t="s">
        <v>684</v>
      </c>
      <c r="C413" s="23" t="s">
        <v>686</v>
      </c>
      <c r="D413" s="23" t="s">
        <v>686</v>
      </c>
      <c r="E413" s="23" t="s">
        <v>72</v>
      </c>
      <c r="F413" s="23" t="s">
        <v>74</v>
      </c>
      <c r="G413" s="23" t="s">
        <v>76</v>
      </c>
      <c r="H413" s="23" t="s">
        <v>692</v>
      </c>
      <c r="I413" s="24">
        <v>1000000</v>
      </c>
      <c r="J413" s="24">
        <v>0</v>
      </c>
      <c r="K413" s="24">
        <v>0</v>
      </c>
      <c r="L413" s="24">
        <v>1000000</v>
      </c>
      <c r="M413" s="29"/>
      <c r="N413" s="24">
        <f t="shared" si="6"/>
        <v>1000000</v>
      </c>
      <c r="O413" s="29"/>
    </row>
    <row r="414" spans="1:15">
      <c r="A414" s="23" t="s">
        <v>682</v>
      </c>
      <c r="B414" s="23" t="s">
        <v>684</v>
      </c>
      <c r="C414" s="23" t="s">
        <v>686</v>
      </c>
      <c r="D414" s="23" t="s">
        <v>686</v>
      </c>
      <c r="E414" s="23" t="s">
        <v>72</v>
      </c>
      <c r="F414" s="23" t="s">
        <v>74</v>
      </c>
      <c r="G414" s="23" t="s">
        <v>76</v>
      </c>
      <c r="H414" s="23" t="s">
        <v>693</v>
      </c>
      <c r="I414" s="24">
        <v>300000</v>
      </c>
      <c r="J414" s="24">
        <v>120000</v>
      </c>
      <c r="K414" s="24">
        <v>120000</v>
      </c>
      <c r="L414" s="24">
        <v>180000</v>
      </c>
      <c r="M414" s="29"/>
      <c r="N414" s="24">
        <f t="shared" si="6"/>
        <v>180000</v>
      </c>
      <c r="O414" s="29"/>
    </row>
    <row r="415" spans="1:15">
      <c r="A415" s="23" t="s">
        <v>682</v>
      </c>
      <c r="B415" s="23" t="s">
        <v>684</v>
      </c>
      <c r="C415" s="23" t="s">
        <v>686</v>
      </c>
      <c r="D415" s="23" t="s">
        <v>686</v>
      </c>
      <c r="E415" s="23" t="s">
        <v>72</v>
      </c>
      <c r="F415" s="23" t="s">
        <v>74</v>
      </c>
      <c r="G415" s="23" t="s">
        <v>76</v>
      </c>
      <c r="H415" s="23" t="s">
        <v>694</v>
      </c>
      <c r="I415" s="24">
        <v>1000000</v>
      </c>
      <c r="J415" s="24">
        <v>0</v>
      </c>
      <c r="K415" s="24">
        <v>0</v>
      </c>
      <c r="L415" s="24">
        <v>1000000</v>
      </c>
      <c r="M415" s="29"/>
      <c r="N415" s="24">
        <f t="shared" si="6"/>
        <v>1000000</v>
      </c>
      <c r="O415" s="29"/>
    </row>
    <row r="416" spans="1:15">
      <c r="A416" s="23" t="s">
        <v>682</v>
      </c>
      <c r="B416" s="23" t="s">
        <v>684</v>
      </c>
      <c r="C416" s="23" t="s">
        <v>686</v>
      </c>
      <c r="D416" s="23" t="s">
        <v>686</v>
      </c>
      <c r="E416" s="23" t="s">
        <v>72</v>
      </c>
      <c r="F416" s="23" t="s">
        <v>74</v>
      </c>
      <c r="G416" s="23" t="s">
        <v>76</v>
      </c>
      <c r="H416" s="23" t="s">
        <v>695</v>
      </c>
      <c r="I416" s="24">
        <v>500000</v>
      </c>
      <c r="J416" s="24">
        <v>0</v>
      </c>
      <c r="K416" s="24">
        <v>0</v>
      </c>
      <c r="L416" s="24">
        <v>500000</v>
      </c>
      <c r="M416" s="29"/>
      <c r="N416" s="24">
        <f t="shared" si="6"/>
        <v>500000</v>
      </c>
      <c r="O416" s="29"/>
    </row>
    <row r="417" spans="1:15">
      <c r="A417" s="23" t="s">
        <v>682</v>
      </c>
      <c r="B417" s="23" t="s">
        <v>684</v>
      </c>
      <c r="C417" s="23" t="s">
        <v>686</v>
      </c>
      <c r="D417" s="23" t="s">
        <v>686</v>
      </c>
      <c r="E417" s="23" t="s">
        <v>72</v>
      </c>
      <c r="F417" s="23" t="s">
        <v>74</v>
      </c>
      <c r="G417" s="23" t="s">
        <v>76</v>
      </c>
      <c r="H417" s="23" t="s">
        <v>696</v>
      </c>
      <c r="I417" s="24">
        <v>700000</v>
      </c>
      <c r="J417" s="24">
        <v>500000</v>
      </c>
      <c r="K417" s="24">
        <v>500000</v>
      </c>
      <c r="L417" s="24">
        <v>200000</v>
      </c>
      <c r="M417" s="29"/>
      <c r="N417" s="24">
        <f t="shared" si="6"/>
        <v>200000</v>
      </c>
      <c r="O417" s="29"/>
    </row>
    <row r="418" spans="1:15">
      <c r="A418" s="23" t="s">
        <v>682</v>
      </c>
      <c r="B418" s="23" t="s">
        <v>684</v>
      </c>
      <c r="C418" s="23" t="s">
        <v>686</v>
      </c>
      <c r="D418" s="23" t="s">
        <v>686</v>
      </c>
      <c r="E418" s="23" t="s">
        <v>72</v>
      </c>
      <c r="F418" s="23" t="s">
        <v>74</v>
      </c>
      <c r="G418" s="23" t="s">
        <v>79</v>
      </c>
      <c r="H418" s="23" t="s">
        <v>697</v>
      </c>
      <c r="I418" s="24">
        <v>2000000</v>
      </c>
      <c r="J418" s="24">
        <v>480000</v>
      </c>
      <c r="K418" s="24">
        <v>480000</v>
      </c>
      <c r="L418" s="24">
        <v>1520000</v>
      </c>
      <c r="M418" s="29"/>
      <c r="N418" s="24">
        <f t="shared" si="6"/>
        <v>1520000</v>
      </c>
      <c r="O418" s="29"/>
    </row>
    <row r="419" spans="1:15">
      <c r="A419" s="23" t="s">
        <v>682</v>
      </c>
      <c r="B419" s="23" t="s">
        <v>684</v>
      </c>
      <c r="C419" s="23" t="s">
        <v>686</v>
      </c>
      <c r="D419" s="23" t="s">
        <v>686</v>
      </c>
      <c r="E419" s="23" t="s">
        <v>72</v>
      </c>
      <c r="F419" s="23" t="s">
        <v>74</v>
      </c>
      <c r="G419" s="23" t="s">
        <v>79</v>
      </c>
      <c r="H419" s="23" t="s">
        <v>698</v>
      </c>
      <c r="I419" s="24">
        <v>4350000</v>
      </c>
      <c r="J419" s="24">
        <v>2655000</v>
      </c>
      <c r="K419" s="24">
        <v>2655000</v>
      </c>
      <c r="L419" s="24">
        <v>1695000</v>
      </c>
      <c r="M419" s="29"/>
      <c r="N419" s="24">
        <f t="shared" si="6"/>
        <v>1695000</v>
      </c>
      <c r="O419" s="29"/>
    </row>
    <row r="420" spans="1:15">
      <c r="A420" s="23" t="s">
        <v>682</v>
      </c>
      <c r="B420" s="23" t="s">
        <v>684</v>
      </c>
      <c r="C420" s="23" t="s">
        <v>686</v>
      </c>
      <c r="D420" s="23" t="s">
        <v>686</v>
      </c>
      <c r="E420" s="23" t="s">
        <v>72</v>
      </c>
      <c r="F420" s="23" t="s">
        <v>95</v>
      </c>
      <c r="G420" s="23" t="s">
        <v>95</v>
      </c>
      <c r="H420" s="23" t="s">
        <v>699</v>
      </c>
      <c r="I420" s="24">
        <v>1500000</v>
      </c>
      <c r="J420" s="24">
        <v>520200</v>
      </c>
      <c r="K420" s="24">
        <v>520200</v>
      </c>
      <c r="L420" s="24">
        <v>979800</v>
      </c>
      <c r="M420" s="29"/>
      <c r="N420" s="24">
        <f t="shared" si="6"/>
        <v>979800</v>
      </c>
      <c r="O420" s="29"/>
    </row>
    <row r="421" spans="1:15">
      <c r="A421" s="23" t="s">
        <v>682</v>
      </c>
      <c r="B421" s="23" t="s">
        <v>684</v>
      </c>
      <c r="C421" s="23" t="s">
        <v>686</v>
      </c>
      <c r="D421" s="23" t="s">
        <v>686</v>
      </c>
      <c r="E421" s="23" t="s">
        <v>87</v>
      </c>
      <c r="F421" s="23" t="s">
        <v>89</v>
      </c>
      <c r="G421" s="23" t="s">
        <v>89</v>
      </c>
      <c r="H421" s="23" t="s">
        <v>700</v>
      </c>
      <c r="I421" s="24">
        <v>1280000</v>
      </c>
      <c r="J421" s="24">
        <v>484000</v>
      </c>
      <c r="K421" s="24">
        <v>484000</v>
      </c>
      <c r="L421" s="24">
        <v>796000</v>
      </c>
      <c r="M421" s="29"/>
      <c r="N421" s="24">
        <f t="shared" si="6"/>
        <v>796000</v>
      </c>
      <c r="O421" s="29"/>
    </row>
    <row r="422" spans="1:15">
      <c r="A422" s="23" t="s">
        <v>682</v>
      </c>
      <c r="B422" s="23" t="s">
        <v>684</v>
      </c>
      <c r="C422" s="23" t="s">
        <v>686</v>
      </c>
      <c r="D422" s="23" t="s">
        <v>686</v>
      </c>
      <c r="E422" s="23" t="s">
        <v>87</v>
      </c>
      <c r="F422" s="23" t="s">
        <v>89</v>
      </c>
      <c r="G422" s="23" t="s">
        <v>89</v>
      </c>
      <c r="H422" s="23" t="s">
        <v>701</v>
      </c>
      <c r="I422" s="24">
        <v>360000</v>
      </c>
      <c r="J422" s="24">
        <v>0</v>
      </c>
      <c r="K422" s="24">
        <v>0</v>
      </c>
      <c r="L422" s="24">
        <v>360000</v>
      </c>
      <c r="M422" s="29"/>
      <c r="N422" s="24">
        <f t="shared" si="6"/>
        <v>360000</v>
      </c>
      <c r="O422" s="29"/>
    </row>
    <row r="423" spans="1:15">
      <c r="A423" s="23" t="s">
        <v>682</v>
      </c>
      <c r="B423" s="23" t="s">
        <v>684</v>
      </c>
      <c r="C423" s="23" t="s">
        <v>686</v>
      </c>
      <c r="D423" s="23" t="s">
        <v>686</v>
      </c>
      <c r="E423" s="23" t="s">
        <v>87</v>
      </c>
      <c r="F423" s="23" t="s">
        <v>89</v>
      </c>
      <c r="G423" s="23" t="s">
        <v>89</v>
      </c>
      <c r="H423" s="23" t="s">
        <v>702</v>
      </c>
      <c r="I423" s="24">
        <v>1200000</v>
      </c>
      <c r="J423" s="24">
        <v>221780</v>
      </c>
      <c r="K423" s="24">
        <v>87290</v>
      </c>
      <c r="L423" s="24">
        <v>978220</v>
      </c>
      <c r="M423" s="29"/>
      <c r="N423" s="24">
        <f t="shared" si="6"/>
        <v>978220</v>
      </c>
      <c r="O423" s="29"/>
    </row>
    <row r="424" spans="1:15">
      <c r="A424" s="23" t="s">
        <v>682</v>
      </c>
      <c r="B424" s="23" t="s">
        <v>684</v>
      </c>
      <c r="C424" s="23" t="s">
        <v>686</v>
      </c>
      <c r="D424" s="23" t="s">
        <v>686</v>
      </c>
      <c r="E424" s="23" t="s">
        <v>87</v>
      </c>
      <c r="F424" s="23" t="s">
        <v>89</v>
      </c>
      <c r="G424" s="23" t="s">
        <v>89</v>
      </c>
      <c r="H424" s="23" t="s">
        <v>703</v>
      </c>
      <c r="I424" s="24">
        <v>600000</v>
      </c>
      <c r="J424" s="24">
        <v>280000</v>
      </c>
      <c r="K424" s="24">
        <v>280000</v>
      </c>
      <c r="L424" s="24">
        <v>320000</v>
      </c>
      <c r="M424" s="29"/>
      <c r="N424" s="24">
        <f t="shared" si="6"/>
        <v>320000</v>
      </c>
      <c r="O424" s="29"/>
    </row>
    <row r="425" spans="1:15">
      <c r="A425" s="23" t="s">
        <v>682</v>
      </c>
      <c r="B425" s="23" t="s">
        <v>684</v>
      </c>
      <c r="C425" s="23" t="s">
        <v>686</v>
      </c>
      <c r="D425" s="23" t="s">
        <v>686</v>
      </c>
      <c r="E425" s="23" t="s">
        <v>87</v>
      </c>
      <c r="F425" s="23" t="s">
        <v>89</v>
      </c>
      <c r="G425" s="23" t="s">
        <v>89</v>
      </c>
      <c r="H425" s="23" t="s">
        <v>704</v>
      </c>
      <c r="I425" s="24">
        <v>4000000</v>
      </c>
      <c r="J425" s="24">
        <v>1504140</v>
      </c>
      <c r="K425" s="24">
        <v>1504140</v>
      </c>
      <c r="L425" s="24">
        <v>2495860</v>
      </c>
      <c r="M425" s="29"/>
      <c r="N425" s="24">
        <f t="shared" si="6"/>
        <v>2495860</v>
      </c>
      <c r="O425" s="29"/>
    </row>
    <row r="426" spans="1:15">
      <c r="A426" s="23" t="s">
        <v>682</v>
      </c>
      <c r="B426" s="23" t="s">
        <v>684</v>
      </c>
      <c r="C426" s="23" t="s">
        <v>686</v>
      </c>
      <c r="D426" s="23" t="s">
        <v>705</v>
      </c>
      <c r="E426" s="23" t="s">
        <v>72</v>
      </c>
      <c r="F426" s="23" t="s">
        <v>95</v>
      </c>
      <c r="G426" s="23" t="s">
        <v>95</v>
      </c>
      <c r="H426" s="23" t="s">
        <v>706</v>
      </c>
      <c r="I426" s="24">
        <v>2000000</v>
      </c>
      <c r="J426" s="24">
        <v>0</v>
      </c>
      <c r="K426" s="24">
        <v>0</v>
      </c>
      <c r="L426" s="24">
        <v>2000000</v>
      </c>
      <c r="M426" s="29"/>
      <c r="N426" s="24">
        <f t="shared" si="6"/>
        <v>2000000</v>
      </c>
      <c r="O426" s="29"/>
    </row>
    <row r="427" spans="1:15">
      <c r="A427" s="23" t="s">
        <v>682</v>
      </c>
      <c r="B427" s="23" t="s">
        <v>684</v>
      </c>
      <c r="C427" s="23" t="s">
        <v>686</v>
      </c>
      <c r="D427" s="23" t="s">
        <v>705</v>
      </c>
      <c r="E427" s="23" t="s">
        <v>72</v>
      </c>
      <c r="F427" s="23" t="s">
        <v>95</v>
      </c>
      <c r="G427" s="23" t="s">
        <v>95</v>
      </c>
      <c r="H427" s="23" t="s">
        <v>707</v>
      </c>
      <c r="I427" s="24">
        <v>2900000</v>
      </c>
      <c r="J427" s="24">
        <v>0</v>
      </c>
      <c r="K427" s="24">
        <v>0</v>
      </c>
      <c r="L427" s="24">
        <v>2900000</v>
      </c>
      <c r="M427" s="29"/>
      <c r="N427" s="24">
        <f t="shared" si="6"/>
        <v>2900000</v>
      </c>
      <c r="O427" s="29"/>
    </row>
    <row r="428" spans="1:15">
      <c r="A428" s="23" t="s">
        <v>682</v>
      </c>
      <c r="B428" s="23" t="s">
        <v>684</v>
      </c>
      <c r="C428" s="23" t="s">
        <v>686</v>
      </c>
      <c r="D428" s="23" t="s">
        <v>708</v>
      </c>
      <c r="E428" s="23" t="s">
        <v>72</v>
      </c>
      <c r="F428" s="23" t="s">
        <v>74</v>
      </c>
      <c r="G428" s="23" t="s">
        <v>79</v>
      </c>
      <c r="H428" s="23" t="s">
        <v>709</v>
      </c>
      <c r="I428" s="24">
        <v>3780000</v>
      </c>
      <c r="J428" s="24">
        <v>840000</v>
      </c>
      <c r="K428" s="24">
        <v>840000</v>
      </c>
      <c r="L428" s="24">
        <v>2940000</v>
      </c>
      <c r="M428" s="29"/>
      <c r="N428" s="24">
        <f t="shared" si="6"/>
        <v>2940000</v>
      </c>
      <c r="O428" s="29"/>
    </row>
    <row r="429" spans="1:15">
      <c r="A429" s="23" t="s">
        <v>682</v>
      </c>
      <c r="B429" s="23" t="s">
        <v>684</v>
      </c>
      <c r="C429" s="23" t="s">
        <v>686</v>
      </c>
      <c r="D429" s="23" t="s">
        <v>708</v>
      </c>
      <c r="E429" s="23" t="s">
        <v>72</v>
      </c>
      <c r="F429" s="23" t="s">
        <v>95</v>
      </c>
      <c r="G429" s="23" t="s">
        <v>95</v>
      </c>
      <c r="H429" s="23" t="s">
        <v>710</v>
      </c>
      <c r="I429" s="24">
        <v>900000</v>
      </c>
      <c r="J429" s="24">
        <v>900000</v>
      </c>
      <c r="K429" s="24">
        <v>900000</v>
      </c>
      <c r="L429" s="24">
        <v>0</v>
      </c>
      <c r="M429" s="29"/>
      <c r="N429" s="24">
        <f t="shared" si="6"/>
        <v>0</v>
      </c>
      <c r="O429" s="29"/>
    </row>
    <row r="430" spans="1:15">
      <c r="A430" s="23" t="s">
        <v>682</v>
      </c>
      <c r="B430" s="23" t="s">
        <v>684</v>
      </c>
      <c r="C430" s="23" t="s">
        <v>686</v>
      </c>
      <c r="D430" s="23" t="s">
        <v>711</v>
      </c>
      <c r="E430" s="23" t="s">
        <v>72</v>
      </c>
      <c r="F430" s="23" t="s">
        <v>74</v>
      </c>
      <c r="G430" s="23" t="s">
        <v>79</v>
      </c>
      <c r="H430" s="23" t="s">
        <v>712</v>
      </c>
      <c r="I430" s="24">
        <v>4320000</v>
      </c>
      <c r="J430" s="24">
        <v>0</v>
      </c>
      <c r="K430" s="24">
        <v>0</v>
      </c>
      <c r="L430" s="24">
        <v>4320000</v>
      </c>
      <c r="M430" s="29"/>
      <c r="N430" s="24">
        <f t="shared" si="6"/>
        <v>4320000</v>
      </c>
      <c r="O430" s="29"/>
    </row>
    <row r="431" spans="1:15">
      <c r="A431" s="23" t="s">
        <v>682</v>
      </c>
      <c r="B431" s="23" t="s">
        <v>714</v>
      </c>
      <c r="C431" s="23" t="s">
        <v>716</v>
      </c>
      <c r="D431" s="23" t="s">
        <v>717</v>
      </c>
      <c r="E431" s="23" t="s">
        <v>72</v>
      </c>
      <c r="F431" s="23" t="s">
        <v>74</v>
      </c>
      <c r="G431" s="23" t="s">
        <v>76</v>
      </c>
      <c r="H431" s="23" t="s">
        <v>718</v>
      </c>
      <c r="I431" s="24">
        <v>3600000</v>
      </c>
      <c r="J431" s="24">
        <v>0</v>
      </c>
      <c r="K431" s="24">
        <v>0</v>
      </c>
      <c r="L431" s="24">
        <v>3600000</v>
      </c>
      <c r="M431" s="29"/>
      <c r="N431" s="24">
        <f t="shared" si="6"/>
        <v>3600000</v>
      </c>
      <c r="O431" s="29"/>
    </row>
    <row r="432" spans="1:15">
      <c r="A432" s="23" t="s">
        <v>682</v>
      </c>
      <c r="B432" s="23" t="s">
        <v>714</v>
      </c>
      <c r="C432" s="23" t="s">
        <v>716</v>
      </c>
      <c r="D432" s="23" t="s">
        <v>717</v>
      </c>
      <c r="E432" s="23" t="s">
        <v>72</v>
      </c>
      <c r="F432" s="23" t="s">
        <v>74</v>
      </c>
      <c r="G432" s="23" t="s">
        <v>79</v>
      </c>
      <c r="H432" s="23" t="s">
        <v>719</v>
      </c>
      <c r="I432" s="24">
        <v>10960000</v>
      </c>
      <c r="J432" s="24">
        <v>5166000</v>
      </c>
      <c r="K432" s="24">
        <v>5166000</v>
      </c>
      <c r="L432" s="24">
        <v>5794000</v>
      </c>
      <c r="M432" s="29"/>
      <c r="N432" s="24">
        <f t="shared" si="6"/>
        <v>5794000</v>
      </c>
      <c r="O432" s="29"/>
    </row>
    <row r="433" spans="1:15">
      <c r="A433" s="23" t="s">
        <v>682</v>
      </c>
      <c r="B433" s="23" t="s">
        <v>714</v>
      </c>
      <c r="C433" s="23" t="s">
        <v>716</v>
      </c>
      <c r="D433" s="23" t="s">
        <v>717</v>
      </c>
      <c r="E433" s="23" t="s">
        <v>72</v>
      </c>
      <c r="F433" s="23" t="s">
        <v>74</v>
      </c>
      <c r="G433" s="23" t="s">
        <v>79</v>
      </c>
      <c r="H433" s="23" t="s">
        <v>720</v>
      </c>
      <c r="I433" s="24">
        <v>12155000</v>
      </c>
      <c r="J433" s="24">
        <v>5397000</v>
      </c>
      <c r="K433" s="24">
        <v>5397000</v>
      </c>
      <c r="L433" s="24">
        <v>6758000</v>
      </c>
      <c r="M433" s="29"/>
      <c r="N433" s="24">
        <f t="shared" si="6"/>
        <v>6758000</v>
      </c>
      <c r="O433" s="29"/>
    </row>
    <row r="434" spans="1:15">
      <c r="A434" s="23" t="s">
        <v>682</v>
      </c>
      <c r="B434" s="23" t="s">
        <v>714</v>
      </c>
      <c r="C434" s="23" t="s">
        <v>716</v>
      </c>
      <c r="D434" s="23" t="s">
        <v>717</v>
      </c>
      <c r="E434" s="23" t="s">
        <v>72</v>
      </c>
      <c r="F434" s="23" t="s">
        <v>95</v>
      </c>
      <c r="G434" s="23" t="s">
        <v>95</v>
      </c>
      <c r="H434" s="23" t="s">
        <v>721</v>
      </c>
      <c r="I434" s="24">
        <v>1500000</v>
      </c>
      <c r="J434" s="24">
        <v>417870</v>
      </c>
      <c r="K434" s="24">
        <v>417870</v>
      </c>
      <c r="L434" s="24">
        <v>1082130</v>
      </c>
      <c r="M434" s="29"/>
      <c r="N434" s="24">
        <f t="shared" si="6"/>
        <v>1082130</v>
      </c>
      <c r="O434" s="29"/>
    </row>
    <row r="435" spans="1:15">
      <c r="A435" s="23" t="s">
        <v>682</v>
      </c>
      <c r="B435" s="23" t="s">
        <v>714</v>
      </c>
      <c r="C435" s="23" t="s">
        <v>716</v>
      </c>
      <c r="D435" s="23" t="s">
        <v>717</v>
      </c>
      <c r="E435" s="23" t="s">
        <v>72</v>
      </c>
      <c r="F435" s="23" t="s">
        <v>95</v>
      </c>
      <c r="G435" s="23" t="s">
        <v>95</v>
      </c>
      <c r="H435" s="23" t="s">
        <v>722</v>
      </c>
      <c r="I435" s="24">
        <v>4000000</v>
      </c>
      <c r="J435" s="24">
        <v>1612820</v>
      </c>
      <c r="K435" s="24">
        <v>1612820</v>
      </c>
      <c r="L435" s="24">
        <v>2387180</v>
      </c>
      <c r="M435" s="29"/>
      <c r="N435" s="24">
        <f t="shared" si="6"/>
        <v>2387180</v>
      </c>
      <c r="O435" s="29"/>
    </row>
    <row r="436" spans="1:15">
      <c r="A436" s="23" t="s">
        <v>682</v>
      </c>
      <c r="B436" s="23" t="s">
        <v>714</v>
      </c>
      <c r="C436" s="23" t="s">
        <v>716</v>
      </c>
      <c r="D436" s="23" t="s">
        <v>717</v>
      </c>
      <c r="E436" s="23" t="s">
        <v>72</v>
      </c>
      <c r="F436" s="23" t="s">
        <v>95</v>
      </c>
      <c r="G436" s="23" t="s">
        <v>95</v>
      </c>
      <c r="H436" s="23" t="s">
        <v>723</v>
      </c>
      <c r="I436" s="24">
        <v>0</v>
      </c>
      <c r="J436" s="24">
        <v>0</v>
      </c>
      <c r="K436" s="24">
        <v>0</v>
      </c>
      <c r="L436" s="24">
        <v>0</v>
      </c>
      <c r="M436" s="29"/>
      <c r="N436" s="24">
        <f t="shared" si="6"/>
        <v>0</v>
      </c>
      <c r="O436" s="29"/>
    </row>
    <row r="437" spans="1:15">
      <c r="A437" s="23" t="s">
        <v>682</v>
      </c>
      <c r="B437" s="23" t="s">
        <v>714</v>
      </c>
      <c r="C437" s="23" t="s">
        <v>716</v>
      </c>
      <c r="D437" s="23" t="s">
        <v>717</v>
      </c>
      <c r="E437" s="23" t="s">
        <v>72</v>
      </c>
      <c r="F437" s="23" t="s">
        <v>95</v>
      </c>
      <c r="G437" s="23" t="s">
        <v>95</v>
      </c>
      <c r="H437" s="23" t="s">
        <v>724</v>
      </c>
      <c r="I437" s="24">
        <v>3300000</v>
      </c>
      <c r="J437" s="24">
        <v>767000</v>
      </c>
      <c r="K437" s="24">
        <v>767000</v>
      </c>
      <c r="L437" s="24">
        <v>2533000</v>
      </c>
      <c r="M437" s="29"/>
      <c r="N437" s="24">
        <f t="shared" si="6"/>
        <v>2533000</v>
      </c>
      <c r="O437" s="29"/>
    </row>
    <row r="438" spans="1:15">
      <c r="A438" s="23" t="s">
        <v>682</v>
      </c>
      <c r="B438" s="23" t="s">
        <v>714</v>
      </c>
      <c r="C438" s="23" t="s">
        <v>716</v>
      </c>
      <c r="D438" s="23" t="s">
        <v>725</v>
      </c>
      <c r="E438" s="23" t="s">
        <v>72</v>
      </c>
      <c r="F438" s="23" t="s">
        <v>74</v>
      </c>
      <c r="G438" s="23" t="s">
        <v>76</v>
      </c>
      <c r="H438" s="23" t="s">
        <v>726</v>
      </c>
      <c r="I438" s="24">
        <v>1000000</v>
      </c>
      <c r="J438" s="24">
        <v>672400</v>
      </c>
      <c r="K438" s="24">
        <v>672400</v>
      </c>
      <c r="L438" s="24">
        <v>327600</v>
      </c>
      <c r="M438" s="29"/>
      <c r="N438" s="24">
        <f t="shared" si="6"/>
        <v>327600</v>
      </c>
      <c r="O438" s="29"/>
    </row>
    <row r="439" spans="1:15">
      <c r="A439" s="23" t="s">
        <v>682</v>
      </c>
      <c r="B439" s="23" t="s">
        <v>714</v>
      </c>
      <c r="C439" s="23" t="s">
        <v>716</v>
      </c>
      <c r="D439" s="23" t="s">
        <v>725</v>
      </c>
      <c r="E439" s="23" t="s">
        <v>72</v>
      </c>
      <c r="F439" s="23" t="s">
        <v>74</v>
      </c>
      <c r="G439" s="23" t="s">
        <v>76</v>
      </c>
      <c r="H439" s="23" t="s">
        <v>727</v>
      </c>
      <c r="I439" s="24">
        <v>4025000</v>
      </c>
      <c r="J439" s="24">
        <v>2200000</v>
      </c>
      <c r="K439" s="24">
        <v>2200000</v>
      </c>
      <c r="L439" s="24">
        <v>1825000</v>
      </c>
      <c r="M439" s="29"/>
      <c r="N439" s="24">
        <f t="shared" si="6"/>
        <v>1825000</v>
      </c>
      <c r="O439" s="29"/>
    </row>
    <row r="440" spans="1:15">
      <c r="A440" s="23" t="s">
        <v>682</v>
      </c>
      <c r="B440" s="23" t="s">
        <v>714</v>
      </c>
      <c r="C440" s="23" t="s">
        <v>716</v>
      </c>
      <c r="D440" s="23" t="s">
        <v>725</v>
      </c>
      <c r="E440" s="23" t="s">
        <v>72</v>
      </c>
      <c r="F440" s="23" t="s">
        <v>95</v>
      </c>
      <c r="G440" s="23" t="s">
        <v>95</v>
      </c>
      <c r="H440" s="23" t="s">
        <v>728</v>
      </c>
      <c r="I440" s="24">
        <v>500000</v>
      </c>
      <c r="J440" s="24">
        <v>496640</v>
      </c>
      <c r="K440" s="24">
        <v>496640</v>
      </c>
      <c r="L440" s="24">
        <v>3360</v>
      </c>
      <c r="M440" s="29"/>
      <c r="N440" s="24">
        <f t="shared" si="6"/>
        <v>3360</v>
      </c>
      <c r="O440" s="29"/>
    </row>
    <row r="441" spans="1:15">
      <c r="A441" s="23" t="s">
        <v>682</v>
      </c>
      <c r="B441" s="23" t="s">
        <v>714</v>
      </c>
      <c r="C441" s="23" t="s">
        <v>716</v>
      </c>
      <c r="D441" s="23" t="s">
        <v>729</v>
      </c>
      <c r="E441" s="23" t="s">
        <v>72</v>
      </c>
      <c r="F441" s="23" t="s">
        <v>74</v>
      </c>
      <c r="G441" s="23" t="s">
        <v>79</v>
      </c>
      <c r="H441" s="23" t="s">
        <v>730</v>
      </c>
      <c r="I441" s="24">
        <v>520000</v>
      </c>
      <c r="J441" s="24">
        <v>0</v>
      </c>
      <c r="K441" s="24">
        <v>0</v>
      </c>
      <c r="L441" s="24">
        <v>520000</v>
      </c>
      <c r="M441" s="29"/>
      <c r="N441" s="24">
        <f t="shared" si="6"/>
        <v>520000</v>
      </c>
      <c r="O441" s="29"/>
    </row>
    <row r="442" spans="1:15">
      <c r="A442" s="23" t="s">
        <v>682</v>
      </c>
      <c r="B442" s="23" t="s">
        <v>714</v>
      </c>
      <c r="C442" s="23" t="s">
        <v>716</v>
      </c>
      <c r="D442" s="23" t="s">
        <v>729</v>
      </c>
      <c r="E442" s="23" t="s">
        <v>72</v>
      </c>
      <c r="F442" s="23" t="s">
        <v>95</v>
      </c>
      <c r="G442" s="23" t="s">
        <v>95</v>
      </c>
      <c r="H442" s="23" t="s">
        <v>731</v>
      </c>
      <c r="I442" s="24">
        <v>1000000</v>
      </c>
      <c r="J442" s="24">
        <v>500000</v>
      </c>
      <c r="K442" s="24">
        <v>500000</v>
      </c>
      <c r="L442" s="24">
        <v>500000</v>
      </c>
      <c r="M442" s="29"/>
      <c r="N442" s="24">
        <f t="shared" si="6"/>
        <v>500000</v>
      </c>
      <c r="O442" s="29"/>
    </row>
    <row r="443" spans="1:15">
      <c r="A443" s="23" t="s">
        <v>682</v>
      </c>
      <c r="B443" s="23" t="s">
        <v>714</v>
      </c>
      <c r="C443" s="23" t="s">
        <v>716</v>
      </c>
      <c r="D443" s="23" t="s">
        <v>729</v>
      </c>
      <c r="E443" s="23" t="s">
        <v>72</v>
      </c>
      <c r="F443" s="23" t="s">
        <v>95</v>
      </c>
      <c r="G443" s="23" t="s">
        <v>95</v>
      </c>
      <c r="H443" s="23" t="s">
        <v>732</v>
      </c>
      <c r="I443" s="24">
        <v>4000000</v>
      </c>
      <c r="J443" s="24">
        <v>2787500</v>
      </c>
      <c r="K443" s="24">
        <v>2787500</v>
      </c>
      <c r="L443" s="24">
        <v>1212500</v>
      </c>
      <c r="M443" s="29"/>
      <c r="N443" s="24">
        <f t="shared" si="6"/>
        <v>1212500</v>
      </c>
      <c r="O443" s="29"/>
    </row>
    <row r="444" spans="1:15">
      <c r="A444" s="23" t="s">
        <v>682</v>
      </c>
      <c r="B444" s="23" t="s">
        <v>714</v>
      </c>
      <c r="C444" s="23" t="s">
        <v>716</v>
      </c>
      <c r="D444" s="23" t="s">
        <v>733</v>
      </c>
      <c r="E444" s="23" t="s">
        <v>87</v>
      </c>
      <c r="F444" s="23" t="s">
        <v>89</v>
      </c>
      <c r="G444" s="23" t="s">
        <v>89</v>
      </c>
      <c r="H444" s="23" t="s">
        <v>734</v>
      </c>
      <c r="I444" s="24">
        <v>210000</v>
      </c>
      <c r="J444" s="24">
        <v>30000</v>
      </c>
      <c r="K444" s="24">
        <v>30000</v>
      </c>
      <c r="L444" s="24">
        <v>180000</v>
      </c>
      <c r="M444" s="29"/>
      <c r="N444" s="24">
        <f t="shared" si="6"/>
        <v>180000</v>
      </c>
      <c r="O444" s="29"/>
    </row>
    <row r="445" spans="1:15">
      <c r="A445" s="23" t="s">
        <v>682</v>
      </c>
      <c r="B445" s="23" t="s">
        <v>714</v>
      </c>
      <c r="C445" s="23" t="s">
        <v>716</v>
      </c>
      <c r="D445" s="23" t="s">
        <v>735</v>
      </c>
      <c r="E445" s="23" t="s">
        <v>87</v>
      </c>
      <c r="F445" s="23" t="s">
        <v>89</v>
      </c>
      <c r="G445" s="23" t="s">
        <v>89</v>
      </c>
      <c r="H445" s="23" t="s">
        <v>736</v>
      </c>
      <c r="I445" s="24">
        <v>480000</v>
      </c>
      <c r="J445" s="24">
        <v>180000</v>
      </c>
      <c r="K445" s="24">
        <v>0</v>
      </c>
      <c r="L445" s="24">
        <v>300000</v>
      </c>
      <c r="M445" s="29"/>
      <c r="N445" s="24">
        <f t="shared" si="6"/>
        <v>300000</v>
      </c>
      <c r="O445" s="29"/>
    </row>
    <row r="446" spans="1:15">
      <c r="A446" s="23" t="s">
        <v>682</v>
      </c>
      <c r="B446" s="23" t="s">
        <v>714</v>
      </c>
      <c r="C446" s="23" t="s">
        <v>716</v>
      </c>
      <c r="D446" s="23" t="s">
        <v>735</v>
      </c>
      <c r="E446" s="23" t="s">
        <v>87</v>
      </c>
      <c r="F446" s="23" t="s">
        <v>89</v>
      </c>
      <c r="G446" s="23" t="s">
        <v>89</v>
      </c>
      <c r="H446" s="23" t="s">
        <v>737</v>
      </c>
      <c r="I446" s="24">
        <v>750000</v>
      </c>
      <c r="J446" s="24">
        <v>131000</v>
      </c>
      <c r="K446" s="24">
        <v>131000</v>
      </c>
      <c r="L446" s="24">
        <v>619000</v>
      </c>
      <c r="M446" s="29"/>
      <c r="N446" s="24">
        <f t="shared" si="6"/>
        <v>619000</v>
      </c>
      <c r="O446" s="29"/>
    </row>
    <row r="447" spans="1:15">
      <c r="A447" s="23" t="s">
        <v>682</v>
      </c>
      <c r="B447" s="23" t="s">
        <v>714</v>
      </c>
      <c r="C447" s="23" t="s">
        <v>716</v>
      </c>
      <c r="D447" s="23" t="s">
        <v>739</v>
      </c>
      <c r="E447" s="23" t="s">
        <v>72</v>
      </c>
      <c r="F447" s="23" t="s">
        <v>74</v>
      </c>
      <c r="G447" s="23" t="s">
        <v>76</v>
      </c>
      <c r="H447" s="23" t="s">
        <v>740</v>
      </c>
      <c r="I447" s="24">
        <v>230000</v>
      </c>
      <c r="J447" s="24">
        <v>230000</v>
      </c>
      <c r="K447" s="24">
        <v>230000</v>
      </c>
      <c r="L447" s="24">
        <v>0</v>
      </c>
      <c r="M447" s="29"/>
      <c r="N447" s="24">
        <f t="shared" si="6"/>
        <v>0</v>
      </c>
      <c r="O447" s="29"/>
    </row>
    <row r="448" spans="1:15">
      <c r="A448" s="23" t="s">
        <v>682</v>
      </c>
      <c r="B448" s="23" t="s">
        <v>714</v>
      </c>
      <c r="C448" s="23" t="s">
        <v>716</v>
      </c>
      <c r="D448" s="23" t="s">
        <v>739</v>
      </c>
      <c r="E448" s="23" t="s">
        <v>72</v>
      </c>
      <c r="F448" s="23" t="s">
        <v>74</v>
      </c>
      <c r="G448" s="23" t="s">
        <v>79</v>
      </c>
      <c r="H448" s="23" t="s">
        <v>741</v>
      </c>
      <c r="I448" s="24">
        <v>1100000</v>
      </c>
      <c r="J448" s="24">
        <v>1100000</v>
      </c>
      <c r="K448" s="24">
        <v>1100000</v>
      </c>
      <c r="L448" s="24">
        <v>0</v>
      </c>
      <c r="M448" s="29"/>
      <c r="N448" s="24">
        <f t="shared" si="6"/>
        <v>0</v>
      </c>
      <c r="O448" s="29"/>
    </row>
    <row r="449" spans="1:15">
      <c r="A449" s="23" t="s">
        <v>682</v>
      </c>
      <c r="B449" s="23" t="s">
        <v>714</v>
      </c>
      <c r="C449" s="23" t="s">
        <v>716</v>
      </c>
      <c r="D449" s="23" t="s">
        <v>739</v>
      </c>
      <c r="E449" s="23" t="s">
        <v>72</v>
      </c>
      <c r="F449" s="23" t="s">
        <v>95</v>
      </c>
      <c r="G449" s="23" t="s">
        <v>95</v>
      </c>
      <c r="H449" s="23" t="s">
        <v>742</v>
      </c>
      <c r="I449" s="24">
        <v>1190000</v>
      </c>
      <c r="J449" s="24">
        <v>1190000</v>
      </c>
      <c r="K449" s="24">
        <v>1190000</v>
      </c>
      <c r="L449" s="24">
        <v>0</v>
      </c>
      <c r="M449" s="29"/>
      <c r="N449" s="24">
        <f t="shared" si="6"/>
        <v>0</v>
      </c>
      <c r="O449" s="29"/>
    </row>
    <row r="450" spans="1:15">
      <c r="A450" s="23" t="s">
        <v>682</v>
      </c>
      <c r="B450" s="23" t="s">
        <v>744</v>
      </c>
      <c r="C450" s="23" t="s">
        <v>746</v>
      </c>
      <c r="D450" s="23" t="s">
        <v>746</v>
      </c>
      <c r="E450" s="23" t="s">
        <v>72</v>
      </c>
      <c r="F450" s="23" t="s">
        <v>74</v>
      </c>
      <c r="G450" s="23" t="s">
        <v>76</v>
      </c>
      <c r="H450" s="23" t="s">
        <v>747</v>
      </c>
      <c r="I450" s="24">
        <v>1000000</v>
      </c>
      <c r="J450" s="24">
        <v>427210</v>
      </c>
      <c r="K450" s="24">
        <v>427210</v>
      </c>
      <c r="L450" s="24">
        <v>572790</v>
      </c>
      <c r="M450" s="29"/>
      <c r="N450" s="24">
        <f t="shared" si="6"/>
        <v>572790</v>
      </c>
      <c r="O450" s="29"/>
    </row>
    <row r="451" spans="1:15">
      <c r="A451" s="23" t="s">
        <v>682</v>
      </c>
      <c r="B451" s="23" t="s">
        <v>744</v>
      </c>
      <c r="C451" s="23" t="s">
        <v>746</v>
      </c>
      <c r="D451" s="23" t="s">
        <v>746</v>
      </c>
      <c r="E451" s="23" t="s">
        <v>72</v>
      </c>
      <c r="F451" s="23" t="s">
        <v>74</v>
      </c>
      <c r="G451" s="23" t="s">
        <v>76</v>
      </c>
      <c r="H451" s="23" t="s">
        <v>748</v>
      </c>
      <c r="I451" s="24">
        <v>200000</v>
      </c>
      <c r="J451" s="24">
        <v>0</v>
      </c>
      <c r="K451" s="24">
        <v>0</v>
      </c>
      <c r="L451" s="24">
        <v>200000</v>
      </c>
      <c r="M451" s="29"/>
      <c r="N451" s="24">
        <f t="shared" si="6"/>
        <v>200000</v>
      </c>
      <c r="O451" s="29"/>
    </row>
    <row r="452" spans="1:15">
      <c r="A452" s="23" t="s">
        <v>682</v>
      </c>
      <c r="B452" s="23" t="s">
        <v>744</v>
      </c>
      <c r="C452" s="23" t="s">
        <v>750</v>
      </c>
      <c r="D452" s="23" t="s">
        <v>751</v>
      </c>
      <c r="E452" s="23" t="s">
        <v>72</v>
      </c>
      <c r="F452" s="23" t="s">
        <v>74</v>
      </c>
      <c r="G452" s="23" t="s">
        <v>76</v>
      </c>
      <c r="H452" s="23" t="s">
        <v>752</v>
      </c>
      <c r="I452" s="24">
        <v>4800000</v>
      </c>
      <c r="J452" s="24">
        <v>435590</v>
      </c>
      <c r="K452" s="24">
        <v>435590</v>
      </c>
      <c r="L452" s="24">
        <v>4364410</v>
      </c>
      <c r="M452" s="29"/>
      <c r="N452" s="24">
        <f t="shared" si="6"/>
        <v>4364410</v>
      </c>
      <c r="O452" s="29"/>
    </row>
    <row r="453" spans="1:15">
      <c r="A453" s="23" t="s">
        <v>682</v>
      </c>
      <c r="B453" s="23" t="s">
        <v>744</v>
      </c>
      <c r="C453" s="23" t="s">
        <v>750</v>
      </c>
      <c r="D453" s="23" t="s">
        <v>751</v>
      </c>
      <c r="E453" s="23" t="s">
        <v>72</v>
      </c>
      <c r="F453" s="23" t="s">
        <v>74</v>
      </c>
      <c r="G453" s="23" t="s">
        <v>76</v>
      </c>
      <c r="H453" s="23" t="s">
        <v>753</v>
      </c>
      <c r="I453" s="24">
        <v>3432000</v>
      </c>
      <c r="J453" s="24">
        <v>3000000</v>
      </c>
      <c r="K453" s="24">
        <v>1250000</v>
      </c>
      <c r="L453" s="24">
        <v>432000</v>
      </c>
      <c r="M453" s="29"/>
      <c r="N453" s="24">
        <f t="shared" si="6"/>
        <v>432000</v>
      </c>
      <c r="O453" s="29"/>
    </row>
    <row r="454" spans="1:15">
      <c r="A454" s="23" t="s">
        <v>682</v>
      </c>
      <c r="B454" s="23" t="s">
        <v>744</v>
      </c>
      <c r="C454" s="23" t="s">
        <v>750</v>
      </c>
      <c r="D454" s="23" t="s">
        <v>751</v>
      </c>
      <c r="E454" s="23" t="s">
        <v>72</v>
      </c>
      <c r="F454" s="23" t="s">
        <v>74</v>
      </c>
      <c r="G454" s="23" t="s">
        <v>76</v>
      </c>
      <c r="H454" s="23" t="s">
        <v>754</v>
      </c>
      <c r="I454" s="24">
        <v>1000000</v>
      </c>
      <c r="J454" s="24">
        <v>199000</v>
      </c>
      <c r="K454" s="24">
        <v>199000</v>
      </c>
      <c r="L454" s="24">
        <v>801000</v>
      </c>
      <c r="M454" s="29"/>
      <c r="N454" s="24">
        <f t="shared" si="6"/>
        <v>801000</v>
      </c>
      <c r="O454" s="29"/>
    </row>
    <row r="455" spans="1:15">
      <c r="A455" s="23" t="s">
        <v>682</v>
      </c>
      <c r="B455" s="23" t="s">
        <v>744</v>
      </c>
      <c r="C455" s="23" t="s">
        <v>750</v>
      </c>
      <c r="D455" s="23" t="s">
        <v>751</v>
      </c>
      <c r="E455" s="23" t="s">
        <v>72</v>
      </c>
      <c r="F455" s="23" t="s">
        <v>74</v>
      </c>
      <c r="G455" s="23" t="s">
        <v>76</v>
      </c>
      <c r="H455" s="23" t="s">
        <v>755</v>
      </c>
      <c r="I455" s="24">
        <v>1200000</v>
      </c>
      <c r="J455" s="24">
        <v>495000</v>
      </c>
      <c r="K455" s="24">
        <v>495000</v>
      </c>
      <c r="L455" s="24">
        <v>705000</v>
      </c>
      <c r="M455" s="29"/>
      <c r="N455" s="24">
        <f t="shared" si="6"/>
        <v>705000</v>
      </c>
      <c r="O455" s="29"/>
    </row>
    <row r="456" spans="1:15">
      <c r="A456" s="23" t="s">
        <v>682</v>
      </c>
      <c r="B456" s="23" t="s">
        <v>744</v>
      </c>
      <c r="C456" s="23" t="s">
        <v>750</v>
      </c>
      <c r="D456" s="23" t="s">
        <v>751</v>
      </c>
      <c r="E456" s="23" t="s">
        <v>72</v>
      </c>
      <c r="F456" s="23" t="s">
        <v>74</v>
      </c>
      <c r="G456" s="23" t="s">
        <v>76</v>
      </c>
      <c r="H456" s="23" t="s">
        <v>756</v>
      </c>
      <c r="I456" s="24">
        <v>1000000</v>
      </c>
      <c r="J456" s="24">
        <v>0</v>
      </c>
      <c r="K456" s="24">
        <v>0</v>
      </c>
      <c r="L456" s="24">
        <v>1000000</v>
      </c>
      <c r="M456" s="29"/>
      <c r="N456" s="24">
        <f t="shared" ref="N456:N519" si="7">L456-M456</f>
        <v>1000000</v>
      </c>
      <c r="O456" s="29"/>
    </row>
    <row r="457" spans="1:15">
      <c r="A457" s="23" t="s">
        <v>682</v>
      </c>
      <c r="B457" s="23" t="s">
        <v>744</v>
      </c>
      <c r="C457" s="23" t="s">
        <v>750</v>
      </c>
      <c r="D457" s="23" t="s">
        <v>751</v>
      </c>
      <c r="E457" s="23" t="s">
        <v>72</v>
      </c>
      <c r="F457" s="23" t="s">
        <v>74</v>
      </c>
      <c r="G457" s="23" t="s">
        <v>76</v>
      </c>
      <c r="H457" s="23" t="s">
        <v>757</v>
      </c>
      <c r="I457" s="24">
        <v>3000000</v>
      </c>
      <c r="J457" s="24">
        <v>199700</v>
      </c>
      <c r="K457" s="24">
        <v>199700</v>
      </c>
      <c r="L457" s="24">
        <v>2800300</v>
      </c>
      <c r="M457" s="29"/>
      <c r="N457" s="24">
        <f t="shared" si="7"/>
        <v>2800300</v>
      </c>
      <c r="O457" s="29"/>
    </row>
    <row r="458" spans="1:15">
      <c r="A458" s="23" t="s">
        <v>682</v>
      </c>
      <c r="B458" s="23" t="s">
        <v>744</v>
      </c>
      <c r="C458" s="23" t="s">
        <v>750</v>
      </c>
      <c r="D458" s="23" t="s">
        <v>751</v>
      </c>
      <c r="E458" s="23" t="s">
        <v>192</v>
      </c>
      <c r="F458" s="23" t="s">
        <v>192</v>
      </c>
      <c r="G458" s="23" t="s">
        <v>192</v>
      </c>
      <c r="H458" s="23" t="s">
        <v>758</v>
      </c>
      <c r="I458" s="24">
        <v>2000000</v>
      </c>
      <c r="J458" s="24">
        <v>1985500</v>
      </c>
      <c r="K458" s="24">
        <v>1985500</v>
      </c>
      <c r="L458" s="24">
        <v>14500</v>
      </c>
      <c r="M458" s="29"/>
      <c r="N458" s="24">
        <f t="shared" si="7"/>
        <v>14500</v>
      </c>
      <c r="O458" s="29"/>
    </row>
    <row r="459" spans="1:15">
      <c r="A459" s="23" t="s">
        <v>682</v>
      </c>
      <c r="B459" s="23" t="s">
        <v>744</v>
      </c>
      <c r="C459" s="23" t="s">
        <v>750</v>
      </c>
      <c r="D459" s="23" t="s">
        <v>751</v>
      </c>
      <c r="E459" s="23" t="s">
        <v>192</v>
      </c>
      <c r="F459" s="23" t="s">
        <v>192</v>
      </c>
      <c r="G459" s="23" t="s">
        <v>192</v>
      </c>
      <c r="H459" s="23" t="s">
        <v>759</v>
      </c>
      <c r="I459" s="24">
        <v>7500000</v>
      </c>
      <c r="J459" s="24">
        <v>0</v>
      </c>
      <c r="K459" s="24">
        <v>0</v>
      </c>
      <c r="L459" s="24">
        <v>7500000</v>
      </c>
      <c r="M459" s="29"/>
      <c r="N459" s="24">
        <f t="shared" si="7"/>
        <v>7500000</v>
      </c>
      <c r="O459" s="29"/>
    </row>
    <row r="460" spans="1:15">
      <c r="A460" s="23" t="s">
        <v>682</v>
      </c>
      <c r="B460" s="23" t="s">
        <v>761</v>
      </c>
      <c r="C460" s="23" t="s">
        <v>763</v>
      </c>
      <c r="D460" s="23" t="s">
        <v>764</v>
      </c>
      <c r="E460" s="23" t="s">
        <v>72</v>
      </c>
      <c r="F460" s="23" t="s">
        <v>74</v>
      </c>
      <c r="G460" s="23" t="s">
        <v>76</v>
      </c>
      <c r="H460" s="23" t="s">
        <v>765</v>
      </c>
      <c r="I460" s="24">
        <v>50000000</v>
      </c>
      <c r="J460" s="24">
        <v>0</v>
      </c>
      <c r="K460" s="24">
        <v>0</v>
      </c>
      <c r="L460" s="24">
        <v>50000000</v>
      </c>
      <c r="M460" s="29"/>
      <c r="N460" s="24">
        <f t="shared" si="7"/>
        <v>50000000</v>
      </c>
      <c r="O460" s="29"/>
    </row>
    <row r="461" spans="1:15">
      <c r="A461" s="23" t="s">
        <v>682</v>
      </c>
      <c r="B461" s="23" t="s">
        <v>761</v>
      </c>
      <c r="C461" s="23" t="s">
        <v>763</v>
      </c>
      <c r="D461" s="23" t="s">
        <v>764</v>
      </c>
      <c r="E461" s="23" t="s">
        <v>192</v>
      </c>
      <c r="F461" s="23" t="s">
        <v>192</v>
      </c>
      <c r="G461" s="23" t="s">
        <v>192</v>
      </c>
      <c r="H461" s="23" t="s">
        <v>766</v>
      </c>
      <c r="I461" s="24">
        <v>100000000</v>
      </c>
      <c r="J461" s="24">
        <v>0</v>
      </c>
      <c r="K461" s="24">
        <v>0</v>
      </c>
      <c r="L461" s="24">
        <v>100000000</v>
      </c>
      <c r="M461" s="29"/>
      <c r="N461" s="24">
        <f t="shared" si="7"/>
        <v>100000000</v>
      </c>
      <c r="O461" s="29"/>
    </row>
    <row r="462" spans="1:15">
      <c r="A462" s="23" t="s">
        <v>682</v>
      </c>
      <c r="B462" s="23" t="s">
        <v>768</v>
      </c>
      <c r="C462" s="23" t="s">
        <v>770</v>
      </c>
      <c r="D462" s="23" t="s">
        <v>772</v>
      </c>
      <c r="E462" s="23" t="s">
        <v>72</v>
      </c>
      <c r="F462" s="23" t="s">
        <v>95</v>
      </c>
      <c r="G462" s="23" t="s">
        <v>95</v>
      </c>
      <c r="H462" s="23" t="s">
        <v>773</v>
      </c>
      <c r="I462" s="24">
        <v>500000</v>
      </c>
      <c r="J462" s="24">
        <v>385000</v>
      </c>
      <c r="K462" s="24">
        <v>385000</v>
      </c>
      <c r="L462" s="24">
        <v>115000</v>
      </c>
      <c r="M462" s="29"/>
      <c r="N462" s="24">
        <f t="shared" si="7"/>
        <v>115000</v>
      </c>
      <c r="O462" s="29"/>
    </row>
    <row r="463" spans="1:15">
      <c r="A463" s="23" t="s">
        <v>682</v>
      </c>
      <c r="B463" s="23" t="s">
        <v>768</v>
      </c>
      <c r="C463" s="23" t="s">
        <v>770</v>
      </c>
      <c r="D463" s="23" t="s">
        <v>775</v>
      </c>
      <c r="E463" s="23" t="s">
        <v>131</v>
      </c>
      <c r="F463" s="23" t="s">
        <v>149</v>
      </c>
      <c r="G463" s="23" t="s">
        <v>149</v>
      </c>
      <c r="H463" s="23" t="s">
        <v>776</v>
      </c>
      <c r="I463" s="24">
        <v>2000000</v>
      </c>
      <c r="J463" s="24">
        <v>0</v>
      </c>
      <c r="K463" s="24">
        <v>0</v>
      </c>
      <c r="L463" s="24">
        <v>2000000</v>
      </c>
      <c r="M463" s="29"/>
      <c r="N463" s="24">
        <f t="shared" si="7"/>
        <v>2000000</v>
      </c>
      <c r="O463" s="29"/>
    </row>
    <row r="464" spans="1:15">
      <c r="A464" s="23" t="s">
        <v>682</v>
      </c>
      <c r="B464" s="23" t="s">
        <v>768</v>
      </c>
      <c r="C464" s="23" t="s">
        <v>770</v>
      </c>
      <c r="D464" s="23" t="s">
        <v>777</v>
      </c>
      <c r="E464" s="23" t="s">
        <v>72</v>
      </c>
      <c r="F464" s="23" t="s">
        <v>74</v>
      </c>
      <c r="G464" s="23" t="s">
        <v>79</v>
      </c>
      <c r="H464" s="23" t="s">
        <v>351</v>
      </c>
      <c r="I464" s="24">
        <v>800000</v>
      </c>
      <c r="J464" s="24">
        <v>0</v>
      </c>
      <c r="K464" s="24">
        <v>0</v>
      </c>
      <c r="L464" s="24">
        <v>800000</v>
      </c>
      <c r="M464" s="29"/>
      <c r="N464" s="24">
        <f t="shared" si="7"/>
        <v>800000</v>
      </c>
      <c r="O464" s="29"/>
    </row>
    <row r="465" spans="1:15">
      <c r="A465" s="23" t="s">
        <v>682</v>
      </c>
      <c r="B465" s="23" t="s">
        <v>768</v>
      </c>
      <c r="C465" s="23" t="s">
        <v>770</v>
      </c>
      <c r="D465" s="23" t="s">
        <v>777</v>
      </c>
      <c r="E465" s="23" t="s">
        <v>72</v>
      </c>
      <c r="F465" s="23" t="s">
        <v>95</v>
      </c>
      <c r="G465" s="23" t="s">
        <v>95</v>
      </c>
      <c r="H465" s="23" t="s">
        <v>778</v>
      </c>
      <c r="I465" s="24">
        <v>1200000</v>
      </c>
      <c r="J465" s="24">
        <v>657800</v>
      </c>
      <c r="K465" s="24">
        <v>657800</v>
      </c>
      <c r="L465" s="24">
        <v>542200</v>
      </c>
      <c r="M465" s="29"/>
      <c r="N465" s="24">
        <f t="shared" si="7"/>
        <v>542200</v>
      </c>
      <c r="O465" s="29"/>
    </row>
    <row r="466" spans="1:15">
      <c r="A466" s="23" t="s">
        <v>682</v>
      </c>
      <c r="B466" s="23" t="s">
        <v>768</v>
      </c>
      <c r="C466" s="23" t="s">
        <v>770</v>
      </c>
      <c r="D466" s="23" t="s">
        <v>779</v>
      </c>
      <c r="E466" s="23" t="s">
        <v>72</v>
      </c>
      <c r="F466" s="23" t="s">
        <v>95</v>
      </c>
      <c r="G466" s="23" t="s">
        <v>95</v>
      </c>
      <c r="H466" s="23" t="s">
        <v>780</v>
      </c>
      <c r="I466" s="24">
        <v>600000</v>
      </c>
      <c r="J466" s="24">
        <v>0</v>
      </c>
      <c r="K466" s="24">
        <v>0</v>
      </c>
      <c r="L466" s="24">
        <v>600000</v>
      </c>
      <c r="M466" s="29"/>
      <c r="N466" s="24">
        <f t="shared" si="7"/>
        <v>600000</v>
      </c>
      <c r="O466" s="29"/>
    </row>
    <row r="467" spans="1:15">
      <c r="A467" s="23" t="s">
        <v>682</v>
      </c>
      <c r="B467" s="23" t="s">
        <v>768</v>
      </c>
      <c r="C467" s="23" t="s">
        <v>770</v>
      </c>
      <c r="D467" s="23" t="s">
        <v>779</v>
      </c>
      <c r="E467" s="23" t="s">
        <v>72</v>
      </c>
      <c r="F467" s="23" t="s">
        <v>95</v>
      </c>
      <c r="G467" s="23" t="s">
        <v>95</v>
      </c>
      <c r="H467" s="23" t="s">
        <v>781</v>
      </c>
      <c r="I467" s="24">
        <v>900000</v>
      </c>
      <c r="J467" s="24">
        <v>413080</v>
      </c>
      <c r="K467" s="24">
        <v>413080</v>
      </c>
      <c r="L467" s="24">
        <v>486920</v>
      </c>
      <c r="M467" s="29"/>
      <c r="N467" s="24">
        <f t="shared" si="7"/>
        <v>486920</v>
      </c>
      <c r="O467" s="29"/>
    </row>
    <row r="468" spans="1:15">
      <c r="A468" s="23" t="s">
        <v>682</v>
      </c>
      <c r="B468" s="23" t="s">
        <v>768</v>
      </c>
      <c r="C468" s="23" t="s">
        <v>783</v>
      </c>
      <c r="D468" s="23" t="s">
        <v>784</v>
      </c>
      <c r="E468" s="23" t="s">
        <v>72</v>
      </c>
      <c r="F468" s="23" t="s">
        <v>74</v>
      </c>
      <c r="G468" s="23" t="s">
        <v>79</v>
      </c>
      <c r="H468" s="23" t="s">
        <v>785</v>
      </c>
      <c r="I468" s="24">
        <v>160000</v>
      </c>
      <c r="J468" s="24">
        <v>0</v>
      </c>
      <c r="K468" s="24">
        <v>0</v>
      </c>
      <c r="L468" s="24">
        <v>160000</v>
      </c>
      <c r="M468" s="29"/>
      <c r="N468" s="24">
        <f t="shared" si="7"/>
        <v>160000</v>
      </c>
      <c r="O468" s="29"/>
    </row>
    <row r="469" spans="1:15">
      <c r="A469" s="23" t="s">
        <v>682</v>
      </c>
      <c r="B469" s="23" t="s">
        <v>768</v>
      </c>
      <c r="C469" s="23" t="s">
        <v>783</v>
      </c>
      <c r="D469" s="23" t="s">
        <v>784</v>
      </c>
      <c r="E469" s="23" t="s">
        <v>72</v>
      </c>
      <c r="F469" s="23" t="s">
        <v>95</v>
      </c>
      <c r="G469" s="23" t="s">
        <v>95</v>
      </c>
      <c r="H469" s="23" t="s">
        <v>786</v>
      </c>
      <c r="I469" s="24">
        <v>160000</v>
      </c>
      <c r="J469" s="24">
        <v>0</v>
      </c>
      <c r="K469" s="24">
        <v>0</v>
      </c>
      <c r="L469" s="24">
        <v>160000</v>
      </c>
      <c r="M469" s="29"/>
      <c r="N469" s="24">
        <f t="shared" si="7"/>
        <v>160000</v>
      </c>
      <c r="O469" s="29"/>
    </row>
    <row r="470" spans="1:15">
      <c r="A470" s="23" t="s">
        <v>682</v>
      </c>
      <c r="B470" s="23" t="s">
        <v>768</v>
      </c>
      <c r="C470" s="23" t="s">
        <v>783</v>
      </c>
      <c r="D470" s="23" t="s">
        <v>787</v>
      </c>
      <c r="E470" s="23" t="s">
        <v>72</v>
      </c>
      <c r="F470" s="23" t="s">
        <v>74</v>
      </c>
      <c r="G470" s="23" t="s">
        <v>79</v>
      </c>
      <c r="H470" s="23" t="s">
        <v>788</v>
      </c>
      <c r="I470" s="24">
        <v>3625000</v>
      </c>
      <c r="J470" s="24">
        <v>1256580</v>
      </c>
      <c r="K470" s="24">
        <v>1256580</v>
      </c>
      <c r="L470" s="24">
        <v>2368420</v>
      </c>
      <c r="M470" s="29"/>
      <c r="N470" s="24">
        <f t="shared" si="7"/>
        <v>2368420</v>
      </c>
      <c r="O470" s="29"/>
    </row>
    <row r="471" spans="1:15">
      <c r="A471" s="23" t="s">
        <v>682</v>
      </c>
      <c r="B471" s="23" t="s">
        <v>768</v>
      </c>
      <c r="C471" s="23" t="s">
        <v>783</v>
      </c>
      <c r="D471" s="23" t="s">
        <v>789</v>
      </c>
      <c r="E471" s="23" t="s">
        <v>131</v>
      </c>
      <c r="F471" s="23" t="s">
        <v>133</v>
      </c>
      <c r="G471" s="23" t="s">
        <v>135</v>
      </c>
      <c r="H471" s="23" t="s">
        <v>790</v>
      </c>
      <c r="I471" s="24">
        <v>36484000</v>
      </c>
      <c r="J471" s="24">
        <v>25584630</v>
      </c>
      <c r="K471" s="24">
        <v>25584630</v>
      </c>
      <c r="L471" s="24">
        <v>10899370</v>
      </c>
      <c r="M471" s="29"/>
      <c r="N471" s="24">
        <f t="shared" si="7"/>
        <v>10899370</v>
      </c>
      <c r="O471" s="29"/>
    </row>
    <row r="472" spans="1:15">
      <c r="A472" s="23" t="s">
        <v>682</v>
      </c>
      <c r="B472" s="23" t="s">
        <v>768</v>
      </c>
      <c r="C472" s="23" t="s">
        <v>783</v>
      </c>
      <c r="D472" s="23" t="s">
        <v>789</v>
      </c>
      <c r="E472" s="23" t="s">
        <v>72</v>
      </c>
      <c r="F472" s="23" t="s">
        <v>74</v>
      </c>
      <c r="G472" s="23" t="s">
        <v>76</v>
      </c>
      <c r="H472" s="23" t="s">
        <v>791</v>
      </c>
      <c r="I472" s="24">
        <v>1018000</v>
      </c>
      <c r="J472" s="24">
        <v>1018000</v>
      </c>
      <c r="K472" s="24">
        <v>1018000</v>
      </c>
      <c r="L472" s="24">
        <v>0</v>
      </c>
      <c r="M472" s="29"/>
      <c r="N472" s="24">
        <f t="shared" si="7"/>
        <v>0</v>
      </c>
      <c r="O472" s="29"/>
    </row>
    <row r="473" spans="1:15">
      <c r="A473" s="23" t="s">
        <v>682</v>
      </c>
      <c r="B473" s="23" t="s">
        <v>768</v>
      </c>
      <c r="C473" s="23" t="s">
        <v>783</v>
      </c>
      <c r="D473" s="23" t="s">
        <v>792</v>
      </c>
      <c r="E473" s="23" t="s">
        <v>72</v>
      </c>
      <c r="F473" s="23" t="s">
        <v>74</v>
      </c>
      <c r="G473" s="23" t="s">
        <v>79</v>
      </c>
      <c r="H473" s="23" t="s">
        <v>793</v>
      </c>
      <c r="I473" s="24">
        <v>200000</v>
      </c>
      <c r="J473" s="24">
        <v>0</v>
      </c>
      <c r="K473" s="24">
        <v>0</v>
      </c>
      <c r="L473" s="24">
        <v>200000</v>
      </c>
      <c r="M473" s="29"/>
      <c r="N473" s="24">
        <f t="shared" si="7"/>
        <v>200000</v>
      </c>
      <c r="O473" s="29"/>
    </row>
    <row r="474" spans="1:15">
      <c r="A474" s="23" t="s">
        <v>682</v>
      </c>
      <c r="B474" s="23" t="s">
        <v>768</v>
      </c>
      <c r="C474" s="23" t="s">
        <v>783</v>
      </c>
      <c r="D474" s="23" t="s">
        <v>792</v>
      </c>
      <c r="E474" s="23" t="s">
        <v>72</v>
      </c>
      <c r="F474" s="23" t="s">
        <v>95</v>
      </c>
      <c r="G474" s="23" t="s">
        <v>95</v>
      </c>
      <c r="H474" s="23" t="s">
        <v>794</v>
      </c>
      <c r="I474" s="24">
        <v>4800000</v>
      </c>
      <c r="J474" s="24">
        <v>4800000</v>
      </c>
      <c r="K474" s="24">
        <v>4800000</v>
      </c>
      <c r="L474" s="24">
        <v>0</v>
      </c>
      <c r="M474" s="29"/>
      <c r="N474" s="24">
        <f t="shared" si="7"/>
        <v>0</v>
      </c>
      <c r="O474" s="29"/>
    </row>
    <row r="475" spans="1:15">
      <c r="A475" s="23" t="s">
        <v>682</v>
      </c>
      <c r="B475" s="23" t="s">
        <v>768</v>
      </c>
      <c r="C475" s="23" t="s">
        <v>796</v>
      </c>
      <c r="D475" s="23" t="s">
        <v>797</v>
      </c>
      <c r="E475" s="23" t="s">
        <v>72</v>
      </c>
      <c r="F475" s="23" t="s">
        <v>95</v>
      </c>
      <c r="G475" s="23" t="s">
        <v>95</v>
      </c>
      <c r="H475" s="23" t="s">
        <v>798</v>
      </c>
      <c r="I475" s="24">
        <v>900000</v>
      </c>
      <c r="J475" s="24">
        <v>0</v>
      </c>
      <c r="K475" s="24">
        <v>0</v>
      </c>
      <c r="L475" s="24">
        <v>900000</v>
      </c>
      <c r="M475" s="29"/>
      <c r="N475" s="24">
        <f t="shared" si="7"/>
        <v>900000</v>
      </c>
      <c r="O475" s="29"/>
    </row>
    <row r="476" spans="1:15">
      <c r="A476" s="23" t="s">
        <v>682</v>
      </c>
      <c r="B476" s="23" t="s">
        <v>768</v>
      </c>
      <c r="C476" s="23" t="s">
        <v>796</v>
      </c>
      <c r="D476" s="23" t="s">
        <v>799</v>
      </c>
      <c r="E476" s="23" t="s">
        <v>72</v>
      </c>
      <c r="F476" s="23" t="s">
        <v>74</v>
      </c>
      <c r="G476" s="23" t="s">
        <v>76</v>
      </c>
      <c r="H476" s="23" t="s">
        <v>800</v>
      </c>
      <c r="I476" s="24">
        <v>850000</v>
      </c>
      <c r="J476" s="24">
        <v>849150</v>
      </c>
      <c r="K476" s="24">
        <v>849150</v>
      </c>
      <c r="L476" s="24">
        <v>850</v>
      </c>
      <c r="M476" s="29"/>
      <c r="N476" s="24">
        <f t="shared" si="7"/>
        <v>850</v>
      </c>
      <c r="O476" s="29"/>
    </row>
    <row r="477" spans="1:15">
      <c r="A477" s="23" t="s">
        <v>802</v>
      </c>
      <c r="B477" s="23" t="s">
        <v>804</v>
      </c>
      <c r="C477" s="23" t="s">
        <v>806</v>
      </c>
      <c r="D477" s="23" t="s">
        <v>807</v>
      </c>
      <c r="E477" s="23" t="s">
        <v>72</v>
      </c>
      <c r="F477" s="23" t="s">
        <v>74</v>
      </c>
      <c r="G477" s="23" t="s">
        <v>809</v>
      </c>
      <c r="H477" s="23" t="s">
        <v>810</v>
      </c>
      <c r="I477" s="24">
        <v>4040000</v>
      </c>
      <c r="J477" s="24">
        <v>1489820</v>
      </c>
      <c r="K477" s="24">
        <v>1489820</v>
      </c>
      <c r="L477" s="24">
        <v>2550180</v>
      </c>
      <c r="M477" s="29"/>
      <c r="N477" s="24">
        <f t="shared" si="7"/>
        <v>2550180</v>
      </c>
      <c r="O477" s="29"/>
    </row>
    <row r="478" spans="1:15">
      <c r="A478" s="23" t="s">
        <v>802</v>
      </c>
      <c r="B478" s="23" t="s">
        <v>804</v>
      </c>
      <c r="C478" s="23" t="s">
        <v>806</v>
      </c>
      <c r="D478" s="23" t="s">
        <v>807</v>
      </c>
      <c r="E478" s="23" t="s">
        <v>72</v>
      </c>
      <c r="F478" s="23" t="s">
        <v>74</v>
      </c>
      <c r="G478" s="23" t="s">
        <v>809</v>
      </c>
      <c r="H478" s="23" t="s">
        <v>811</v>
      </c>
      <c r="I478" s="24">
        <v>420000</v>
      </c>
      <c r="J478" s="24">
        <v>291840</v>
      </c>
      <c r="K478" s="24">
        <v>121600</v>
      </c>
      <c r="L478" s="24">
        <v>128160</v>
      </c>
      <c r="M478" s="29"/>
      <c r="N478" s="24">
        <f t="shared" si="7"/>
        <v>128160</v>
      </c>
      <c r="O478" s="29"/>
    </row>
    <row r="479" spans="1:15">
      <c r="A479" s="23" t="s">
        <v>802</v>
      </c>
      <c r="B479" s="23" t="s">
        <v>804</v>
      </c>
      <c r="C479" s="23" t="s">
        <v>806</v>
      </c>
      <c r="D479" s="23" t="s">
        <v>807</v>
      </c>
      <c r="E479" s="23" t="s">
        <v>72</v>
      </c>
      <c r="F479" s="23" t="s">
        <v>74</v>
      </c>
      <c r="G479" s="23" t="s">
        <v>809</v>
      </c>
      <c r="H479" s="23" t="s">
        <v>812</v>
      </c>
      <c r="I479" s="24">
        <v>100000</v>
      </c>
      <c r="J479" s="24">
        <v>0</v>
      </c>
      <c r="K479" s="24">
        <v>0</v>
      </c>
      <c r="L479" s="24">
        <v>100000</v>
      </c>
      <c r="M479" s="29"/>
      <c r="N479" s="24">
        <f t="shared" si="7"/>
        <v>100000</v>
      </c>
      <c r="O479" s="29"/>
    </row>
    <row r="480" spans="1:15">
      <c r="A480" s="23" t="s">
        <v>802</v>
      </c>
      <c r="B480" s="23" t="s">
        <v>804</v>
      </c>
      <c r="C480" s="23" t="s">
        <v>806</v>
      </c>
      <c r="D480" s="23" t="s">
        <v>813</v>
      </c>
      <c r="E480" s="23" t="s">
        <v>72</v>
      </c>
      <c r="F480" s="23" t="s">
        <v>74</v>
      </c>
      <c r="G480" s="23" t="s">
        <v>813</v>
      </c>
      <c r="H480" s="23" t="s">
        <v>813</v>
      </c>
      <c r="I480" s="24">
        <v>134210000</v>
      </c>
      <c r="J480" s="24">
        <v>34585680</v>
      </c>
      <c r="K480" s="24">
        <v>34585680</v>
      </c>
      <c r="L480" s="24">
        <v>99624320</v>
      </c>
      <c r="M480" s="29"/>
      <c r="N480" s="24">
        <f t="shared" si="7"/>
        <v>99624320</v>
      </c>
      <c r="O480" s="29"/>
    </row>
    <row r="481" spans="1:15">
      <c r="A481" s="23" t="s">
        <v>802</v>
      </c>
      <c r="B481" s="23" t="s">
        <v>804</v>
      </c>
      <c r="C481" s="23" t="s">
        <v>806</v>
      </c>
      <c r="D481" s="23" t="s">
        <v>815</v>
      </c>
      <c r="E481" s="23" t="s">
        <v>72</v>
      </c>
      <c r="F481" s="23" t="s">
        <v>74</v>
      </c>
      <c r="G481" s="23" t="s">
        <v>815</v>
      </c>
      <c r="H481" s="23" t="s">
        <v>817</v>
      </c>
      <c r="I481" s="24">
        <v>80000000</v>
      </c>
      <c r="J481" s="24">
        <v>46756080</v>
      </c>
      <c r="K481" s="24">
        <v>46756080</v>
      </c>
      <c r="L481" s="24">
        <v>33243920</v>
      </c>
      <c r="M481" s="29"/>
      <c r="N481" s="24">
        <f t="shared" si="7"/>
        <v>33243920</v>
      </c>
      <c r="O481" s="29"/>
    </row>
    <row r="482" spans="1:15">
      <c r="A482" s="23" t="s">
        <v>802</v>
      </c>
      <c r="B482" s="23" t="s">
        <v>804</v>
      </c>
      <c r="C482" s="23" t="s">
        <v>806</v>
      </c>
      <c r="D482" s="23" t="s">
        <v>818</v>
      </c>
      <c r="E482" s="23" t="s">
        <v>72</v>
      </c>
      <c r="F482" s="23" t="s">
        <v>74</v>
      </c>
      <c r="G482" s="23" t="s">
        <v>818</v>
      </c>
      <c r="H482" s="23" t="s">
        <v>820</v>
      </c>
      <c r="I482" s="24">
        <v>25000000</v>
      </c>
      <c r="J482" s="24">
        <v>11016760</v>
      </c>
      <c r="K482" s="24">
        <v>11016760</v>
      </c>
      <c r="L482" s="24">
        <v>13983240</v>
      </c>
      <c r="M482" s="29"/>
      <c r="N482" s="24">
        <f t="shared" si="7"/>
        <v>13983240</v>
      </c>
      <c r="O482" s="29"/>
    </row>
    <row r="483" spans="1:15">
      <c r="A483" s="23" t="s">
        <v>802</v>
      </c>
      <c r="B483" s="23" t="s">
        <v>804</v>
      </c>
      <c r="C483" s="23" t="s">
        <v>806</v>
      </c>
      <c r="D483" s="23" t="s">
        <v>821</v>
      </c>
      <c r="E483" s="23" t="s">
        <v>72</v>
      </c>
      <c r="F483" s="23" t="s">
        <v>74</v>
      </c>
      <c r="G483" s="23" t="s">
        <v>76</v>
      </c>
      <c r="H483" s="23" t="s">
        <v>822</v>
      </c>
      <c r="I483" s="24">
        <v>38800000</v>
      </c>
      <c r="J483" s="24">
        <v>31900000</v>
      </c>
      <c r="K483" s="24">
        <v>15950000</v>
      </c>
      <c r="L483" s="24">
        <v>6900000</v>
      </c>
      <c r="M483" s="29"/>
      <c r="N483" s="24">
        <f t="shared" si="7"/>
        <v>6900000</v>
      </c>
      <c r="O483" s="29"/>
    </row>
    <row r="484" spans="1:15">
      <c r="A484" s="23" t="s">
        <v>802</v>
      </c>
      <c r="B484" s="23" t="s">
        <v>804</v>
      </c>
      <c r="C484" s="23" t="s">
        <v>806</v>
      </c>
      <c r="D484" s="23" t="s">
        <v>821</v>
      </c>
      <c r="E484" s="23" t="s">
        <v>72</v>
      </c>
      <c r="F484" s="23" t="s">
        <v>74</v>
      </c>
      <c r="G484" s="23" t="s">
        <v>76</v>
      </c>
      <c r="H484" s="23" t="s">
        <v>823</v>
      </c>
      <c r="I484" s="24">
        <v>830000</v>
      </c>
      <c r="J484" s="24">
        <v>823680</v>
      </c>
      <c r="K484" s="24">
        <v>343200</v>
      </c>
      <c r="L484" s="24">
        <v>6320</v>
      </c>
      <c r="M484" s="29"/>
      <c r="N484" s="24">
        <f t="shared" si="7"/>
        <v>6320</v>
      </c>
      <c r="O484" s="29"/>
    </row>
    <row r="485" spans="1:15">
      <c r="A485" s="23" t="s">
        <v>802</v>
      </c>
      <c r="B485" s="23" t="s">
        <v>804</v>
      </c>
      <c r="C485" s="23" t="s">
        <v>806</v>
      </c>
      <c r="D485" s="23" t="s">
        <v>821</v>
      </c>
      <c r="E485" s="23" t="s">
        <v>72</v>
      </c>
      <c r="F485" s="23" t="s">
        <v>74</v>
      </c>
      <c r="G485" s="23" t="s">
        <v>76</v>
      </c>
      <c r="H485" s="23" t="s">
        <v>824</v>
      </c>
      <c r="I485" s="24">
        <v>1920000</v>
      </c>
      <c r="J485" s="24">
        <v>1900800</v>
      </c>
      <c r="K485" s="24">
        <v>792000</v>
      </c>
      <c r="L485" s="24">
        <v>19200</v>
      </c>
      <c r="M485" s="29"/>
      <c r="N485" s="24">
        <f t="shared" si="7"/>
        <v>19200</v>
      </c>
      <c r="O485" s="29"/>
    </row>
    <row r="486" spans="1:15">
      <c r="A486" s="23" t="s">
        <v>802</v>
      </c>
      <c r="B486" s="23" t="s">
        <v>804</v>
      </c>
      <c r="C486" s="23" t="s">
        <v>806</v>
      </c>
      <c r="D486" s="23" t="s">
        <v>821</v>
      </c>
      <c r="E486" s="23" t="s">
        <v>72</v>
      </c>
      <c r="F486" s="23" t="s">
        <v>74</v>
      </c>
      <c r="G486" s="23" t="s">
        <v>76</v>
      </c>
      <c r="H486" s="23" t="s">
        <v>825</v>
      </c>
      <c r="I486" s="24">
        <v>2000000</v>
      </c>
      <c r="J486" s="24">
        <v>502000</v>
      </c>
      <c r="K486" s="24">
        <v>110000</v>
      </c>
      <c r="L486" s="24">
        <v>1498000</v>
      </c>
      <c r="M486" s="29"/>
      <c r="N486" s="24">
        <f t="shared" si="7"/>
        <v>1498000</v>
      </c>
      <c r="O486" s="29"/>
    </row>
    <row r="487" spans="1:15">
      <c r="A487" s="23" t="s">
        <v>802</v>
      </c>
      <c r="B487" s="23" t="s">
        <v>804</v>
      </c>
      <c r="C487" s="23" t="s">
        <v>806</v>
      </c>
      <c r="D487" s="23" t="s">
        <v>821</v>
      </c>
      <c r="E487" s="23" t="s">
        <v>72</v>
      </c>
      <c r="F487" s="23" t="s">
        <v>74</v>
      </c>
      <c r="G487" s="23" t="s">
        <v>76</v>
      </c>
      <c r="H487" s="23" t="s">
        <v>826</v>
      </c>
      <c r="I487" s="24">
        <v>1080000</v>
      </c>
      <c r="J487" s="24">
        <v>990000</v>
      </c>
      <c r="K487" s="24">
        <v>450000</v>
      </c>
      <c r="L487" s="24">
        <v>90000</v>
      </c>
      <c r="M487" s="29"/>
      <c r="N487" s="24">
        <f t="shared" si="7"/>
        <v>90000</v>
      </c>
      <c r="O487" s="29"/>
    </row>
    <row r="488" spans="1:15">
      <c r="A488" s="23" t="s">
        <v>802</v>
      </c>
      <c r="B488" s="23" t="s">
        <v>804</v>
      </c>
      <c r="C488" s="23" t="s">
        <v>806</v>
      </c>
      <c r="D488" s="23" t="s">
        <v>821</v>
      </c>
      <c r="E488" s="23" t="s">
        <v>72</v>
      </c>
      <c r="F488" s="23" t="s">
        <v>74</v>
      </c>
      <c r="G488" s="23" t="s">
        <v>76</v>
      </c>
      <c r="H488" s="23" t="s">
        <v>827</v>
      </c>
      <c r="I488" s="24">
        <v>5272000</v>
      </c>
      <c r="J488" s="24">
        <v>5266800</v>
      </c>
      <c r="K488" s="24">
        <v>1915200</v>
      </c>
      <c r="L488" s="24">
        <v>5200</v>
      </c>
      <c r="M488" s="29"/>
      <c r="N488" s="24">
        <f t="shared" si="7"/>
        <v>5200</v>
      </c>
      <c r="O488" s="29"/>
    </row>
    <row r="489" spans="1:15">
      <c r="A489" s="23" t="s">
        <v>802</v>
      </c>
      <c r="B489" s="23" t="s">
        <v>804</v>
      </c>
      <c r="C489" s="23" t="s">
        <v>806</v>
      </c>
      <c r="D489" s="23" t="s">
        <v>821</v>
      </c>
      <c r="E489" s="23" t="s">
        <v>72</v>
      </c>
      <c r="F489" s="23" t="s">
        <v>74</v>
      </c>
      <c r="G489" s="23" t="s">
        <v>76</v>
      </c>
      <c r="H489" s="23" t="s">
        <v>828</v>
      </c>
      <c r="I489" s="24">
        <v>1200000</v>
      </c>
      <c r="J489" s="24">
        <v>0</v>
      </c>
      <c r="K489" s="24">
        <v>0</v>
      </c>
      <c r="L489" s="24">
        <v>1200000</v>
      </c>
      <c r="M489" s="29"/>
      <c r="N489" s="24">
        <f t="shared" si="7"/>
        <v>1200000</v>
      </c>
      <c r="O489" s="29"/>
    </row>
    <row r="490" spans="1:15">
      <c r="A490" s="23" t="s">
        <v>802</v>
      </c>
      <c r="B490" s="23" t="s">
        <v>804</v>
      </c>
      <c r="C490" s="23" t="s">
        <v>806</v>
      </c>
      <c r="D490" s="23" t="s">
        <v>821</v>
      </c>
      <c r="E490" s="23" t="s">
        <v>72</v>
      </c>
      <c r="F490" s="23" t="s">
        <v>74</v>
      </c>
      <c r="G490" s="23" t="s">
        <v>76</v>
      </c>
      <c r="H490" s="23" t="s">
        <v>829</v>
      </c>
      <c r="I490" s="24">
        <v>7920000</v>
      </c>
      <c r="J490" s="24">
        <v>7380000</v>
      </c>
      <c r="K490" s="24">
        <v>3075000</v>
      </c>
      <c r="L490" s="24">
        <v>540000</v>
      </c>
      <c r="M490" s="29"/>
      <c r="N490" s="24">
        <f t="shared" si="7"/>
        <v>540000</v>
      </c>
      <c r="O490" s="29"/>
    </row>
    <row r="491" spans="1:15">
      <c r="A491" s="23" t="s">
        <v>802</v>
      </c>
      <c r="B491" s="23" t="s">
        <v>804</v>
      </c>
      <c r="C491" s="23" t="s">
        <v>806</v>
      </c>
      <c r="D491" s="23" t="s">
        <v>821</v>
      </c>
      <c r="E491" s="23" t="s">
        <v>72</v>
      </c>
      <c r="F491" s="23" t="s">
        <v>74</v>
      </c>
      <c r="G491" s="23" t="s">
        <v>76</v>
      </c>
      <c r="H491" s="23" t="s">
        <v>830</v>
      </c>
      <c r="I491" s="24">
        <v>1200000</v>
      </c>
      <c r="J491" s="24">
        <v>0</v>
      </c>
      <c r="K491" s="24">
        <v>0</v>
      </c>
      <c r="L491" s="24">
        <v>1200000</v>
      </c>
      <c r="M491" s="29"/>
      <c r="N491" s="24">
        <f t="shared" si="7"/>
        <v>1200000</v>
      </c>
      <c r="O491" s="29"/>
    </row>
    <row r="492" spans="1:15">
      <c r="A492" s="23" t="s">
        <v>802</v>
      </c>
      <c r="B492" s="23" t="s">
        <v>804</v>
      </c>
      <c r="C492" s="23" t="s">
        <v>806</v>
      </c>
      <c r="D492" s="23" t="s">
        <v>821</v>
      </c>
      <c r="E492" s="23" t="s">
        <v>72</v>
      </c>
      <c r="F492" s="23" t="s">
        <v>74</v>
      </c>
      <c r="G492" s="23" t="s">
        <v>76</v>
      </c>
      <c r="H492" s="23" t="s">
        <v>831</v>
      </c>
      <c r="I492" s="24">
        <v>5208000</v>
      </c>
      <c r="J492" s="24">
        <v>3000000</v>
      </c>
      <c r="K492" s="24">
        <v>1250000</v>
      </c>
      <c r="L492" s="24">
        <v>2208000</v>
      </c>
      <c r="M492" s="29"/>
      <c r="N492" s="24">
        <f t="shared" si="7"/>
        <v>2208000</v>
      </c>
      <c r="O492" s="29"/>
    </row>
    <row r="493" spans="1:15">
      <c r="A493" s="23" t="s">
        <v>802</v>
      </c>
      <c r="B493" s="23" t="s">
        <v>804</v>
      </c>
      <c r="C493" s="23" t="s">
        <v>806</v>
      </c>
      <c r="D493" s="23" t="s">
        <v>821</v>
      </c>
      <c r="E493" s="23" t="s">
        <v>72</v>
      </c>
      <c r="F493" s="23" t="s">
        <v>74</v>
      </c>
      <c r="G493" s="23" t="s">
        <v>76</v>
      </c>
      <c r="H493" s="23" t="s">
        <v>832</v>
      </c>
      <c r="I493" s="24">
        <v>294000</v>
      </c>
      <c r="J493" s="24">
        <v>294000</v>
      </c>
      <c r="K493" s="24">
        <v>235360</v>
      </c>
      <c r="L493" s="24">
        <v>0</v>
      </c>
      <c r="M493" s="29"/>
      <c r="N493" s="24">
        <f t="shared" si="7"/>
        <v>0</v>
      </c>
      <c r="O493" s="29"/>
    </row>
    <row r="494" spans="1:15">
      <c r="A494" s="23" t="s">
        <v>802</v>
      </c>
      <c r="B494" s="23" t="s">
        <v>804</v>
      </c>
      <c r="C494" s="23" t="s">
        <v>806</v>
      </c>
      <c r="D494" s="23" t="s">
        <v>821</v>
      </c>
      <c r="E494" s="23" t="s">
        <v>72</v>
      </c>
      <c r="F494" s="23" t="s">
        <v>74</v>
      </c>
      <c r="G494" s="23" t="s">
        <v>76</v>
      </c>
      <c r="H494" s="23" t="s">
        <v>833</v>
      </c>
      <c r="I494" s="24">
        <v>504000</v>
      </c>
      <c r="J494" s="24">
        <v>433900</v>
      </c>
      <c r="K494" s="24">
        <v>113180</v>
      </c>
      <c r="L494" s="24">
        <v>70100</v>
      </c>
      <c r="M494" s="29"/>
      <c r="N494" s="24">
        <f t="shared" si="7"/>
        <v>70100</v>
      </c>
      <c r="O494" s="29"/>
    </row>
    <row r="495" spans="1:15">
      <c r="A495" s="23" t="s">
        <v>802</v>
      </c>
      <c r="B495" s="23" t="s">
        <v>804</v>
      </c>
      <c r="C495" s="23" t="s">
        <v>806</v>
      </c>
      <c r="D495" s="23" t="s">
        <v>821</v>
      </c>
      <c r="E495" s="23" t="s">
        <v>72</v>
      </c>
      <c r="F495" s="23" t="s">
        <v>74</v>
      </c>
      <c r="G495" s="23" t="s">
        <v>76</v>
      </c>
      <c r="H495" s="23" t="s">
        <v>834</v>
      </c>
      <c r="I495" s="24">
        <v>5200000</v>
      </c>
      <c r="J495" s="24">
        <v>5161200</v>
      </c>
      <c r="K495" s="24">
        <v>2150500</v>
      </c>
      <c r="L495" s="24">
        <v>38800</v>
      </c>
      <c r="M495" s="29"/>
      <c r="N495" s="24">
        <f t="shared" si="7"/>
        <v>38800</v>
      </c>
      <c r="O495" s="29"/>
    </row>
    <row r="496" spans="1:15">
      <c r="A496" s="23" t="s">
        <v>802</v>
      </c>
      <c r="B496" s="23" t="s">
        <v>804</v>
      </c>
      <c r="C496" s="23" t="s">
        <v>806</v>
      </c>
      <c r="D496" s="23" t="s">
        <v>821</v>
      </c>
      <c r="E496" s="23" t="s">
        <v>72</v>
      </c>
      <c r="F496" s="23" t="s">
        <v>74</v>
      </c>
      <c r="G496" s="23" t="s">
        <v>76</v>
      </c>
      <c r="H496" s="23" t="s">
        <v>835</v>
      </c>
      <c r="I496" s="24">
        <v>2040000</v>
      </c>
      <c r="J496" s="24">
        <v>0</v>
      </c>
      <c r="K496" s="24">
        <v>0</v>
      </c>
      <c r="L496" s="24">
        <v>2040000</v>
      </c>
      <c r="M496" s="29"/>
      <c r="N496" s="24">
        <f t="shared" si="7"/>
        <v>2040000</v>
      </c>
      <c r="O496" s="29"/>
    </row>
    <row r="497" spans="1:15">
      <c r="A497" s="23" t="s">
        <v>802</v>
      </c>
      <c r="B497" s="23" t="s">
        <v>804</v>
      </c>
      <c r="C497" s="23" t="s">
        <v>806</v>
      </c>
      <c r="D497" s="23" t="s">
        <v>821</v>
      </c>
      <c r="E497" s="23" t="s">
        <v>72</v>
      </c>
      <c r="F497" s="23" t="s">
        <v>74</v>
      </c>
      <c r="G497" s="23" t="s">
        <v>76</v>
      </c>
      <c r="H497" s="23" t="s">
        <v>836</v>
      </c>
      <c r="I497" s="24">
        <v>2640000</v>
      </c>
      <c r="J497" s="24">
        <v>2640000</v>
      </c>
      <c r="K497" s="24">
        <v>1100000</v>
      </c>
      <c r="L497" s="24">
        <v>0</v>
      </c>
      <c r="M497" s="29"/>
      <c r="N497" s="24">
        <f t="shared" si="7"/>
        <v>0</v>
      </c>
      <c r="O497" s="29"/>
    </row>
    <row r="498" spans="1:15">
      <c r="A498" s="23" t="s">
        <v>802</v>
      </c>
      <c r="B498" s="23" t="s">
        <v>804</v>
      </c>
      <c r="C498" s="23" t="s">
        <v>806</v>
      </c>
      <c r="D498" s="23" t="s">
        <v>821</v>
      </c>
      <c r="E498" s="23" t="s">
        <v>72</v>
      </c>
      <c r="F498" s="23" t="s">
        <v>74</v>
      </c>
      <c r="G498" s="23" t="s">
        <v>76</v>
      </c>
      <c r="H498" s="23" t="s">
        <v>837</v>
      </c>
      <c r="I498" s="24">
        <v>14000000</v>
      </c>
      <c r="J498" s="24">
        <v>3650000</v>
      </c>
      <c r="K498" s="24">
        <v>2000000</v>
      </c>
      <c r="L498" s="24">
        <v>10350000</v>
      </c>
      <c r="M498" s="29"/>
      <c r="N498" s="24">
        <f t="shared" si="7"/>
        <v>10350000</v>
      </c>
      <c r="O498" s="29"/>
    </row>
    <row r="499" spans="1:15">
      <c r="A499" s="23" t="s">
        <v>802</v>
      </c>
      <c r="B499" s="23" t="s">
        <v>804</v>
      </c>
      <c r="C499" s="23" t="s">
        <v>806</v>
      </c>
      <c r="D499" s="23" t="s">
        <v>821</v>
      </c>
      <c r="E499" s="23" t="s">
        <v>72</v>
      </c>
      <c r="F499" s="23" t="s">
        <v>74</v>
      </c>
      <c r="G499" s="23" t="s">
        <v>76</v>
      </c>
      <c r="H499" s="23" t="s">
        <v>838</v>
      </c>
      <c r="I499" s="24">
        <v>40600000</v>
      </c>
      <c r="J499" s="24">
        <v>46198930</v>
      </c>
      <c r="K499" s="24">
        <v>12486950</v>
      </c>
      <c r="L499" s="24">
        <v>-5598930</v>
      </c>
      <c r="M499" s="29"/>
      <c r="N499" s="24">
        <f t="shared" si="7"/>
        <v>-5598930</v>
      </c>
      <c r="O499" s="29"/>
    </row>
    <row r="500" spans="1:15">
      <c r="A500" s="23" t="s">
        <v>802</v>
      </c>
      <c r="B500" s="23" t="s">
        <v>804</v>
      </c>
      <c r="C500" s="23" t="s">
        <v>806</v>
      </c>
      <c r="D500" s="23" t="s">
        <v>821</v>
      </c>
      <c r="E500" s="23" t="s">
        <v>72</v>
      </c>
      <c r="F500" s="23" t="s">
        <v>74</v>
      </c>
      <c r="G500" s="23" t="s">
        <v>76</v>
      </c>
      <c r="H500" s="23" t="s">
        <v>839</v>
      </c>
      <c r="I500" s="24">
        <v>7631000</v>
      </c>
      <c r="J500" s="24">
        <v>7630200</v>
      </c>
      <c r="K500" s="24">
        <v>3815100</v>
      </c>
      <c r="L500" s="24">
        <v>800</v>
      </c>
      <c r="M500" s="29"/>
      <c r="N500" s="24">
        <f t="shared" si="7"/>
        <v>800</v>
      </c>
      <c r="O500" s="29"/>
    </row>
    <row r="501" spans="1:15">
      <c r="A501" s="23" t="s">
        <v>802</v>
      </c>
      <c r="B501" s="23" t="s">
        <v>804</v>
      </c>
      <c r="C501" s="23" t="s">
        <v>806</v>
      </c>
      <c r="D501" s="23" t="s">
        <v>840</v>
      </c>
      <c r="E501" s="23" t="s">
        <v>72</v>
      </c>
      <c r="F501" s="23" t="s">
        <v>74</v>
      </c>
      <c r="G501" s="23" t="s">
        <v>76</v>
      </c>
      <c r="H501" s="23" t="s">
        <v>841</v>
      </c>
      <c r="I501" s="24">
        <v>800000</v>
      </c>
      <c r="J501" s="24">
        <v>346120</v>
      </c>
      <c r="K501" s="24">
        <v>346120</v>
      </c>
      <c r="L501" s="24">
        <v>453880</v>
      </c>
      <c r="M501" s="29"/>
      <c r="N501" s="24">
        <f t="shared" si="7"/>
        <v>453880</v>
      </c>
      <c r="O501" s="29"/>
    </row>
    <row r="502" spans="1:15">
      <c r="A502" s="23" t="s">
        <v>802</v>
      </c>
      <c r="B502" s="23" t="s">
        <v>804</v>
      </c>
      <c r="C502" s="23" t="s">
        <v>806</v>
      </c>
      <c r="D502" s="23" t="s">
        <v>840</v>
      </c>
      <c r="E502" s="23" t="s">
        <v>72</v>
      </c>
      <c r="F502" s="23" t="s">
        <v>74</v>
      </c>
      <c r="G502" s="23" t="s">
        <v>76</v>
      </c>
      <c r="H502" s="23" t="s">
        <v>842</v>
      </c>
      <c r="I502" s="24">
        <v>2892000</v>
      </c>
      <c r="J502" s="24">
        <v>836000</v>
      </c>
      <c r="K502" s="24">
        <v>836000</v>
      </c>
      <c r="L502" s="24">
        <v>2056000</v>
      </c>
      <c r="M502" s="29"/>
      <c r="N502" s="24">
        <f t="shared" si="7"/>
        <v>2056000</v>
      </c>
      <c r="O502" s="29"/>
    </row>
    <row r="503" spans="1:15">
      <c r="A503" s="23" t="s">
        <v>802</v>
      </c>
      <c r="B503" s="23" t="s">
        <v>804</v>
      </c>
      <c r="C503" s="23" t="s">
        <v>806</v>
      </c>
      <c r="D503" s="23" t="s">
        <v>840</v>
      </c>
      <c r="E503" s="23" t="s">
        <v>72</v>
      </c>
      <c r="F503" s="23" t="s">
        <v>74</v>
      </c>
      <c r="G503" s="23" t="s">
        <v>76</v>
      </c>
      <c r="H503" s="23" t="s">
        <v>843</v>
      </c>
      <c r="I503" s="24">
        <v>7200000</v>
      </c>
      <c r="J503" s="24">
        <v>1867780</v>
      </c>
      <c r="K503" s="24">
        <v>1867780</v>
      </c>
      <c r="L503" s="24">
        <v>5332220</v>
      </c>
      <c r="M503" s="29"/>
      <c r="N503" s="24">
        <f t="shared" si="7"/>
        <v>5332220</v>
      </c>
      <c r="O503" s="29"/>
    </row>
    <row r="504" spans="1:15">
      <c r="A504" s="23" t="s">
        <v>802</v>
      </c>
      <c r="B504" s="23" t="s">
        <v>804</v>
      </c>
      <c r="C504" s="23" t="s">
        <v>806</v>
      </c>
      <c r="D504" s="23" t="s">
        <v>840</v>
      </c>
      <c r="E504" s="23" t="s">
        <v>72</v>
      </c>
      <c r="F504" s="23" t="s">
        <v>74</v>
      </c>
      <c r="G504" s="23" t="s">
        <v>76</v>
      </c>
      <c r="H504" s="23" t="s">
        <v>844</v>
      </c>
      <c r="I504" s="24">
        <v>750000</v>
      </c>
      <c r="J504" s="24">
        <v>651700</v>
      </c>
      <c r="K504" s="24">
        <v>651700</v>
      </c>
      <c r="L504" s="24">
        <v>98300</v>
      </c>
      <c r="M504" s="29"/>
      <c r="N504" s="24">
        <f t="shared" si="7"/>
        <v>98300</v>
      </c>
      <c r="O504" s="29"/>
    </row>
    <row r="505" spans="1:15">
      <c r="A505" s="23" t="s">
        <v>802</v>
      </c>
      <c r="B505" s="23" t="s">
        <v>804</v>
      </c>
      <c r="C505" s="23" t="s">
        <v>806</v>
      </c>
      <c r="D505" s="23" t="s">
        <v>840</v>
      </c>
      <c r="E505" s="23" t="s">
        <v>72</v>
      </c>
      <c r="F505" s="23" t="s">
        <v>74</v>
      </c>
      <c r="G505" s="23" t="s">
        <v>76</v>
      </c>
      <c r="H505" s="23" t="s">
        <v>845</v>
      </c>
      <c r="I505" s="24">
        <v>2800000</v>
      </c>
      <c r="J505" s="24">
        <v>37200</v>
      </c>
      <c r="K505" s="24">
        <v>37200</v>
      </c>
      <c r="L505" s="24">
        <v>2762800</v>
      </c>
      <c r="M505" s="29"/>
      <c r="N505" s="24">
        <f t="shared" si="7"/>
        <v>2762800</v>
      </c>
      <c r="O505" s="29"/>
    </row>
    <row r="506" spans="1:15">
      <c r="A506" s="23" t="s">
        <v>802</v>
      </c>
      <c r="B506" s="23" t="s">
        <v>804</v>
      </c>
      <c r="C506" s="23" t="s">
        <v>806</v>
      </c>
      <c r="D506" s="23" t="s">
        <v>840</v>
      </c>
      <c r="E506" s="23" t="s">
        <v>72</v>
      </c>
      <c r="F506" s="23" t="s">
        <v>74</v>
      </c>
      <c r="G506" s="23" t="s">
        <v>76</v>
      </c>
      <c r="H506" s="23" t="s">
        <v>846</v>
      </c>
      <c r="I506" s="24">
        <v>725000</v>
      </c>
      <c r="J506" s="24">
        <v>0</v>
      </c>
      <c r="K506" s="24">
        <v>0</v>
      </c>
      <c r="L506" s="24">
        <v>725000</v>
      </c>
      <c r="M506" s="29"/>
      <c r="N506" s="24">
        <f t="shared" si="7"/>
        <v>725000</v>
      </c>
      <c r="O506" s="29"/>
    </row>
    <row r="507" spans="1:15">
      <c r="A507" s="23" t="s">
        <v>802</v>
      </c>
      <c r="B507" s="23" t="s">
        <v>804</v>
      </c>
      <c r="C507" s="23" t="s">
        <v>806</v>
      </c>
      <c r="D507" s="23" t="s">
        <v>848</v>
      </c>
      <c r="E507" s="23" t="s">
        <v>72</v>
      </c>
      <c r="F507" s="23" t="s">
        <v>74</v>
      </c>
      <c r="G507" s="23" t="s">
        <v>76</v>
      </c>
      <c r="H507" s="23" t="s">
        <v>848</v>
      </c>
      <c r="I507" s="24">
        <v>47800000</v>
      </c>
      <c r="J507" s="24">
        <v>33882000</v>
      </c>
      <c r="K507" s="24">
        <v>27670000</v>
      </c>
      <c r="L507" s="24">
        <v>13918000</v>
      </c>
      <c r="M507" s="29"/>
      <c r="N507" s="24">
        <f t="shared" si="7"/>
        <v>13918000</v>
      </c>
      <c r="O507" s="29"/>
    </row>
    <row r="508" spans="1:15">
      <c r="A508" s="23" t="s">
        <v>802</v>
      </c>
      <c r="B508" s="23" t="s">
        <v>804</v>
      </c>
      <c r="C508" s="23" t="s">
        <v>806</v>
      </c>
      <c r="D508" s="23" t="s">
        <v>849</v>
      </c>
      <c r="E508" s="23" t="s">
        <v>72</v>
      </c>
      <c r="F508" s="23" t="s">
        <v>74</v>
      </c>
      <c r="G508" s="23" t="s">
        <v>76</v>
      </c>
      <c r="H508" s="23" t="s">
        <v>850</v>
      </c>
      <c r="I508" s="24">
        <v>21736000</v>
      </c>
      <c r="J508" s="24">
        <v>21736000</v>
      </c>
      <c r="K508" s="24">
        <v>21736000</v>
      </c>
      <c r="L508" s="24">
        <v>0</v>
      </c>
      <c r="M508" s="29"/>
      <c r="N508" s="24">
        <f t="shared" si="7"/>
        <v>0</v>
      </c>
      <c r="O508" s="29"/>
    </row>
    <row r="509" spans="1:15">
      <c r="A509" s="23" t="s">
        <v>802</v>
      </c>
      <c r="B509" s="23" t="s">
        <v>804</v>
      </c>
      <c r="C509" s="23" t="s">
        <v>806</v>
      </c>
      <c r="D509" s="23" t="s">
        <v>849</v>
      </c>
      <c r="E509" s="23" t="s">
        <v>192</v>
      </c>
      <c r="F509" s="23" t="s">
        <v>192</v>
      </c>
      <c r="G509" s="23" t="s">
        <v>192</v>
      </c>
      <c r="H509" s="23" t="s">
        <v>851</v>
      </c>
      <c r="I509" s="24">
        <v>15094000</v>
      </c>
      <c r="J509" s="24">
        <v>15094000</v>
      </c>
      <c r="K509" s="24">
        <v>15094000</v>
      </c>
      <c r="L509" s="24">
        <v>0</v>
      </c>
      <c r="M509" s="29"/>
      <c r="N509" s="24">
        <f t="shared" si="7"/>
        <v>0</v>
      </c>
      <c r="O509" s="29"/>
    </row>
    <row r="510" spans="1:15">
      <c r="A510" s="23" t="s">
        <v>802</v>
      </c>
      <c r="B510" s="23" t="s">
        <v>804</v>
      </c>
      <c r="C510" s="23" t="s">
        <v>806</v>
      </c>
      <c r="D510" s="23" t="s">
        <v>852</v>
      </c>
      <c r="E510" s="23" t="s">
        <v>72</v>
      </c>
      <c r="F510" s="23" t="s">
        <v>74</v>
      </c>
      <c r="G510" s="23" t="s">
        <v>76</v>
      </c>
      <c r="H510" s="23" t="s">
        <v>853</v>
      </c>
      <c r="I510" s="24">
        <v>6170000</v>
      </c>
      <c r="J510" s="24">
        <v>0</v>
      </c>
      <c r="K510" s="24">
        <v>0</v>
      </c>
      <c r="L510" s="24">
        <v>6170000</v>
      </c>
      <c r="M510" s="29"/>
      <c r="N510" s="24">
        <f t="shared" si="7"/>
        <v>6170000</v>
      </c>
      <c r="O510" s="29"/>
    </row>
    <row r="511" spans="1:15">
      <c r="A511" s="23" t="s">
        <v>802</v>
      </c>
      <c r="B511" s="23" t="s">
        <v>804</v>
      </c>
      <c r="C511" s="23" t="s">
        <v>806</v>
      </c>
      <c r="D511" s="23" t="s">
        <v>854</v>
      </c>
      <c r="E511" s="23" t="s">
        <v>192</v>
      </c>
      <c r="F511" s="23" t="s">
        <v>192</v>
      </c>
      <c r="G511" s="23" t="s">
        <v>192</v>
      </c>
      <c r="H511" s="23" t="s">
        <v>855</v>
      </c>
      <c r="I511" s="24">
        <v>17000000</v>
      </c>
      <c r="J511" s="24">
        <v>17000000</v>
      </c>
      <c r="K511" s="24">
        <v>17000000</v>
      </c>
      <c r="L511" s="24">
        <v>0</v>
      </c>
      <c r="M511" s="29"/>
      <c r="N511" s="24">
        <f t="shared" si="7"/>
        <v>0</v>
      </c>
      <c r="O511" s="29"/>
    </row>
    <row r="512" spans="1:15">
      <c r="A512" s="23" t="s">
        <v>802</v>
      </c>
      <c r="B512" s="23" t="s">
        <v>804</v>
      </c>
      <c r="C512" s="23" t="s">
        <v>806</v>
      </c>
      <c r="D512" s="23" t="s">
        <v>856</v>
      </c>
      <c r="E512" s="23" t="s">
        <v>192</v>
      </c>
      <c r="F512" s="23" t="s">
        <v>192</v>
      </c>
      <c r="G512" s="23" t="s">
        <v>192</v>
      </c>
      <c r="H512" s="23" t="s">
        <v>857</v>
      </c>
      <c r="I512" s="24">
        <v>28000000</v>
      </c>
      <c r="J512" s="24">
        <v>28000000</v>
      </c>
      <c r="K512" s="24">
        <v>28000000</v>
      </c>
      <c r="L512" s="24">
        <v>0</v>
      </c>
      <c r="M512" s="29"/>
      <c r="N512" s="24">
        <f t="shared" si="7"/>
        <v>0</v>
      </c>
      <c r="O512" s="29"/>
    </row>
    <row r="513" spans="1:15">
      <c r="A513" s="23" t="s">
        <v>802</v>
      </c>
      <c r="B513" s="23" t="s">
        <v>859</v>
      </c>
      <c r="C513" s="23" t="s">
        <v>861</v>
      </c>
      <c r="D513" s="23" t="s">
        <v>862</v>
      </c>
      <c r="E513" s="23" t="s">
        <v>72</v>
      </c>
      <c r="F513" s="23" t="s">
        <v>74</v>
      </c>
      <c r="G513" s="23" t="s">
        <v>76</v>
      </c>
      <c r="H513" s="23" t="s">
        <v>863</v>
      </c>
      <c r="I513" s="24">
        <v>500000</v>
      </c>
      <c r="J513" s="24">
        <v>316550</v>
      </c>
      <c r="K513" s="24">
        <v>316550</v>
      </c>
      <c r="L513" s="24">
        <v>183450</v>
      </c>
      <c r="M513" s="29"/>
      <c r="N513" s="24">
        <f t="shared" si="7"/>
        <v>183450</v>
      </c>
      <c r="O513" s="29"/>
    </row>
    <row r="514" spans="1:15">
      <c r="A514" s="23" t="s">
        <v>802</v>
      </c>
      <c r="B514" s="23" t="s">
        <v>859</v>
      </c>
      <c r="C514" s="23" t="s">
        <v>861</v>
      </c>
      <c r="D514" s="23" t="s">
        <v>862</v>
      </c>
      <c r="E514" s="23" t="s">
        <v>72</v>
      </c>
      <c r="F514" s="23" t="s">
        <v>74</v>
      </c>
      <c r="G514" s="23" t="s">
        <v>79</v>
      </c>
      <c r="H514" s="23" t="s">
        <v>864</v>
      </c>
      <c r="I514" s="24">
        <v>800000</v>
      </c>
      <c r="J514" s="24">
        <v>400000</v>
      </c>
      <c r="K514" s="24">
        <v>400000</v>
      </c>
      <c r="L514" s="24">
        <v>400000</v>
      </c>
      <c r="M514" s="29"/>
      <c r="N514" s="24">
        <f t="shared" si="7"/>
        <v>400000</v>
      </c>
      <c r="O514" s="29"/>
    </row>
    <row r="515" spans="1:15">
      <c r="A515" s="23" t="s">
        <v>802</v>
      </c>
      <c r="B515" s="23" t="s">
        <v>859</v>
      </c>
      <c r="C515" s="23" t="s">
        <v>861</v>
      </c>
      <c r="D515" s="23" t="s">
        <v>862</v>
      </c>
      <c r="E515" s="23" t="s">
        <v>87</v>
      </c>
      <c r="F515" s="23" t="s">
        <v>89</v>
      </c>
      <c r="G515" s="23" t="s">
        <v>89</v>
      </c>
      <c r="H515" s="23" t="s">
        <v>865</v>
      </c>
      <c r="I515" s="24">
        <v>200000</v>
      </c>
      <c r="J515" s="24">
        <v>0</v>
      </c>
      <c r="K515" s="24">
        <v>0</v>
      </c>
      <c r="L515" s="24">
        <v>200000</v>
      </c>
      <c r="M515" s="29"/>
      <c r="N515" s="24">
        <f t="shared" si="7"/>
        <v>200000</v>
      </c>
      <c r="O515" s="29"/>
    </row>
    <row r="516" spans="1:15">
      <c r="A516" s="23" t="s">
        <v>802</v>
      </c>
      <c r="B516" s="23" t="s">
        <v>867</v>
      </c>
      <c r="C516" s="23" t="s">
        <v>869</v>
      </c>
      <c r="D516" s="23" t="s">
        <v>870</v>
      </c>
      <c r="E516" s="23" t="s">
        <v>87</v>
      </c>
      <c r="F516" s="23" t="s">
        <v>89</v>
      </c>
      <c r="G516" s="23" t="s">
        <v>89</v>
      </c>
      <c r="H516" s="23" t="s">
        <v>871</v>
      </c>
      <c r="I516" s="24">
        <v>3240000</v>
      </c>
      <c r="J516" s="24">
        <v>2101100</v>
      </c>
      <c r="K516" s="24">
        <v>2101100</v>
      </c>
      <c r="L516" s="24">
        <v>1138900</v>
      </c>
      <c r="M516" s="29"/>
      <c r="N516" s="24">
        <f t="shared" si="7"/>
        <v>1138900</v>
      </c>
      <c r="O516" s="29"/>
    </row>
    <row r="517" spans="1:15">
      <c r="A517" s="23" t="s">
        <v>802</v>
      </c>
      <c r="B517" s="23" t="s">
        <v>867</v>
      </c>
      <c r="C517" s="23" t="s">
        <v>869</v>
      </c>
      <c r="D517" s="23" t="s">
        <v>870</v>
      </c>
      <c r="E517" s="23" t="s">
        <v>87</v>
      </c>
      <c r="F517" s="23" t="s">
        <v>89</v>
      </c>
      <c r="G517" s="23" t="s">
        <v>873</v>
      </c>
      <c r="H517" s="23" t="s">
        <v>874</v>
      </c>
      <c r="I517" s="24">
        <v>3960000</v>
      </c>
      <c r="J517" s="24">
        <v>3816000</v>
      </c>
      <c r="K517" s="24">
        <v>1590000</v>
      </c>
      <c r="L517" s="24">
        <v>144000</v>
      </c>
      <c r="M517" s="29"/>
      <c r="N517" s="24">
        <f t="shared" si="7"/>
        <v>144000</v>
      </c>
      <c r="O517" s="29"/>
    </row>
    <row r="518" spans="1:15">
      <c r="A518" s="23" t="s">
        <v>802</v>
      </c>
      <c r="B518" s="23" t="s">
        <v>867</v>
      </c>
      <c r="C518" s="23" t="s">
        <v>869</v>
      </c>
      <c r="D518" s="23" t="s">
        <v>875</v>
      </c>
      <c r="E518" s="23" t="s">
        <v>72</v>
      </c>
      <c r="F518" s="23" t="s">
        <v>74</v>
      </c>
      <c r="G518" s="23" t="s">
        <v>76</v>
      </c>
      <c r="H518" s="23" t="s">
        <v>876</v>
      </c>
      <c r="I518" s="24">
        <v>1500000</v>
      </c>
      <c r="J518" s="24">
        <v>1124380</v>
      </c>
      <c r="K518" s="24">
        <v>1124380</v>
      </c>
      <c r="L518" s="24">
        <v>375620</v>
      </c>
      <c r="M518" s="29"/>
      <c r="N518" s="24">
        <f t="shared" si="7"/>
        <v>375620</v>
      </c>
      <c r="O518" s="29"/>
    </row>
    <row r="519" spans="1:15">
      <c r="A519" s="23" t="s">
        <v>802</v>
      </c>
      <c r="B519" s="23" t="s">
        <v>867</v>
      </c>
      <c r="C519" s="23" t="s">
        <v>869</v>
      </c>
      <c r="D519" s="23" t="s">
        <v>875</v>
      </c>
      <c r="E519" s="23" t="s">
        <v>72</v>
      </c>
      <c r="F519" s="23" t="s">
        <v>74</v>
      </c>
      <c r="G519" s="23" t="s">
        <v>76</v>
      </c>
      <c r="H519" s="23" t="s">
        <v>877</v>
      </c>
      <c r="I519" s="24">
        <v>2000000</v>
      </c>
      <c r="J519" s="24">
        <v>5749020</v>
      </c>
      <c r="K519" s="24">
        <v>1728910</v>
      </c>
      <c r="L519" s="24">
        <v>-3749020</v>
      </c>
      <c r="M519" s="29"/>
      <c r="N519" s="24">
        <f t="shared" si="7"/>
        <v>-3749020</v>
      </c>
      <c r="O519" s="29"/>
    </row>
    <row r="520" spans="1:15">
      <c r="A520" s="23" t="s">
        <v>802</v>
      </c>
      <c r="B520" s="23" t="s">
        <v>867</v>
      </c>
      <c r="C520" s="23" t="s">
        <v>869</v>
      </c>
      <c r="D520" s="23" t="s">
        <v>875</v>
      </c>
      <c r="E520" s="23" t="s">
        <v>72</v>
      </c>
      <c r="F520" s="23" t="s">
        <v>74</v>
      </c>
      <c r="G520" s="23" t="s">
        <v>76</v>
      </c>
      <c r="H520" s="23" t="s">
        <v>878</v>
      </c>
      <c r="I520" s="24">
        <v>2000000</v>
      </c>
      <c r="J520" s="24">
        <v>3096000</v>
      </c>
      <c r="K520" s="24">
        <v>3096000</v>
      </c>
      <c r="L520" s="24">
        <v>-1096000</v>
      </c>
      <c r="M520" s="29"/>
      <c r="N520" s="24">
        <f t="shared" ref="N520:N531" si="8">L520-M520</f>
        <v>-1096000</v>
      </c>
      <c r="O520" s="29"/>
    </row>
    <row r="521" spans="1:15">
      <c r="A521" s="23" t="s">
        <v>802</v>
      </c>
      <c r="B521" s="23" t="s">
        <v>867</v>
      </c>
      <c r="C521" s="23" t="s">
        <v>869</v>
      </c>
      <c r="D521" s="23" t="s">
        <v>875</v>
      </c>
      <c r="E521" s="23" t="s">
        <v>72</v>
      </c>
      <c r="F521" s="23" t="s">
        <v>74</v>
      </c>
      <c r="G521" s="23" t="s">
        <v>880</v>
      </c>
      <c r="H521" s="23" t="s">
        <v>881</v>
      </c>
      <c r="I521" s="24">
        <v>13000000</v>
      </c>
      <c r="J521" s="24">
        <v>2090000</v>
      </c>
      <c r="K521" s="24">
        <v>2090000</v>
      </c>
      <c r="L521" s="24">
        <v>10910000</v>
      </c>
      <c r="M521" s="29"/>
      <c r="N521" s="24">
        <f t="shared" si="8"/>
        <v>10910000</v>
      </c>
      <c r="O521" s="29"/>
    </row>
    <row r="522" spans="1:15">
      <c r="A522" s="23" t="s">
        <v>802</v>
      </c>
      <c r="B522" s="23" t="s">
        <v>867</v>
      </c>
      <c r="C522" s="23" t="s">
        <v>869</v>
      </c>
      <c r="D522" s="23" t="s">
        <v>875</v>
      </c>
      <c r="E522" s="23" t="s">
        <v>72</v>
      </c>
      <c r="F522" s="23" t="s">
        <v>74</v>
      </c>
      <c r="G522" s="23" t="s">
        <v>880</v>
      </c>
      <c r="H522" s="23" t="s">
        <v>882</v>
      </c>
      <c r="I522" s="24">
        <v>300000</v>
      </c>
      <c r="J522" s="24">
        <v>195000</v>
      </c>
      <c r="K522" s="24">
        <v>195000</v>
      </c>
      <c r="L522" s="24">
        <v>105000</v>
      </c>
      <c r="M522" s="29"/>
      <c r="N522" s="24">
        <f t="shared" si="8"/>
        <v>105000</v>
      </c>
      <c r="O522" s="29"/>
    </row>
    <row r="523" spans="1:15">
      <c r="A523" s="23" t="s">
        <v>802</v>
      </c>
      <c r="B523" s="23" t="s">
        <v>867</v>
      </c>
      <c r="C523" s="23" t="s">
        <v>869</v>
      </c>
      <c r="D523" s="23" t="s">
        <v>875</v>
      </c>
      <c r="E523" s="23" t="s">
        <v>72</v>
      </c>
      <c r="F523" s="23" t="s">
        <v>74</v>
      </c>
      <c r="G523" s="23" t="s">
        <v>82</v>
      </c>
      <c r="H523" s="23" t="s">
        <v>883</v>
      </c>
      <c r="I523" s="24">
        <v>150000</v>
      </c>
      <c r="J523" s="24">
        <v>0</v>
      </c>
      <c r="K523" s="24">
        <v>0</v>
      </c>
      <c r="L523" s="24">
        <v>150000</v>
      </c>
      <c r="M523" s="29"/>
      <c r="N523" s="24">
        <f t="shared" si="8"/>
        <v>150000</v>
      </c>
      <c r="O523" s="29"/>
    </row>
    <row r="524" spans="1:15">
      <c r="A524" s="23" t="s">
        <v>802</v>
      </c>
      <c r="B524" s="23" t="s">
        <v>867</v>
      </c>
      <c r="C524" s="23" t="s">
        <v>869</v>
      </c>
      <c r="D524" s="23" t="s">
        <v>875</v>
      </c>
      <c r="E524" s="23" t="s">
        <v>72</v>
      </c>
      <c r="F524" s="23" t="s">
        <v>74</v>
      </c>
      <c r="G524" s="23" t="s">
        <v>82</v>
      </c>
      <c r="H524" s="23" t="s">
        <v>884</v>
      </c>
      <c r="I524" s="24">
        <v>1480000</v>
      </c>
      <c r="J524" s="24">
        <v>650400</v>
      </c>
      <c r="K524" s="24">
        <v>650400</v>
      </c>
      <c r="L524" s="24">
        <v>829600</v>
      </c>
      <c r="M524" s="29"/>
      <c r="N524" s="24">
        <f t="shared" si="8"/>
        <v>829600</v>
      </c>
      <c r="O524" s="29"/>
    </row>
    <row r="525" spans="1:15">
      <c r="A525" s="23" t="s">
        <v>802</v>
      </c>
      <c r="B525" s="23" t="s">
        <v>867</v>
      </c>
      <c r="C525" s="23" t="s">
        <v>869</v>
      </c>
      <c r="D525" s="23" t="s">
        <v>875</v>
      </c>
      <c r="E525" s="23" t="s">
        <v>87</v>
      </c>
      <c r="F525" s="23" t="s">
        <v>89</v>
      </c>
      <c r="G525" s="23" t="s">
        <v>89</v>
      </c>
      <c r="H525" s="23" t="s">
        <v>885</v>
      </c>
      <c r="I525" s="24">
        <v>400000</v>
      </c>
      <c r="J525" s="24">
        <v>423290</v>
      </c>
      <c r="K525" s="24">
        <v>423290</v>
      </c>
      <c r="L525" s="24">
        <v>-23290</v>
      </c>
      <c r="M525" s="29"/>
      <c r="N525" s="24">
        <f t="shared" si="8"/>
        <v>-23290</v>
      </c>
      <c r="O525" s="29"/>
    </row>
    <row r="526" spans="1:15">
      <c r="A526" s="23" t="s">
        <v>802</v>
      </c>
      <c r="B526" s="23" t="s">
        <v>867</v>
      </c>
      <c r="C526" s="23" t="s">
        <v>869</v>
      </c>
      <c r="D526" s="23" t="s">
        <v>875</v>
      </c>
      <c r="E526" s="23" t="s">
        <v>87</v>
      </c>
      <c r="F526" s="23" t="s">
        <v>89</v>
      </c>
      <c r="G526" s="23" t="s">
        <v>89</v>
      </c>
      <c r="H526" s="23" t="s">
        <v>886</v>
      </c>
      <c r="I526" s="24">
        <v>1500000</v>
      </c>
      <c r="J526" s="24">
        <v>1038000</v>
      </c>
      <c r="K526" s="24">
        <v>1038000</v>
      </c>
      <c r="L526" s="24">
        <v>462000</v>
      </c>
      <c r="M526" s="29"/>
      <c r="N526" s="24">
        <f t="shared" si="8"/>
        <v>462000</v>
      </c>
      <c r="O526" s="29"/>
    </row>
    <row r="527" spans="1:15">
      <c r="A527" s="23" t="s">
        <v>802</v>
      </c>
      <c r="B527" s="23" t="s">
        <v>867</v>
      </c>
      <c r="C527" s="23" t="s">
        <v>869</v>
      </c>
      <c r="D527" s="23" t="s">
        <v>875</v>
      </c>
      <c r="E527" s="23" t="s">
        <v>192</v>
      </c>
      <c r="F527" s="23" t="s">
        <v>192</v>
      </c>
      <c r="G527" s="23" t="s">
        <v>192</v>
      </c>
      <c r="H527" s="23" t="s">
        <v>887</v>
      </c>
      <c r="I527" s="24">
        <v>8000000</v>
      </c>
      <c r="J527" s="24">
        <v>7999090</v>
      </c>
      <c r="K527" s="24">
        <v>4944090</v>
      </c>
      <c r="L527" s="24">
        <v>910</v>
      </c>
      <c r="M527" s="29"/>
      <c r="N527" s="24">
        <f t="shared" si="8"/>
        <v>910</v>
      </c>
      <c r="O527" s="29"/>
    </row>
    <row r="528" spans="1:15">
      <c r="A528" s="23" t="s">
        <v>802</v>
      </c>
      <c r="B528" s="23" t="s">
        <v>867</v>
      </c>
      <c r="C528" s="23" t="s">
        <v>889</v>
      </c>
      <c r="D528" s="23" t="s">
        <v>890</v>
      </c>
      <c r="E528" s="23" t="s">
        <v>72</v>
      </c>
      <c r="F528" s="23" t="s">
        <v>124</v>
      </c>
      <c r="G528" s="23" t="s">
        <v>138</v>
      </c>
      <c r="H528" s="23" t="s">
        <v>891</v>
      </c>
      <c r="I528" s="24">
        <v>2000000</v>
      </c>
      <c r="J528" s="24">
        <v>540820</v>
      </c>
      <c r="K528" s="24">
        <v>540820</v>
      </c>
      <c r="L528" s="24">
        <v>1459180</v>
      </c>
      <c r="M528" s="29"/>
      <c r="N528" s="24">
        <f t="shared" si="8"/>
        <v>1459180</v>
      </c>
      <c r="O528" s="29"/>
    </row>
    <row r="529" spans="1:15">
      <c r="A529" s="23" t="s">
        <v>802</v>
      </c>
      <c r="B529" s="23" t="s">
        <v>867</v>
      </c>
      <c r="C529" s="23" t="s">
        <v>889</v>
      </c>
      <c r="D529" s="23" t="s">
        <v>892</v>
      </c>
      <c r="E529" s="23" t="s">
        <v>72</v>
      </c>
      <c r="F529" s="23" t="s">
        <v>74</v>
      </c>
      <c r="G529" s="23" t="s">
        <v>76</v>
      </c>
      <c r="H529" s="23" t="s">
        <v>893</v>
      </c>
      <c r="I529" s="24">
        <v>14423000</v>
      </c>
      <c r="J529" s="24">
        <v>11621020</v>
      </c>
      <c r="K529" s="24">
        <v>11621020</v>
      </c>
      <c r="L529" s="24">
        <v>2801980</v>
      </c>
      <c r="M529" s="29"/>
      <c r="N529" s="24">
        <f t="shared" si="8"/>
        <v>2801980</v>
      </c>
      <c r="O529" s="29"/>
    </row>
    <row r="530" spans="1:15">
      <c r="A530" s="23" t="s">
        <v>802</v>
      </c>
      <c r="B530" s="23" t="s">
        <v>867</v>
      </c>
      <c r="C530" s="23" t="s">
        <v>889</v>
      </c>
      <c r="D530" s="23" t="s">
        <v>892</v>
      </c>
      <c r="E530" s="23" t="s">
        <v>72</v>
      </c>
      <c r="F530" s="23" t="s">
        <v>74</v>
      </c>
      <c r="G530" s="23" t="s">
        <v>76</v>
      </c>
      <c r="H530" s="23" t="s">
        <v>894</v>
      </c>
      <c r="I530" s="24">
        <v>310000</v>
      </c>
      <c r="J530" s="24">
        <v>309000</v>
      </c>
      <c r="K530" s="24">
        <v>309000</v>
      </c>
      <c r="L530" s="24">
        <v>1000</v>
      </c>
      <c r="M530" s="29"/>
      <c r="N530" s="24">
        <f t="shared" si="8"/>
        <v>1000</v>
      </c>
      <c r="O530" s="29"/>
    </row>
    <row r="531" spans="1:15">
      <c r="A531" s="23" t="s">
        <v>896</v>
      </c>
      <c r="B531" s="23" t="s">
        <v>898</v>
      </c>
      <c r="C531" s="23" t="s">
        <v>900</v>
      </c>
      <c r="D531" s="23" t="s">
        <v>901</v>
      </c>
      <c r="E531" s="23" t="s">
        <v>903</v>
      </c>
      <c r="F531" s="23" t="s">
        <v>903</v>
      </c>
      <c r="G531" s="23" t="s">
        <v>903</v>
      </c>
      <c r="H531" s="23" t="s">
        <v>906</v>
      </c>
      <c r="I531" s="24">
        <v>6000000</v>
      </c>
      <c r="J531" s="24">
        <v>0</v>
      </c>
      <c r="K531" s="24">
        <v>0</v>
      </c>
      <c r="L531" s="24">
        <v>6000000</v>
      </c>
      <c r="M531" s="29"/>
      <c r="N531" s="24">
        <f t="shared" si="8"/>
        <v>6000000</v>
      </c>
      <c r="O531" s="29"/>
    </row>
    <row r="532" spans="1:15">
      <c r="A532" s="42" t="s">
        <v>928</v>
      </c>
      <c r="B532" s="43"/>
      <c r="C532" s="43"/>
      <c r="D532" s="43"/>
      <c r="E532" s="43"/>
      <c r="F532" s="43"/>
      <c r="G532" s="43"/>
      <c r="H532" s="44"/>
      <c r="I532" s="15">
        <f t="shared" ref="I532:O532" si="9">SUM(I8:I531)</f>
        <v>2341568000</v>
      </c>
      <c r="J532" s="15">
        <f t="shared" si="9"/>
        <v>1311300066</v>
      </c>
      <c r="K532" s="15">
        <f t="shared" si="9"/>
        <v>1122881466</v>
      </c>
      <c r="L532" s="15">
        <f t="shared" si="9"/>
        <v>1030267934</v>
      </c>
      <c r="M532" s="15">
        <f t="shared" si="9"/>
        <v>0</v>
      </c>
      <c r="N532" s="15">
        <f t="shared" si="9"/>
        <v>1030267934</v>
      </c>
      <c r="O532" s="15">
        <f t="shared" si="9"/>
        <v>0</v>
      </c>
    </row>
  </sheetData>
  <autoFilter ref="A7:O531" xr:uid="{7ACD67D8-C475-4D86-8A69-2994BDF162B3}"/>
  <mergeCells count="2">
    <mergeCell ref="A1:O1"/>
    <mergeCell ref="A532:H532"/>
  </mergeCells>
  <phoneticPr fontId="1" type="noConversion"/>
  <conditionalFormatting sqref="N8:N531">
    <cfRule type="cellIs" dxfId="5" priority="1" stopIfTrue="1" operator="lessThan">
      <formula>0</formula>
    </cfRule>
  </conditionalFormatting>
  <conditionalFormatting sqref="L8:L531">
    <cfRule type="cellIs" dxfId="4" priority="2" stopIfTrue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C0E02-3E31-4A18-B659-4EC4B73CABD2}">
  <dimension ref="A1:O528"/>
  <sheetViews>
    <sheetView workbookViewId="0">
      <pane ySplit="3" topLeftCell="A4" activePane="bottomLeft" state="frozen"/>
      <selection pane="bottomLeft" activeCell="A4" sqref="A4"/>
    </sheetView>
  </sheetViews>
  <sheetFormatPr defaultRowHeight="17.399999999999999"/>
  <cols>
    <col min="1" max="1" width="20.59765625" style="6" bestFit="1" customWidth="1"/>
    <col min="2" max="2" width="21.09765625" style="6" bestFit="1" customWidth="1"/>
    <col min="3" max="3" width="22.796875" style="6" bestFit="1" customWidth="1"/>
    <col min="4" max="4" width="47.19921875" style="6" bestFit="1" customWidth="1"/>
    <col min="5" max="5" width="9.8984375" style="6" bestFit="1" customWidth="1"/>
    <col min="6" max="6" width="15.3984375" style="6" bestFit="1" customWidth="1"/>
    <col min="7" max="7" width="21" style="6" bestFit="1" customWidth="1"/>
    <col min="8" max="8" width="58.09765625" style="6" bestFit="1" customWidth="1"/>
    <col min="9" max="9" width="13.19921875" style="10" bestFit="1" customWidth="1"/>
    <col min="10" max="10" width="15.69921875" style="10" bestFit="1" customWidth="1"/>
    <col min="11" max="12" width="13.19921875" style="10" bestFit="1" customWidth="1"/>
    <col min="13" max="13" width="23.5" style="10" bestFit="1" customWidth="1"/>
    <col min="14" max="14" width="14.69921875" style="16" customWidth="1"/>
    <col min="15" max="15" width="12" style="10" bestFit="1" customWidth="1"/>
    <col min="16" max="16384" width="8.796875" style="6"/>
  </cols>
  <sheetData>
    <row r="1" spans="1:15">
      <c r="A1" s="5"/>
      <c r="B1" s="5"/>
      <c r="C1" s="5"/>
      <c r="D1" s="5"/>
      <c r="E1" s="5"/>
      <c r="F1" s="5"/>
      <c r="G1" s="5"/>
      <c r="H1" s="5"/>
      <c r="I1" s="9"/>
      <c r="J1" s="9"/>
      <c r="K1" s="9"/>
    </row>
    <row r="2" spans="1:15">
      <c r="A2" s="5"/>
      <c r="B2" s="5"/>
      <c r="C2" s="5"/>
      <c r="D2" s="5"/>
      <c r="E2" s="5"/>
      <c r="F2" s="5"/>
      <c r="G2" s="5"/>
      <c r="H2" s="5"/>
      <c r="I2" s="9"/>
      <c r="J2" s="9"/>
      <c r="K2" s="9"/>
    </row>
    <row r="3" spans="1:15" ht="45" customHeight="1">
      <c r="A3" s="8" t="s">
        <v>907</v>
      </c>
      <c r="B3" s="8" t="s">
        <v>908</v>
      </c>
      <c r="C3" s="8" t="s">
        <v>909</v>
      </c>
      <c r="D3" s="8" t="s">
        <v>910</v>
      </c>
      <c r="E3" s="8" t="s">
        <v>911</v>
      </c>
      <c r="F3" s="8" t="s">
        <v>912</v>
      </c>
      <c r="G3" s="8" t="s">
        <v>914</v>
      </c>
      <c r="H3" s="8" t="s">
        <v>915</v>
      </c>
      <c r="I3" s="11" t="s">
        <v>917</v>
      </c>
      <c r="J3" s="11" t="s">
        <v>919</v>
      </c>
      <c r="K3" s="11" t="s">
        <v>921</v>
      </c>
      <c r="L3" s="12" t="s">
        <v>924</v>
      </c>
      <c r="M3" s="12" t="s">
        <v>925</v>
      </c>
      <c r="N3" s="17" t="s">
        <v>926</v>
      </c>
      <c r="O3" s="12" t="s">
        <v>927</v>
      </c>
    </row>
    <row r="4" spans="1:15">
      <c r="A4" s="7" t="s">
        <v>65</v>
      </c>
      <c r="B4" s="7" t="s">
        <v>67</v>
      </c>
      <c r="C4" s="7" t="s">
        <v>69</v>
      </c>
      <c r="D4" s="7" t="s">
        <v>71</v>
      </c>
      <c r="E4" s="7" t="s">
        <v>72</v>
      </c>
      <c r="F4" s="7" t="s">
        <v>74</v>
      </c>
      <c r="G4" s="7" t="s">
        <v>76</v>
      </c>
      <c r="H4" s="7" t="s">
        <v>77</v>
      </c>
      <c r="I4" s="13">
        <v>3000000</v>
      </c>
      <c r="J4" s="13">
        <v>0</v>
      </c>
      <c r="K4" s="13">
        <v>0</v>
      </c>
      <c r="L4" s="14">
        <f t="shared" ref="L4:L67" si="0">I4-J4</f>
        <v>3000000</v>
      </c>
      <c r="M4" s="14">
        <f t="shared" ref="M4:M67" si="1">J4-K4</f>
        <v>0</v>
      </c>
      <c r="N4" s="18">
        <f t="shared" ref="N4:N67" si="2">IFERROR(J4/I4,0)</f>
        <v>0</v>
      </c>
      <c r="O4" s="20"/>
    </row>
    <row r="5" spans="1:15">
      <c r="A5" s="7" t="s">
        <v>65</v>
      </c>
      <c r="B5" s="7" t="s">
        <v>67</v>
      </c>
      <c r="C5" s="7" t="s">
        <v>69</v>
      </c>
      <c r="D5" s="7" t="s">
        <v>71</v>
      </c>
      <c r="E5" s="7" t="s">
        <v>72</v>
      </c>
      <c r="F5" s="7" t="s">
        <v>74</v>
      </c>
      <c r="G5" s="7" t="s">
        <v>79</v>
      </c>
      <c r="H5" s="7" t="s">
        <v>80</v>
      </c>
      <c r="I5" s="13">
        <v>3000000</v>
      </c>
      <c r="J5" s="13">
        <v>0</v>
      </c>
      <c r="K5" s="13">
        <v>0</v>
      </c>
      <c r="L5" s="14">
        <f t="shared" si="0"/>
        <v>3000000</v>
      </c>
      <c r="M5" s="14">
        <f t="shared" si="1"/>
        <v>0</v>
      </c>
      <c r="N5" s="18">
        <f t="shared" si="2"/>
        <v>0</v>
      </c>
      <c r="O5" s="20"/>
    </row>
    <row r="6" spans="1:15">
      <c r="A6" s="7" t="s">
        <v>65</v>
      </c>
      <c r="B6" s="7" t="s">
        <v>67</v>
      </c>
      <c r="C6" s="7" t="s">
        <v>69</v>
      </c>
      <c r="D6" s="7" t="s">
        <v>71</v>
      </c>
      <c r="E6" s="7" t="s">
        <v>72</v>
      </c>
      <c r="F6" s="7" t="s">
        <v>74</v>
      </c>
      <c r="G6" s="7" t="s">
        <v>82</v>
      </c>
      <c r="H6" s="7" t="s">
        <v>83</v>
      </c>
      <c r="I6" s="13">
        <v>6750000</v>
      </c>
      <c r="J6" s="13">
        <v>0</v>
      </c>
      <c r="K6" s="13">
        <v>0</v>
      </c>
      <c r="L6" s="14">
        <f t="shared" si="0"/>
        <v>6750000</v>
      </c>
      <c r="M6" s="14">
        <f t="shared" si="1"/>
        <v>0</v>
      </c>
      <c r="N6" s="18">
        <f t="shared" si="2"/>
        <v>0</v>
      </c>
      <c r="O6" s="20"/>
    </row>
    <row r="7" spans="1:15">
      <c r="A7" s="7" t="s">
        <v>65</v>
      </c>
      <c r="B7" s="7" t="s">
        <v>67</v>
      </c>
      <c r="C7" s="7" t="s">
        <v>69</v>
      </c>
      <c r="D7" s="7" t="s">
        <v>71</v>
      </c>
      <c r="E7" s="7" t="s">
        <v>72</v>
      </c>
      <c r="F7" s="7" t="s">
        <v>74</v>
      </c>
      <c r="G7" s="7" t="s">
        <v>82</v>
      </c>
      <c r="H7" s="7" t="s">
        <v>84</v>
      </c>
      <c r="I7" s="13">
        <v>750000</v>
      </c>
      <c r="J7" s="13">
        <v>300000</v>
      </c>
      <c r="K7" s="13">
        <v>300000</v>
      </c>
      <c r="L7" s="14">
        <f t="shared" si="0"/>
        <v>450000</v>
      </c>
      <c r="M7" s="14">
        <f t="shared" si="1"/>
        <v>0</v>
      </c>
      <c r="N7" s="18">
        <f t="shared" si="2"/>
        <v>0.4</v>
      </c>
      <c r="O7" s="20"/>
    </row>
    <row r="8" spans="1:15">
      <c r="A8" s="7" t="s">
        <v>65</v>
      </c>
      <c r="B8" s="7" t="s">
        <v>67</v>
      </c>
      <c r="C8" s="7" t="s">
        <v>69</v>
      </c>
      <c r="D8" s="7" t="s">
        <v>71</v>
      </c>
      <c r="E8" s="7" t="s">
        <v>72</v>
      </c>
      <c r="F8" s="7" t="s">
        <v>74</v>
      </c>
      <c r="G8" s="7" t="s">
        <v>82</v>
      </c>
      <c r="H8" s="7" t="s">
        <v>85</v>
      </c>
      <c r="I8" s="13">
        <v>800000</v>
      </c>
      <c r="J8" s="13">
        <v>46000</v>
      </c>
      <c r="K8" s="13">
        <v>46000</v>
      </c>
      <c r="L8" s="14">
        <f t="shared" si="0"/>
        <v>754000</v>
      </c>
      <c r="M8" s="14">
        <f t="shared" si="1"/>
        <v>0</v>
      </c>
      <c r="N8" s="18">
        <f t="shared" si="2"/>
        <v>5.7500000000000002E-2</v>
      </c>
      <c r="O8" s="20"/>
    </row>
    <row r="9" spans="1:15">
      <c r="A9" s="7" t="s">
        <v>65</v>
      </c>
      <c r="B9" s="7" t="s">
        <v>67</v>
      </c>
      <c r="C9" s="7" t="s">
        <v>69</v>
      </c>
      <c r="D9" s="7" t="s">
        <v>71</v>
      </c>
      <c r="E9" s="7" t="s">
        <v>87</v>
      </c>
      <c r="F9" s="7" t="s">
        <v>89</v>
      </c>
      <c r="G9" s="7" t="s">
        <v>89</v>
      </c>
      <c r="H9" s="7" t="s">
        <v>91</v>
      </c>
      <c r="I9" s="13">
        <v>640000</v>
      </c>
      <c r="J9" s="13">
        <v>0</v>
      </c>
      <c r="K9" s="13">
        <v>0</v>
      </c>
      <c r="L9" s="14">
        <f t="shared" si="0"/>
        <v>640000</v>
      </c>
      <c r="M9" s="14">
        <f t="shared" si="1"/>
        <v>0</v>
      </c>
      <c r="N9" s="18">
        <f t="shared" si="2"/>
        <v>0</v>
      </c>
      <c r="O9" s="20"/>
    </row>
    <row r="10" spans="1:15">
      <c r="A10" s="7" t="s">
        <v>65</v>
      </c>
      <c r="B10" s="7" t="s">
        <v>67</v>
      </c>
      <c r="C10" s="7" t="s">
        <v>69</v>
      </c>
      <c r="D10" s="7" t="s">
        <v>93</v>
      </c>
      <c r="E10" s="7" t="s">
        <v>72</v>
      </c>
      <c r="F10" s="7" t="s">
        <v>95</v>
      </c>
      <c r="G10" s="7" t="s">
        <v>95</v>
      </c>
      <c r="H10" s="7" t="s">
        <v>97</v>
      </c>
      <c r="I10" s="13">
        <v>2000000</v>
      </c>
      <c r="J10" s="13">
        <v>818240</v>
      </c>
      <c r="K10" s="13">
        <v>818240</v>
      </c>
      <c r="L10" s="14">
        <f t="shared" si="0"/>
        <v>1181760</v>
      </c>
      <c r="M10" s="14">
        <f t="shared" si="1"/>
        <v>0</v>
      </c>
      <c r="N10" s="18">
        <f t="shared" si="2"/>
        <v>0.40911999999999998</v>
      </c>
      <c r="O10" s="20"/>
    </row>
    <row r="11" spans="1:15">
      <c r="A11" s="7" t="s">
        <v>65</v>
      </c>
      <c r="B11" s="7" t="s">
        <v>67</v>
      </c>
      <c r="C11" s="7" t="s">
        <v>69</v>
      </c>
      <c r="D11" s="7" t="s">
        <v>93</v>
      </c>
      <c r="E11" s="7" t="s">
        <v>87</v>
      </c>
      <c r="F11" s="7" t="s">
        <v>89</v>
      </c>
      <c r="G11" s="7" t="s">
        <v>89</v>
      </c>
      <c r="H11" s="7" t="s">
        <v>98</v>
      </c>
      <c r="I11" s="13">
        <v>1000000</v>
      </c>
      <c r="J11" s="13">
        <v>0</v>
      </c>
      <c r="K11" s="13">
        <v>0</v>
      </c>
      <c r="L11" s="14">
        <f t="shared" si="0"/>
        <v>1000000</v>
      </c>
      <c r="M11" s="14">
        <f t="shared" si="1"/>
        <v>0</v>
      </c>
      <c r="N11" s="18">
        <f t="shared" si="2"/>
        <v>0</v>
      </c>
      <c r="O11" s="20"/>
    </row>
    <row r="12" spans="1:15">
      <c r="A12" s="7" t="s">
        <v>65</v>
      </c>
      <c r="B12" s="7" t="s">
        <v>67</v>
      </c>
      <c r="C12" s="7" t="s">
        <v>69</v>
      </c>
      <c r="D12" s="7" t="s">
        <v>100</v>
      </c>
      <c r="E12" s="7" t="s">
        <v>72</v>
      </c>
      <c r="F12" s="7" t="s">
        <v>95</v>
      </c>
      <c r="G12" s="7" t="s">
        <v>95</v>
      </c>
      <c r="H12" s="7" t="s">
        <v>101</v>
      </c>
      <c r="I12" s="13">
        <v>600000</v>
      </c>
      <c r="J12" s="13">
        <v>0</v>
      </c>
      <c r="K12" s="13">
        <v>0</v>
      </c>
      <c r="L12" s="14">
        <f t="shared" si="0"/>
        <v>600000</v>
      </c>
      <c r="M12" s="14">
        <f t="shared" si="1"/>
        <v>0</v>
      </c>
      <c r="N12" s="18">
        <f t="shared" si="2"/>
        <v>0</v>
      </c>
      <c r="O12" s="20"/>
    </row>
    <row r="13" spans="1:15">
      <c r="A13" s="7" t="s">
        <v>65</v>
      </c>
      <c r="B13" s="7" t="s">
        <v>67</v>
      </c>
      <c r="C13" s="7" t="s">
        <v>69</v>
      </c>
      <c r="D13" s="7" t="s">
        <v>100</v>
      </c>
      <c r="E13" s="7" t="s">
        <v>87</v>
      </c>
      <c r="F13" s="7" t="s">
        <v>89</v>
      </c>
      <c r="G13" s="7" t="s">
        <v>89</v>
      </c>
      <c r="H13" s="7" t="s">
        <v>101</v>
      </c>
      <c r="I13" s="13">
        <v>400000</v>
      </c>
      <c r="J13" s="13">
        <v>0</v>
      </c>
      <c r="K13" s="13">
        <v>0</v>
      </c>
      <c r="L13" s="14">
        <f t="shared" si="0"/>
        <v>400000</v>
      </c>
      <c r="M13" s="14">
        <f t="shared" si="1"/>
        <v>0</v>
      </c>
      <c r="N13" s="18">
        <f t="shared" si="2"/>
        <v>0</v>
      </c>
      <c r="O13" s="20"/>
    </row>
    <row r="14" spans="1:15">
      <c r="A14" s="7" t="s">
        <v>65</v>
      </c>
      <c r="B14" s="7" t="s">
        <v>67</v>
      </c>
      <c r="C14" s="7" t="s">
        <v>69</v>
      </c>
      <c r="D14" s="7" t="s">
        <v>103</v>
      </c>
      <c r="E14" s="7" t="s">
        <v>72</v>
      </c>
      <c r="F14" s="7" t="s">
        <v>74</v>
      </c>
      <c r="G14" s="7" t="s">
        <v>76</v>
      </c>
      <c r="H14" s="7" t="s">
        <v>104</v>
      </c>
      <c r="I14" s="13">
        <v>279000</v>
      </c>
      <c r="J14" s="13">
        <v>279000</v>
      </c>
      <c r="K14" s="13">
        <v>219000</v>
      </c>
      <c r="L14" s="14">
        <f t="shared" si="0"/>
        <v>0</v>
      </c>
      <c r="M14" s="14">
        <f t="shared" si="1"/>
        <v>60000</v>
      </c>
      <c r="N14" s="18">
        <f t="shared" si="2"/>
        <v>1</v>
      </c>
      <c r="O14" s="20"/>
    </row>
    <row r="15" spans="1:15">
      <c r="A15" s="7" t="s">
        <v>65</v>
      </c>
      <c r="B15" s="7" t="s">
        <v>67</v>
      </c>
      <c r="C15" s="7" t="s">
        <v>69</v>
      </c>
      <c r="D15" s="7" t="s">
        <v>103</v>
      </c>
      <c r="E15" s="7" t="s">
        <v>87</v>
      </c>
      <c r="F15" s="7" t="s">
        <v>89</v>
      </c>
      <c r="G15" s="7" t="s">
        <v>106</v>
      </c>
      <c r="H15" s="7" t="s">
        <v>107</v>
      </c>
      <c r="I15" s="13">
        <v>31000</v>
      </c>
      <c r="J15" s="13">
        <v>31000</v>
      </c>
      <c r="K15" s="13">
        <v>0</v>
      </c>
      <c r="L15" s="14">
        <f t="shared" si="0"/>
        <v>0</v>
      </c>
      <c r="M15" s="14">
        <f t="shared" si="1"/>
        <v>31000</v>
      </c>
      <c r="N15" s="18">
        <f t="shared" si="2"/>
        <v>1</v>
      </c>
      <c r="O15" s="20"/>
    </row>
    <row r="16" spans="1:15">
      <c r="A16" s="7" t="s">
        <v>65</v>
      </c>
      <c r="B16" s="7" t="s">
        <v>67</v>
      </c>
      <c r="C16" s="7" t="s">
        <v>109</v>
      </c>
      <c r="D16" s="7" t="s">
        <v>110</v>
      </c>
      <c r="E16" s="7" t="s">
        <v>72</v>
      </c>
      <c r="F16" s="7" t="s">
        <v>74</v>
      </c>
      <c r="G16" s="7" t="s">
        <v>112</v>
      </c>
      <c r="H16" s="7" t="s">
        <v>113</v>
      </c>
      <c r="I16" s="13">
        <v>2000000</v>
      </c>
      <c r="J16" s="13">
        <v>2000000</v>
      </c>
      <c r="K16" s="13">
        <v>2000000</v>
      </c>
      <c r="L16" s="14">
        <f t="shared" si="0"/>
        <v>0</v>
      </c>
      <c r="M16" s="14">
        <f t="shared" si="1"/>
        <v>0</v>
      </c>
      <c r="N16" s="18">
        <f t="shared" si="2"/>
        <v>1</v>
      </c>
      <c r="O16" s="20"/>
    </row>
    <row r="17" spans="1:15">
      <c r="A17" s="7" t="s">
        <v>65</v>
      </c>
      <c r="B17" s="7" t="s">
        <v>67</v>
      </c>
      <c r="C17" s="7" t="s">
        <v>109</v>
      </c>
      <c r="D17" s="7" t="s">
        <v>110</v>
      </c>
      <c r="E17" s="7" t="s">
        <v>72</v>
      </c>
      <c r="F17" s="7" t="s">
        <v>74</v>
      </c>
      <c r="G17" s="7" t="s">
        <v>112</v>
      </c>
      <c r="H17" s="7" t="s">
        <v>114</v>
      </c>
      <c r="I17" s="13">
        <v>250000</v>
      </c>
      <c r="J17" s="13">
        <v>250000</v>
      </c>
      <c r="K17" s="13">
        <v>250000</v>
      </c>
      <c r="L17" s="14">
        <f t="shared" si="0"/>
        <v>0</v>
      </c>
      <c r="M17" s="14">
        <f t="shared" si="1"/>
        <v>0</v>
      </c>
      <c r="N17" s="18">
        <f t="shared" si="2"/>
        <v>1</v>
      </c>
      <c r="O17" s="20"/>
    </row>
    <row r="18" spans="1:15">
      <c r="A18" s="7" t="s">
        <v>65</v>
      </c>
      <c r="B18" s="7" t="s">
        <v>67</v>
      </c>
      <c r="C18" s="7" t="s">
        <v>109</v>
      </c>
      <c r="D18" s="7" t="s">
        <v>110</v>
      </c>
      <c r="E18" s="7" t="s">
        <v>72</v>
      </c>
      <c r="F18" s="7" t="s">
        <v>74</v>
      </c>
      <c r="G18" s="7" t="s">
        <v>112</v>
      </c>
      <c r="H18" s="7" t="s">
        <v>115</v>
      </c>
      <c r="I18" s="13">
        <v>3640000</v>
      </c>
      <c r="J18" s="13">
        <v>3640000</v>
      </c>
      <c r="K18" s="13">
        <v>3640000</v>
      </c>
      <c r="L18" s="14">
        <f t="shared" si="0"/>
        <v>0</v>
      </c>
      <c r="M18" s="14">
        <f t="shared" si="1"/>
        <v>0</v>
      </c>
      <c r="N18" s="18">
        <f t="shared" si="2"/>
        <v>1</v>
      </c>
      <c r="O18" s="20"/>
    </row>
    <row r="19" spans="1:15">
      <c r="A19" s="7" t="s">
        <v>65</v>
      </c>
      <c r="B19" s="7" t="s">
        <v>67</v>
      </c>
      <c r="C19" s="7" t="s">
        <v>109</v>
      </c>
      <c r="D19" s="7" t="s">
        <v>110</v>
      </c>
      <c r="E19" s="7" t="s">
        <v>72</v>
      </c>
      <c r="F19" s="7" t="s">
        <v>74</v>
      </c>
      <c r="G19" s="7" t="s">
        <v>112</v>
      </c>
      <c r="H19" s="7" t="s">
        <v>116</v>
      </c>
      <c r="I19" s="13">
        <v>220000</v>
      </c>
      <c r="J19" s="13">
        <v>220000</v>
      </c>
      <c r="K19" s="13">
        <v>220000</v>
      </c>
      <c r="L19" s="14">
        <f t="shared" si="0"/>
        <v>0</v>
      </c>
      <c r="M19" s="14">
        <f t="shared" si="1"/>
        <v>0</v>
      </c>
      <c r="N19" s="18">
        <f t="shared" si="2"/>
        <v>1</v>
      </c>
      <c r="O19" s="20"/>
    </row>
    <row r="20" spans="1:15">
      <c r="A20" s="7" t="s">
        <v>65</v>
      </c>
      <c r="B20" s="7" t="s">
        <v>67</v>
      </c>
      <c r="C20" s="7" t="s">
        <v>109</v>
      </c>
      <c r="D20" s="7" t="s">
        <v>110</v>
      </c>
      <c r="E20" s="7" t="s">
        <v>72</v>
      </c>
      <c r="F20" s="7" t="s">
        <v>74</v>
      </c>
      <c r="G20" s="7" t="s">
        <v>112</v>
      </c>
      <c r="H20" s="7" t="s">
        <v>117</v>
      </c>
      <c r="I20" s="13">
        <v>100000</v>
      </c>
      <c r="J20" s="13">
        <v>100000</v>
      </c>
      <c r="K20" s="13">
        <v>100000</v>
      </c>
      <c r="L20" s="14">
        <f t="shared" si="0"/>
        <v>0</v>
      </c>
      <c r="M20" s="14">
        <f t="shared" si="1"/>
        <v>0</v>
      </c>
      <c r="N20" s="18">
        <f t="shared" si="2"/>
        <v>1</v>
      </c>
      <c r="O20" s="20"/>
    </row>
    <row r="21" spans="1:15">
      <c r="A21" s="7" t="s">
        <v>65</v>
      </c>
      <c r="B21" s="7" t="s">
        <v>119</v>
      </c>
      <c r="C21" s="7" t="s">
        <v>121</v>
      </c>
      <c r="D21" s="7" t="s">
        <v>122</v>
      </c>
      <c r="E21" s="7" t="s">
        <v>72</v>
      </c>
      <c r="F21" s="7" t="s">
        <v>124</v>
      </c>
      <c r="G21" s="7" t="s">
        <v>126</v>
      </c>
      <c r="H21" s="7" t="s">
        <v>127</v>
      </c>
      <c r="I21" s="13">
        <v>3630000</v>
      </c>
      <c r="J21" s="13">
        <v>2262410</v>
      </c>
      <c r="K21" s="13">
        <v>2262410</v>
      </c>
      <c r="L21" s="14">
        <f t="shared" si="0"/>
        <v>1367590</v>
      </c>
      <c r="M21" s="14">
        <f t="shared" si="1"/>
        <v>0</v>
      </c>
      <c r="N21" s="18">
        <f t="shared" si="2"/>
        <v>0.62325344352617085</v>
      </c>
      <c r="O21" s="20"/>
    </row>
    <row r="22" spans="1:15">
      <c r="A22" s="7" t="s">
        <v>65</v>
      </c>
      <c r="B22" s="7" t="s">
        <v>119</v>
      </c>
      <c r="C22" s="7" t="s">
        <v>121</v>
      </c>
      <c r="D22" s="7" t="s">
        <v>129</v>
      </c>
      <c r="E22" s="7" t="s">
        <v>131</v>
      </c>
      <c r="F22" s="7" t="s">
        <v>133</v>
      </c>
      <c r="G22" s="7" t="s">
        <v>135</v>
      </c>
      <c r="H22" s="7" t="s">
        <v>136</v>
      </c>
      <c r="I22" s="13">
        <v>57964000</v>
      </c>
      <c r="J22" s="13">
        <v>47270660</v>
      </c>
      <c r="K22" s="13">
        <v>47270660</v>
      </c>
      <c r="L22" s="14">
        <f t="shared" si="0"/>
        <v>10693340</v>
      </c>
      <c r="M22" s="14">
        <f t="shared" si="1"/>
        <v>0</v>
      </c>
      <c r="N22" s="18">
        <f t="shared" si="2"/>
        <v>0.81551756262507769</v>
      </c>
      <c r="O22" s="20"/>
    </row>
    <row r="23" spans="1:15">
      <c r="A23" s="7" t="s">
        <v>65</v>
      </c>
      <c r="B23" s="7" t="s">
        <v>119</v>
      </c>
      <c r="C23" s="7" t="s">
        <v>121</v>
      </c>
      <c r="D23" s="7" t="s">
        <v>129</v>
      </c>
      <c r="E23" s="7" t="s">
        <v>72</v>
      </c>
      <c r="F23" s="7" t="s">
        <v>124</v>
      </c>
      <c r="G23" s="7" t="s">
        <v>138</v>
      </c>
      <c r="H23" s="7" t="s">
        <v>139</v>
      </c>
      <c r="I23" s="13">
        <v>5413000</v>
      </c>
      <c r="J23" s="13">
        <v>3426650</v>
      </c>
      <c r="K23" s="13">
        <v>3426650</v>
      </c>
      <c r="L23" s="14">
        <f t="shared" si="0"/>
        <v>1986350</v>
      </c>
      <c r="M23" s="14">
        <f t="shared" si="1"/>
        <v>0</v>
      </c>
      <c r="N23" s="18">
        <f t="shared" si="2"/>
        <v>0.63304082763716973</v>
      </c>
      <c r="O23" s="20"/>
    </row>
    <row r="24" spans="1:15">
      <c r="A24" s="7" t="s">
        <v>65</v>
      </c>
      <c r="B24" s="7" t="s">
        <v>119</v>
      </c>
      <c r="C24" s="7" t="s">
        <v>121</v>
      </c>
      <c r="D24" s="7" t="s">
        <v>141</v>
      </c>
      <c r="E24" s="7" t="s">
        <v>131</v>
      </c>
      <c r="F24" s="7" t="s">
        <v>133</v>
      </c>
      <c r="G24" s="7" t="s">
        <v>143</v>
      </c>
      <c r="H24" s="7" t="s">
        <v>144</v>
      </c>
      <c r="I24" s="13">
        <v>10400000</v>
      </c>
      <c r="J24" s="13">
        <v>10390000</v>
      </c>
      <c r="K24" s="13">
        <v>10390000</v>
      </c>
      <c r="L24" s="14">
        <f t="shared" si="0"/>
        <v>10000</v>
      </c>
      <c r="M24" s="14">
        <f t="shared" si="1"/>
        <v>0</v>
      </c>
      <c r="N24" s="18">
        <f t="shared" si="2"/>
        <v>0.99903846153846154</v>
      </c>
      <c r="O24" s="20"/>
    </row>
    <row r="25" spans="1:15">
      <c r="A25" s="7" t="s">
        <v>65</v>
      </c>
      <c r="B25" s="7" t="s">
        <v>119</v>
      </c>
      <c r="C25" s="7" t="s">
        <v>121</v>
      </c>
      <c r="D25" s="7" t="s">
        <v>141</v>
      </c>
      <c r="E25" s="7" t="s">
        <v>72</v>
      </c>
      <c r="F25" s="7" t="s">
        <v>124</v>
      </c>
      <c r="G25" s="7" t="s">
        <v>126</v>
      </c>
      <c r="H25" s="7" t="s">
        <v>145</v>
      </c>
      <c r="I25" s="13">
        <v>534000</v>
      </c>
      <c r="J25" s="13">
        <v>481830</v>
      </c>
      <c r="K25" s="13">
        <v>481830</v>
      </c>
      <c r="L25" s="14">
        <f t="shared" si="0"/>
        <v>52170</v>
      </c>
      <c r="M25" s="14">
        <f t="shared" si="1"/>
        <v>0</v>
      </c>
      <c r="N25" s="18">
        <f t="shared" si="2"/>
        <v>0.9023033707865169</v>
      </c>
      <c r="O25" s="20"/>
    </row>
    <row r="26" spans="1:15">
      <c r="A26" s="7" t="s">
        <v>65</v>
      </c>
      <c r="B26" s="7" t="s">
        <v>119</v>
      </c>
      <c r="C26" s="7" t="s">
        <v>121</v>
      </c>
      <c r="D26" s="7" t="s">
        <v>147</v>
      </c>
      <c r="E26" s="7" t="s">
        <v>131</v>
      </c>
      <c r="F26" s="7" t="s">
        <v>133</v>
      </c>
      <c r="G26" s="7" t="s">
        <v>143</v>
      </c>
      <c r="H26" s="7" t="s">
        <v>147</v>
      </c>
      <c r="I26" s="13">
        <v>1575000</v>
      </c>
      <c r="J26" s="13">
        <v>1574550</v>
      </c>
      <c r="K26" s="13">
        <v>1574550</v>
      </c>
      <c r="L26" s="14">
        <f t="shared" si="0"/>
        <v>450</v>
      </c>
      <c r="M26" s="14">
        <f t="shared" si="1"/>
        <v>0</v>
      </c>
      <c r="N26" s="18">
        <f t="shared" si="2"/>
        <v>0.99971428571428567</v>
      </c>
      <c r="O26" s="20"/>
    </row>
    <row r="27" spans="1:15">
      <c r="A27" s="7" t="s">
        <v>65</v>
      </c>
      <c r="B27" s="7" t="s">
        <v>119</v>
      </c>
      <c r="C27" s="7" t="s">
        <v>149</v>
      </c>
      <c r="D27" s="7" t="s">
        <v>151</v>
      </c>
      <c r="E27" s="7" t="s">
        <v>72</v>
      </c>
      <c r="F27" s="7" t="s">
        <v>74</v>
      </c>
      <c r="G27" s="7" t="s">
        <v>79</v>
      </c>
      <c r="H27" s="7" t="s">
        <v>152</v>
      </c>
      <c r="I27" s="13">
        <v>4800000</v>
      </c>
      <c r="J27" s="13">
        <v>4800000</v>
      </c>
      <c r="K27" s="13">
        <v>2000000</v>
      </c>
      <c r="L27" s="14">
        <f t="shared" si="0"/>
        <v>0</v>
      </c>
      <c r="M27" s="14">
        <f t="shared" si="1"/>
        <v>2800000</v>
      </c>
      <c r="N27" s="18">
        <f t="shared" si="2"/>
        <v>1</v>
      </c>
      <c r="O27" s="20"/>
    </row>
    <row r="28" spans="1:15">
      <c r="A28" s="7" t="s">
        <v>154</v>
      </c>
      <c r="B28" s="7" t="s">
        <v>156</v>
      </c>
      <c r="C28" s="7" t="s">
        <v>158</v>
      </c>
      <c r="D28" s="7" t="s">
        <v>160</v>
      </c>
      <c r="E28" s="7" t="s">
        <v>72</v>
      </c>
      <c r="F28" s="7" t="s">
        <v>74</v>
      </c>
      <c r="G28" s="7" t="s">
        <v>76</v>
      </c>
      <c r="H28" s="7" t="s">
        <v>161</v>
      </c>
      <c r="I28" s="13">
        <v>7200000</v>
      </c>
      <c r="J28" s="13">
        <v>6720000</v>
      </c>
      <c r="K28" s="13">
        <v>3181500</v>
      </c>
      <c r="L28" s="14">
        <f t="shared" si="0"/>
        <v>480000</v>
      </c>
      <c r="M28" s="14">
        <f t="shared" si="1"/>
        <v>3538500</v>
      </c>
      <c r="N28" s="18">
        <f t="shared" si="2"/>
        <v>0.93333333333333335</v>
      </c>
      <c r="O28" s="20"/>
    </row>
    <row r="29" spans="1:15">
      <c r="A29" s="7" t="s">
        <v>154</v>
      </c>
      <c r="B29" s="7" t="s">
        <v>156</v>
      </c>
      <c r="C29" s="7" t="s">
        <v>158</v>
      </c>
      <c r="D29" s="7" t="s">
        <v>160</v>
      </c>
      <c r="E29" s="7" t="s">
        <v>72</v>
      </c>
      <c r="F29" s="7" t="s">
        <v>74</v>
      </c>
      <c r="G29" s="7" t="s">
        <v>76</v>
      </c>
      <c r="H29" s="7" t="s">
        <v>162</v>
      </c>
      <c r="I29" s="13">
        <v>15876000</v>
      </c>
      <c r="J29" s="13">
        <v>6786570</v>
      </c>
      <c r="K29" s="13">
        <v>3904680</v>
      </c>
      <c r="L29" s="14">
        <f t="shared" si="0"/>
        <v>9089430</v>
      </c>
      <c r="M29" s="14">
        <f t="shared" si="1"/>
        <v>2881890</v>
      </c>
      <c r="N29" s="18">
        <f t="shared" si="2"/>
        <v>0.42747354497354495</v>
      </c>
      <c r="O29" s="20"/>
    </row>
    <row r="30" spans="1:15">
      <c r="A30" s="7" t="s">
        <v>154</v>
      </c>
      <c r="B30" s="7" t="s">
        <v>156</v>
      </c>
      <c r="C30" s="7" t="s">
        <v>158</v>
      </c>
      <c r="D30" s="7" t="s">
        <v>160</v>
      </c>
      <c r="E30" s="7" t="s">
        <v>72</v>
      </c>
      <c r="F30" s="7" t="s">
        <v>74</v>
      </c>
      <c r="G30" s="7" t="s">
        <v>76</v>
      </c>
      <c r="H30" s="7" t="s">
        <v>163</v>
      </c>
      <c r="I30" s="13">
        <v>792000</v>
      </c>
      <c r="J30" s="13">
        <v>175000</v>
      </c>
      <c r="K30" s="13">
        <v>175000</v>
      </c>
      <c r="L30" s="14">
        <f t="shared" si="0"/>
        <v>617000</v>
      </c>
      <c r="M30" s="14">
        <f t="shared" si="1"/>
        <v>0</v>
      </c>
      <c r="N30" s="18">
        <f t="shared" si="2"/>
        <v>0.22095959595959597</v>
      </c>
      <c r="O30" s="20"/>
    </row>
    <row r="31" spans="1:15">
      <c r="A31" s="7" t="s">
        <v>154</v>
      </c>
      <c r="B31" s="7" t="s">
        <v>156</v>
      </c>
      <c r="C31" s="7" t="s">
        <v>158</v>
      </c>
      <c r="D31" s="7" t="s">
        <v>160</v>
      </c>
      <c r="E31" s="7" t="s">
        <v>72</v>
      </c>
      <c r="F31" s="7" t="s">
        <v>74</v>
      </c>
      <c r="G31" s="7" t="s">
        <v>76</v>
      </c>
      <c r="H31" s="7" t="s">
        <v>164</v>
      </c>
      <c r="I31" s="13">
        <v>2500000</v>
      </c>
      <c r="J31" s="13">
        <v>1078000</v>
      </c>
      <c r="K31" s="13">
        <v>1078000</v>
      </c>
      <c r="L31" s="14">
        <f t="shared" si="0"/>
        <v>1422000</v>
      </c>
      <c r="M31" s="14">
        <f t="shared" si="1"/>
        <v>0</v>
      </c>
      <c r="N31" s="18">
        <f t="shared" si="2"/>
        <v>0.43120000000000003</v>
      </c>
      <c r="O31" s="20"/>
    </row>
    <row r="32" spans="1:15">
      <c r="A32" s="7" t="s">
        <v>154</v>
      </c>
      <c r="B32" s="7" t="s">
        <v>156</v>
      </c>
      <c r="C32" s="7" t="s">
        <v>158</v>
      </c>
      <c r="D32" s="7" t="s">
        <v>160</v>
      </c>
      <c r="E32" s="7" t="s">
        <v>72</v>
      </c>
      <c r="F32" s="7" t="s">
        <v>74</v>
      </c>
      <c r="G32" s="7" t="s">
        <v>76</v>
      </c>
      <c r="H32" s="7" t="s">
        <v>165</v>
      </c>
      <c r="I32" s="13">
        <v>5100000</v>
      </c>
      <c r="J32" s="13">
        <v>2379896</v>
      </c>
      <c r="K32" s="13">
        <v>2379896</v>
      </c>
      <c r="L32" s="14">
        <f t="shared" si="0"/>
        <v>2720104</v>
      </c>
      <c r="M32" s="14">
        <f t="shared" si="1"/>
        <v>0</v>
      </c>
      <c r="N32" s="18">
        <f t="shared" si="2"/>
        <v>0.46664627450980395</v>
      </c>
      <c r="O32" s="20"/>
    </row>
    <row r="33" spans="1:15">
      <c r="A33" s="7" t="s">
        <v>154</v>
      </c>
      <c r="B33" s="7" t="s">
        <v>156</v>
      </c>
      <c r="C33" s="7" t="s">
        <v>158</v>
      </c>
      <c r="D33" s="7" t="s">
        <v>160</v>
      </c>
      <c r="E33" s="7" t="s">
        <v>72</v>
      </c>
      <c r="F33" s="7" t="s">
        <v>74</v>
      </c>
      <c r="G33" s="7" t="s">
        <v>76</v>
      </c>
      <c r="H33" s="7" t="s">
        <v>166</v>
      </c>
      <c r="I33" s="13">
        <v>1400000</v>
      </c>
      <c r="J33" s="13">
        <v>0</v>
      </c>
      <c r="K33" s="13">
        <v>0</v>
      </c>
      <c r="L33" s="14">
        <f t="shared" si="0"/>
        <v>1400000</v>
      </c>
      <c r="M33" s="14">
        <f t="shared" si="1"/>
        <v>0</v>
      </c>
      <c r="N33" s="18">
        <f t="shared" si="2"/>
        <v>0</v>
      </c>
      <c r="O33" s="20"/>
    </row>
    <row r="34" spans="1:15">
      <c r="A34" s="7" t="s">
        <v>154</v>
      </c>
      <c r="B34" s="7" t="s">
        <v>156</v>
      </c>
      <c r="C34" s="7" t="s">
        <v>158</v>
      </c>
      <c r="D34" s="7" t="s">
        <v>160</v>
      </c>
      <c r="E34" s="7" t="s">
        <v>72</v>
      </c>
      <c r="F34" s="7" t="s">
        <v>74</v>
      </c>
      <c r="G34" s="7" t="s">
        <v>76</v>
      </c>
      <c r="H34" s="7" t="s">
        <v>167</v>
      </c>
      <c r="I34" s="13">
        <v>16295000</v>
      </c>
      <c r="J34" s="13">
        <v>14751990</v>
      </c>
      <c r="K34" s="13">
        <v>14268480</v>
      </c>
      <c r="L34" s="14">
        <f t="shared" si="0"/>
        <v>1543010</v>
      </c>
      <c r="M34" s="14">
        <f t="shared" si="1"/>
        <v>483510</v>
      </c>
      <c r="N34" s="18">
        <f t="shared" si="2"/>
        <v>0.9053077631175207</v>
      </c>
      <c r="O34" s="20"/>
    </row>
    <row r="35" spans="1:15">
      <c r="A35" s="7" t="s">
        <v>154</v>
      </c>
      <c r="B35" s="7" t="s">
        <v>156</v>
      </c>
      <c r="C35" s="7" t="s">
        <v>158</v>
      </c>
      <c r="D35" s="7" t="s">
        <v>160</v>
      </c>
      <c r="E35" s="7" t="s">
        <v>72</v>
      </c>
      <c r="F35" s="7" t="s">
        <v>95</v>
      </c>
      <c r="G35" s="7" t="s">
        <v>95</v>
      </c>
      <c r="H35" s="7" t="s">
        <v>168</v>
      </c>
      <c r="I35" s="13">
        <v>180000</v>
      </c>
      <c r="J35" s="13">
        <v>50000</v>
      </c>
      <c r="K35" s="13">
        <v>50000</v>
      </c>
      <c r="L35" s="14">
        <f t="shared" si="0"/>
        <v>130000</v>
      </c>
      <c r="M35" s="14">
        <f t="shared" si="1"/>
        <v>0</v>
      </c>
      <c r="N35" s="18">
        <f t="shared" si="2"/>
        <v>0.27777777777777779</v>
      </c>
      <c r="O35" s="20"/>
    </row>
    <row r="36" spans="1:15">
      <c r="A36" s="7" t="s">
        <v>154</v>
      </c>
      <c r="B36" s="7" t="s">
        <v>156</v>
      </c>
      <c r="C36" s="7" t="s">
        <v>158</v>
      </c>
      <c r="D36" s="7" t="s">
        <v>160</v>
      </c>
      <c r="E36" s="7" t="s">
        <v>87</v>
      </c>
      <c r="F36" s="7" t="s">
        <v>89</v>
      </c>
      <c r="G36" s="7" t="s">
        <v>89</v>
      </c>
      <c r="H36" s="7" t="s">
        <v>169</v>
      </c>
      <c r="I36" s="13">
        <v>420000</v>
      </c>
      <c r="J36" s="13">
        <v>55400</v>
      </c>
      <c r="K36" s="13">
        <v>55400</v>
      </c>
      <c r="L36" s="14">
        <f t="shared" si="0"/>
        <v>364600</v>
      </c>
      <c r="M36" s="14">
        <f t="shared" si="1"/>
        <v>0</v>
      </c>
      <c r="N36" s="18">
        <f t="shared" si="2"/>
        <v>0.13190476190476191</v>
      </c>
      <c r="O36" s="20"/>
    </row>
    <row r="37" spans="1:15">
      <c r="A37" s="7" t="s">
        <v>154</v>
      </c>
      <c r="B37" s="7" t="s">
        <v>156</v>
      </c>
      <c r="C37" s="7" t="s">
        <v>158</v>
      </c>
      <c r="D37" s="7" t="s">
        <v>170</v>
      </c>
      <c r="E37" s="7" t="s">
        <v>72</v>
      </c>
      <c r="F37" s="7" t="s">
        <v>74</v>
      </c>
      <c r="G37" s="7" t="s">
        <v>172</v>
      </c>
      <c r="H37" s="7" t="s">
        <v>170</v>
      </c>
      <c r="I37" s="13">
        <v>4208000</v>
      </c>
      <c r="J37" s="13">
        <v>3851610</v>
      </c>
      <c r="K37" s="13">
        <v>3851610</v>
      </c>
      <c r="L37" s="14">
        <f t="shared" si="0"/>
        <v>356390</v>
      </c>
      <c r="M37" s="14">
        <f t="shared" si="1"/>
        <v>0</v>
      </c>
      <c r="N37" s="18">
        <f t="shared" si="2"/>
        <v>0.91530655893536117</v>
      </c>
      <c r="O37" s="20"/>
    </row>
    <row r="38" spans="1:15">
      <c r="A38" s="7" t="s">
        <v>154</v>
      </c>
      <c r="B38" s="7" t="s">
        <v>156</v>
      </c>
      <c r="C38" s="7" t="s">
        <v>158</v>
      </c>
      <c r="D38" s="7" t="s">
        <v>173</v>
      </c>
      <c r="E38" s="7" t="s">
        <v>72</v>
      </c>
      <c r="F38" s="7" t="s">
        <v>74</v>
      </c>
      <c r="G38" s="7" t="s">
        <v>76</v>
      </c>
      <c r="H38" s="7" t="s">
        <v>174</v>
      </c>
      <c r="I38" s="13">
        <v>4083000</v>
      </c>
      <c r="J38" s="13">
        <v>1952500</v>
      </c>
      <c r="K38" s="13">
        <v>1952500</v>
      </c>
      <c r="L38" s="14">
        <f t="shared" si="0"/>
        <v>2130500</v>
      </c>
      <c r="M38" s="14">
        <f t="shared" si="1"/>
        <v>0</v>
      </c>
      <c r="N38" s="18">
        <f t="shared" si="2"/>
        <v>0.47820230222875337</v>
      </c>
      <c r="O38" s="20"/>
    </row>
    <row r="39" spans="1:15">
      <c r="A39" s="7" t="s">
        <v>154</v>
      </c>
      <c r="B39" s="7" t="s">
        <v>156</v>
      </c>
      <c r="C39" s="7" t="s">
        <v>158</v>
      </c>
      <c r="D39" s="7" t="s">
        <v>173</v>
      </c>
      <c r="E39" s="7" t="s">
        <v>72</v>
      </c>
      <c r="F39" s="7" t="s">
        <v>74</v>
      </c>
      <c r="G39" s="7" t="s">
        <v>76</v>
      </c>
      <c r="H39" s="7" t="s">
        <v>175</v>
      </c>
      <c r="I39" s="13">
        <v>3478000</v>
      </c>
      <c r="J39" s="13">
        <v>0</v>
      </c>
      <c r="K39" s="13">
        <v>0</v>
      </c>
      <c r="L39" s="14">
        <f t="shared" si="0"/>
        <v>3478000</v>
      </c>
      <c r="M39" s="14">
        <f t="shared" si="1"/>
        <v>0</v>
      </c>
      <c r="N39" s="18">
        <f t="shared" si="2"/>
        <v>0</v>
      </c>
      <c r="O39" s="20"/>
    </row>
    <row r="40" spans="1:15">
      <c r="A40" s="7" t="s">
        <v>154</v>
      </c>
      <c r="B40" s="7" t="s">
        <v>156</v>
      </c>
      <c r="C40" s="7" t="s">
        <v>158</v>
      </c>
      <c r="D40" s="7" t="s">
        <v>173</v>
      </c>
      <c r="E40" s="7" t="s">
        <v>72</v>
      </c>
      <c r="F40" s="7" t="s">
        <v>74</v>
      </c>
      <c r="G40" s="7" t="s">
        <v>172</v>
      </c>
      <c r="H40" s="7" t="s">
        <v>176</v>
      </c>
      <c r="I40" s="13">
        <v>72576000</v>
      </c>
      <c r="J40" s="13">
        <v>34805380</v>
      </c>
      <c r="K40" s="13">
        <v>34805380</v>
      </c>
      <c r="L40" s="14">
        <f t="shared" si="0"/>
        <v>37770620</v>
      </c>
      <c r="M40" s="14">
        <f t="shared" si="1"/>
        <v>0</v>
      </c>
      <c r="N40" s="18">
        <f t="shared" si="2"/>
        <v>0.479571483686067</v>
      </c>
      <c r="O40" s="20"/>
    </row>
    <row r="41" spans="1:15">
      <c r="A41" s="7" t="s">
        <v>154</v>
      </c>
      <c r="B41" s="7" t="s">
        <v>156</v>
      </c>
      <c r="C41" s="7" t="s">
        <v>158</v>
      </c>
      <c r="D41" s="7" t="s">
        <v>177</v>
      </c>
      <c r="E41" s="7" t="s">
        <v>72</v>
      </c>
      <c r="F41" s="7" t="s">
        <v>74</v>
      </c>
      <c r="G41" s="7" t="s">
        <v>76</v>
      </c>
      <c r="H41" s="7" t="s">
        <v>178</v>
      </c>
      <c r="I41" s="13">
        <v>1252000</v>
      </c>
      <c r="J41" s="13">
        <v>0</v>
      </c>
      <c r="K41" s="13">
        <v>0</v>
      </c>
      <c r="L41" s="14">
        <f t="shared" si="0"/>
        <v>1252000</v>
      </c>
      <c r="M41" s="14">
        <f t="shared" si="1"/>
        <v>0</v>
      </c>
      <c r="N41" s="18">
        <f t="shared" si="2"/>
        <v>0</v>
      </c>
      <c r="O41" s="20"/>
    </row>
    <row r="42" spans="1:15">
      <c r="A42" s="7" t="s">
        <v>154</v>
      </c>
      <c r="B42" s="7" t="s">
        <v>156</v>
      </c>
      <c r="C42" s="7" t="s">
        <v>158</v>
      </c>
      <c r="D42" s="7" t="s">
        <v>177</v>
      </c>
      <c r="E42" s="7" t="s">
        <v>72</v>
      </c>
      <c r="F42" s="7" t="s">
        <v>74</v>
      </c>
      <c r="G42" s="7" t="s">
        <v>172</v>
      </c>
      <c r="H42" s="7" t="s">
        <v>179</v>
      </c>
      <c r="I42" s="13">
        <v>27230000</v>
      </c>
      <c r="J42" s="13">
        <v>14489550</v>
      </c>
      <c r="K42" s="13">
        <v>14489550</v>
      </c>
      <c r="L42" s="14">
        <f t="shared" si="0"/>
        <v>12740450</v>
      </c>
      <c r="M42" s="14">
        <f t="shared" si="1"/>
        <v>0</v>
      </c>
      <c r="N42" s="18">
        <f t="shared" si="2"/>
        <v>0.53211715020198314</v>
      </c>
      <c r="O42" s="20"/>
    </row>
    <row r="43" spans="1:15">
      <c r="A43" s="7" t="s">
        <v>154</v>
      </c>
      <c r="B43" s="7" t="s">
        <v>156</v>
      </c>
      <c r="C43" s="7" t="s">
        <v>158</v>
      </c>
      <c r="D43" s="7" t="s">
        <v>177</v>
      </c>
      <c r="E43" s="7" t="s">
        <v>72</v>
      </c>
      <c r="F43" s="7" t="s">
        <v>74</v>
      </c>
      <c r="G43" s="7" t="s">
        <v>172</v>
      </c>
      <c r="H43" s="7" t="s">
        <v>180</v>
      </c>
      <c r="I43" s="13">
        <v>490000</v>
      </c>
      <c r="J43" s="13">
        <v>329140</v>
      </c>
      <c r="K43" s="13">
        <v>329140</v>
      </c>
      <c r="L43" s="14">
        <f t="shared" si="0"/>
        <v>160860</v>
      </c>
      <c r="M43" s="14">
        <f t="shared" si="1"/>
        <v>0</v>
      </c>
      <c r="N43" s="18">
        <f t="shared" si="2"/>
        <v>0.67171428571428571</v>
      </c>
      <c r="O43" s="20"/>
    </row>
    <row r="44" spans="1:15">
      <c r="A44" s="7" t="s">
        <v>154</v>
      </c>
      <c r="B44" s="7" t="s">
        <v>156</v>
      </c>
      <c r="C44" s="7" t="s">
        <v>158</v>
      </c>
      <c r="D44" s="7" t="s">
        <v>181</v>
      </c>
      <c r="E44" s="7" t="s">
        <v>72</v>
      </c>
      <c r="F44" s="7" t="s">
        <v>74</v>
      </c>
      <c r="G44" s="7" t="s">
        <v>76</v>
      </c>
      <c r="H44" s="7" t="s">
        <v>182</v>
      </c>
      <c r="I44" s="13">
        <v>6420000</v>
      </c>
      <c r="J44" s="13">
        <v>4615140</v>
      </c>
      <c r="K44" s="13">
        <v>4615140</v>
      </c>
      <c r="L44" s="14">
        <f t="shared" si="0"/>
        <v>1804860</v>
      </c>
      <c r="M44" s="14">
        <f t="shared" si="1"/>
        <v>0</v>
      </c>
      <c r="N44" s="18">
        <f t="shared" si="2"/>
        <v>0.71886915887850467</v>
      </c>
      <c r="O44" s="20"/>
    </row>
    <row r="45" spans="1:15">
      <c r="A45" s="7" t="s">
        <v>154</v>
      </c>
      <c r="B45" s="7" t="s">
        <v>156</v>
      </c>
      <c r="C45" s="7" t="s">
        <v>158</v>
      </c>
      <c r="D45" s="7" t="s">
        <v>181</v>
      </c>
      <c r="E45" s="7" t="s">
        <v>72</v>
      </c>
      <c r="F45" s="7" t="s">
        <v>74</v>
      </c>
      <c r="G45" s="7" t="s">
        <v>172</v>
      </c>
      <c r="H45" s="7" t="s">
        <v>183</v>
      </c>
      <c r="I45" s="13">
        <v>248735000</v>
      </c>
      <c r="J45" s="13">
        <v>218302760</v>
      </c>
      <c r="K45" s="13">
        <v>218302760</v>
      </c>
      <c r="L45" s="14">
        <f t="shared" si="0"/>
        <v>30432240</v>
      </c>
      <c r="M45" s="14">
        <f t="shared" si="1"/>
        <v>0</v>
      </c>
      <c r="N45" s="18">
        <f t="shared" si="2"/>
        <v>0.87765195891209524</v>
      </c>
      <c r="O45" s="20"/>
    </row>
    <row r="46" spans="1:15">
      <c r="A46" s="7" t="s">
        <v>154</v>
      </c>
      <c r="B46" s="7" t="s">
        <v>156</v>
      </c>
      <c r="C46" s="7" t="s">
        <v>158</v>
      </c>
      <c r="D46" s="7" t="s">
        <v>181</v>
      </c>
      <c r="E46" s="7" t="s">
        <v>72</v>
      </c>
      <c r="F46" s="7" t="s">
        <v>74</v>
      </c>
      <c r="G46" s="7" t="s">
        <v>172</v>
      </c>
      <c r="H46" s="7" t="s">
        <v>184</v>
      </c>
      <c r="I46" s="13">
        <v>3333000</v>
      </c>
      <c r="J46" s="13">
        <v>3028000</v>
      </c>
      <c r="K46" s="13">
        <v>3028000</v>
      </c>
      <c r="L46" s="14">
        <f t="shared" si="0"/>
        <v>305000</v>
      </c>
      <c r="M46" s="14">
        <f t="shared" si="1"/>
        <v>0</v>
      </c>
      <c r="N46" s="18">
        <f t="shared" si="2"/>
        <v>0.90849084908490851</v>
      </c>
      <c r="O46" s="20"/>
    </row>
    <row r="47" spans="1:15">
      <c r="A47" s="7" t="s">
        <v>154</v>
      </c>
      <c r="B47" s="7" t="s">
        <v>156</v>
      </c>
      <c r="C47" s="7" t="s">
        <v>158</v>
      </c>
      <c r="D47" s="7" t="s">
        <v>186</v>
      </c>
      <c r="E47" s="7" t="s">
        <v>72</v>
      </c>
      <c r="F47" s="7" t="s">
        <v>95</v>
      </c>
      <c r="G47" s="7" t="s">
        <v>188</v>
      </c>
      <c r="H47" s="7" t="s">
        <v>186</v>
      </c>
      <c r="I47" s="13">
        <v>10000</v>
      </c>
      <c r="J47" s="13">
        <v>10000</v>
      </c>
      <c r="K47" s="13">
        <v>10000</v>
      </c>
      <c r="L47" s="14">
        <f t="shared" si="0"/>
        <v>0</v>
      </c>
      <c r="M47" s="14">
        <f t="shared" si="1"/>
        <v>0</v>
      </c>
      <c r="N47" s="18">
        <f t="shared" si="2"/>
        <v>1</v>
      </c>
      <c r="O47" s="20"/>
    </row>
    <row r="48" spans="1:15">
      <c r="A48" s="7" t="s">
        <v>154</v>
      </c>
      <c r="B48" s="7" t="s">
        <v>156</v>
      </c>
      <c r="C48" s="7" t="s">
        <v>158</v>
      </c>
      <c r="D48" s="7" t="s">
        <v>190</v>
      </c>
      <c r="E48" s="7" t="s">
        <v>192</v>
      </c>
      <c r="F48" s="7" t="s">
        <v>192</v>
      </c>
      <c r="G48" s="7" t="s">
        <v>192</v>
      </c>
      <c r="H48" s="7" t="s">
        <v>190</v>
      </c>
      <c r="I48" s="13">
        <v>62650000</v>
      </c>
      <c r="J48" s="13">
        <v>62650000</v>
      </c>
      <c r="K48" s="13">
        <v>0</v>
      </c>
      <c r="L48" s="14">
        <f t="shared" si="0"/>
        <v>0</v>
      </c>
      <c r="M48" s="14">
        <f t="shared" si="1"/>
        <v>62650000</v>
      </c>
      <c r="N48" s="18">
        <f t="shared" si="2"/>
        <v>1</v>
      </c>
      <c r="O48" s="20"/>
    </row>
    <row r="49" spans="1:15">
      <c r="A49" s="7" t="s">
        <v>154</v>
      </c>
      <c r="B49" s="7" t="s">
        <v>196</v>
      </c>
      <c r="C49" s="7" t="s">
        <v>198</v>
      </c>
      <c r="D49" s="7" t="s">
        <v>200</v>
      </c>
      <c r="E49" s="7" t="s">
        <v>72</v>
      </c>
      <c r="F49" s="7" t="s">
        <v>74</v>
      </c>
      <c r="G49" s="7" t="s">
        <v>76</v>
      </c>
      <c r="H49" s="7" t="s">
        <v>201</v>
      </c>
      <c r="I49" s="13">
        <v>200000</v>
      </c>
      <c r="J49" s="13">
        <v>0</v>
      </c>
      <c r="K49" s="13">
        <v>0</v>
      </c>
      <c r="L49" s="14">
        <f t="shared" si="0"/>
        <v>200000</v>
      </c>
      <c r="M49" s="14">
        <f t="shared" si="1"/>
        <v>0</v>
      </c>
      <c r="N49" s="18">
        <f t="shared" si="2"/>
        <v>0</v>
      </c>
      <c r="O49" s="20"/>
    </row>
    <row r="50" spans="1:15">
      <c r="A50" s="7" t="s">
        <v>154</v>
      </c>
      <c r="B50" s="7" t="s">
        <v>196</v>
      </c>
      <c r="C50" s="7" t="s">
        <v>198</v>
      </c>
      <c r="D50" s="7" t="s">
        <v>202</v>
      </c>
      <c r="E50" s="7" t="s">
        <v>72</v>
      </c>
      <c r="F50" s="7" t="s">
        <v>95</v>
      </c>
      <c r="G50" s="7" t="s">
        <v>95</v>
      </c>
      <c r="H50" s="7" t="s">
        <v>203</v>
      </c>
      <c r="I50" s="13">
        <v>400000</v>
      </c>
      <c r="J50" s="13">
        <v>349470</v>
      </c>
      <c r="K50" s="13">
        <v>349470</v>
      </c>
      <c r="L50" s="14">
        <f t="shared" si="0"/>
        <v>50530</v>
      </c>
      <c r="M50" s="14">
        <f t="shared" si="1"/>
        <v>0</v>
      </c>
      <c r="N50" s="18">
        <f t="shared" si="2"/>
        <v>0.87367499999999998</v>
      </c>
      <c r="O50" s="20"/>
    </row>
    <row r="51" spans="1:15">
      <c r="A51" s="7" t="s">
        <v>154</v>
      </c>
      <c r="B51" s="7" t="s">
        <v>196</v>
      </c>
      <c r="C51" s="7" t="s">
        <v>198</v>
      </c>
      <c r="D51" s="7" t="s">
        <v>202</v>
      </c>
      <c r="E51" s="7" t="s">
        <v>72</v>
      </c>
      <c r="F51" s="7" t="s">
        <v>95</v>
      </c>
      <c r="G51" s="7" t="s">
        <v>95</v>
      </c>
      <c r="H51" s="7" t="s">
        <v>204</v>
      </c>
      <c r="I51" s="13">
        <v>2870000</v>
      </c>
      <c r="J51" s="13">
        <v>1982280</v>
      </c>
      <c r="K51" s="13">
        <v>1982280</v>
      </c>
      <c r="L51" s="14">
        <f t="shared" si="0"/>
        <v>887720</v>
      </c>
      <c r="M51" s="14">
        <f t="shared" si="1"/>
        <v>0</v>
      </c>
      <c r="N51" s="18">
        <f t="shared" si="2"/>
        <v>0.69068989547038329</v>
      </c>
      <c r="O51" s="20"/>
    </row>
    <row r="52" spans="1:15">
      <c r="A52" s="7" t="s">
        <v>154</v>
      </c>
      <c r="B52" s="7" t="s">
        <v>196</v>
      </c>
      <c r="C52" s="7" t="s">
        <v>198</v>
      </c>
      <c r="D52" s="7" t="s">
        <v>202</v>
      </c>
      <c r="E52" s="7" t="s">
        <v>72</v>
      </c>
      <c r="F52" s="7" t="s">
        <v>95</v>
      </c>
      <c r="G52" s="7" t="s">
        <v>188</v>
      </c>
      <c r="H52" s="7" t="s">
        <v>205</v>
      </c>
      <c r="I52" s="13">
        <v>4838000</v>
      </c>
      <c r="J52" s="13">
        <v>4125100</v>
      </c>
      <c r="K52" s="13">
        <v>4125100</v>
      </c>
      <c r="L52" s="14">
        <f t="shared" si="0"/>
        <v>712900</v>
      </c>
      <c r="M52" s="14">
        <f t="shared" si="1"/>
        <v>0</v>
      </c>
      <c r="N52" s="18">
        <f t="shared" si="2"/>
        <v>0.85264572137246797</v>
      </c>
      <c r="O52" s="20"/>
    </row>
    <row r="53" spans="1:15">
      <c r="A53" s="7" t="s">
        <v>154</v>
      </c>
      <c r="B53" s="7" t="s">
        <v>196</v>
      </c>
      <c r="C53" s="7" t="s">
        <v>198</v>
      </c>
      <c r="D53" s="7" t="s">
        <v>207</v>
      </c>
      <c r="E53" s="7" t="s">
        <v>72</v>
      </c>
      <c r="F53" s="7" t="s">
        <v>74</v>
      </c>
      <c r="G53" s="7" t="s">
        <v>76</v>
      </c>
      <c r="H53" s="7" t="s">
        <v>208</v>
      </c>
      <c r="I53" s="13">
        <v>1000000</v>
      </c>
      <c r="J53" s="13">
        <v>442270</v>
      </c>
      <c r="K53" s="13">
        <v>442270</v>
      </c>
      <c r="L53" s="14">
        <f t="shared" si="0"/>
        <v>557730</v>
      </c>
      <c r="M53" s="14">
        <f t="shared" si="1"/>
        <v>0</v>
      </c>
      <c r="N53" s="18">
        <f t="shared" si="2"/>
        <v>0.44227</v>
      </c>
      <c r="O53" s="20"/>
    </row>
    <row r="54" spans="1:15">
      <c r="A54" s="7" t="s">
        <v>154</v>
      </c>
      <c r="B54" s="7" t="s">
        <v>196</v>
      </c>
      <c r="C54" s="7" t="s">
        <v>198</v>
      </c>
      <c r="D54" s="7" t="s">
        <v>207</v>
      </c>
      <c r="E54" s="7" t="s">
        <v>72</v>
      </c>
      <c r="F54" s="7" t="s">
        <v>74</v>
      </c>
      <c r="G54" s="7" t="s">
        <v>76</v>
      </c>
      <c r="H54" s="7" t="s">
        <v>209</v>
      </c>
      <c r="I54" s="13">
        <v>600000</v>
      </c>
      <c r="J54" s="13">
        <v>299800</v>
      </c>
      <c r="K54" s="13">
        <v>299800</v>
      </c>
      <c r="L54" s="14">
        <f t="shared" si="0"/>
        <v>300200</v>
      </c>
      <c r="M54" s="14">
        <f t="shared" si="1"/>
        <v>0</v>
      </c>
      <c r="N54" s="18">
        <f t="shared" si="2"/>
        <v>0.49966666666666665</v>
      </c>
      <c r="O54" s="20"/>
    </row>
    <row r="55" spans="1:15">
      <c r="A55" s="7" t="s">
        <v>154</v>
      </c>
      <c r="B55" s="7" t="s">
        <v>196</v>
      </c>
      <c r="C55" s="7" t="s">
        <v>198</v>
      </c>
      <c r="D55" s="7" t="s">
        <v>207</v>
      </c>
      <c r="E55" s="7" t="s">
        <v>72</v>
      </c>
      <c r="F55" s="7" t="s">
        <v>74</v>
      </c>
      <c r="G55" s="7" t="s">
        <v>76</v>
      </c>
      <c r="H55" s="7" t="s">
        <v>210</v>
      </c>
      <c r="I55" s="13">
        <v>1450000</v>
      </c>
      <c r="J55" s="13">
        <v>1310400</v>
      </c>
      <c r="K55" s="13">
        <v>1310400</v>
      </c>
      <c r="L55" s="14">
        <f t="shared" si="0"/>
        <v>139600</v>
      </c>
      <c r="M55" s="14">
        <f t="shared" si="1"/>
        <v>0</v>
      </c>
      <c r="N55" s="18">
        <f t="shared" si="2"/>
        <v>0.90372413793103445</v>
      </c>
      <c r="O55" s="20"/>
    </row>
    <row r="56" spans="1:15">
      <c r="A56" s="7" t="s">
        <v>154</v>
      </c>
      <c r="B56" s="7" t="s">
        <v>196</v>
      </c>
      <c r="C56" s="7" t="s">
        <v>198</v>
      </c>
      <c r="D56" s="7" t="s">
        <v>207</v>
      </c>
      <c r="E56" s="7" t="s">
        <v>72</v>
      </c>
      <c r="F56" s="7" t="s">
        <v>74</v>
      </c>
      <c r="G56" s="7" t="s">
        <v>79</v>
      </c>
      <c r="H56" s="7" t="s">
        <v>211</v>
      </c>
      <c r="I56" s="13">
        <v>1000000</v>
      </c>
      <c r="J56" s="13">
        <v>0</v>
      </c>
      <c r="K56" s="13">
        <v>0</v>
      </c>
      <c r="L56" s="14">
        <f t="shared" si="0"/>
        <v>1000000</v>
      </c>
      <c r="M56" s="14">
        <f t="shared" si="1"/>
        <v>0</v>
      </c>
      <c r="N56" s="18">
        <f t="shared" si="2"/>
        <v>0</v>
      </c>
      <c r="O56" s="20"/>
    </row>
    <row r="57" spans="1:15">
      <c r="A57" s="7" t="s">
        <v>154</v>
      </c>
      <c r="B57" s="7" t="s">
        <v>196</v>
      </c>
      <c r="C57" s="7" t="s">
        <v>198</v>
      </c>
      <c r="D57" s="7" t="s">
        <v>207</v>
      </c>
      <c r="E57" s="7" t="s">
        <v>72</v>
      </c>
      <c r="F57" s="7" t="s">
        <v>74</v>
      </c>
      <c r="G57" s="7" t="s">
        <v>82</v>
      </c>
      <c r="H57" s="7" t="s">
        <v>212</v>
      </c>
      <c r="I57" s="13">
        <v>400000</v>
      </c>
      <c r="J57" s="13">
        <v>160000</v>
      </c>
      <c r="K57" s="13">
        <v>160000</v>
      </c>
      <c r="L57" s="14">
        <f t="shared" si="0"/>
        <v>240000</v>
      </c>
      <c r="M57" s="14">
        <f t="shared" si="1"/>
        <v>0</v>
      </c>
      <c r="N57" s="18">
        <f t="shared" si="2"/>
        <v>0.4</v>
      </c>
      <c r="O57" s="20"/>
    </row>
    <row r="58" spans="1:15">
      <c r="A58" s="7" t="s">
        <v>154</v>
      </c>
      <c r="B58" s="7" t="s">
        <v>196</v>
      </c>
      <c r="C58" s="7" t="s">
        <v>198</v>
      </c>
      <c r="D58" s="7" t="s">
        <v>207</v>
      </c>
      <c r="E58" s="7" t="s">
        <v>72</v>
      </c>
      <c r="F58" s="7" t="s">
        <v>95</v>
      </c>
      <c r="G58" s="7" t="s">
        <v>95</v>
      </c>
      <c r="H58" s="7" t="s">
        <v>213</v>
      </c>
      <c r="I58" s="13">
        <v>108000</v>
      </c>
      <c r="J58" s="13">
        <v>100000</v>
      </c>
      <c r="K58" s="13">
        <v>100000</v>
      </c>
      <c r="L58" s="14">
        <f t="shared" si="0"/>
        <v>8000</v>
      </c>
      <c r="M58" s="14">
        <f t="shared" si="1"/>
        <v>0</v>
      </c>
      <c r="N58" s="18">
        <f t="shared" si="2"/>
        <v>0.92592592592592593</v>
      </c>
      <c r="O58" s="20"/>
    </row>
    <row r="59" spans="1:15">
      <c r="A59" s="7" t="s">
        <v>154</v>
      </c>
      <c r="B59" s="7" t="s">
        <v>196</v>
      </c>
      <c r="C59" s="7" t="s">
        <v>198</v>
      </c>
      <c r="D59" s="7" t="s">
        <v>207</v>
      </c>
      <c r="E59" s="7" t="s">
        <v>72</v>
      </c>
      <c r="F59" s="7" t="s">
        <v>95</v>
      </c>
      <c r="G59" s="7" t="s">
        <v>188</v>
      </c>
      <c r="H59" s="7" t="s">
        <v>214</v>
      </c>
      <c r="I59" s="13">
        <v>3500000</v>
      </c>
      <c r="J59" s="13">
        <v>3284260</v>
      </c>
      <c r="K59" s="13">
        <v>3284260</v>
      </c>
      <c r="L59" s="14">
        <f t="shared" si="0"/>
        <v>215740</v>
      </c>
      <c r="M59" s="14">
        <f t="shared" si="1"/>
        <v>0</v>
      </c>
      <c r="N59" s="18">
        <f t="shared" si="2"/>
        <v>0.93835999999999997</v>
      </c>
      <c r="O59" s="20"/>
    </row>
    <row r="60" spans="1:15">
      <c r="A60" s="7" t="s">
        <v>154</v>
      </c>
      <c r="B60" s="7" t="s">
        <v>196</v>
      </c>
      <c r="C60" s="7" t="s">
        <v>198</v>
      </c>
      <c r="D60" s="7" t="s">
        <v>216</v>
      </c>
      <c r="E60" s="7" t="s">
        <v>72</v>
      </c>
      <c r="F60" s="7" t="s">
        <v>74</v>
      </c>
      <c r="G60" s="7" t="s">
        <v>76</v>
      </c>
      <c r="H60" s="7" t="s">
        <v>217</v>
      </c>
      <c r="I60" s="13">
        <v>2000000</v>
      </c>
      <c r="J60" s="13">
        <v>1045720</v>
      </c>
      <c r="K60" s="13">
        <v>1045720</v>
      </c>
      <c r="L60" s="14">
        <f t="shared" si="0"/>
        <v>954280</v>
      </c>
      <c r="M60" s="14">
        <f t="shared" si="1"/>
        <v>0</v>
      </c>
      <c r="N60" s="18">
        <f t="shared" si="2"/>
        <v>0.52285999999999999</v>
      </c>
      <c r="O60" s="20"/>
    </row>
    <row r="61" spans="1:15">
      <c r="A61" s="7" t="s">
        <v>154</v>
      </c>
      <c r="B61" s="7" t="s">
        <v>196</v>
      </c>
      <c r="C61" s="7" t="s">
        <v>198</v>
      </c>
      <c r="D61" s="7" t="s">
        <v>218</v>
      </c>
      <c r="E61" s="7" t="s">
        <v>72</v>
      </c>
      <c r="F61" s="7" t="s">
        <v>95</v>
      </c>
      <c r="G61" s="7" t="s">
        <v>95</v>
      </c>
      <c r="H61" s="7" t="s">
        <v>219</v>
      </c>
      <c r="I61" s="13">
        <v>360000</v>
      </c>
      <c r="J61" s="13">
        <v>360000</v>
      </c>
      <c r="K61" s="13">
        <v>360000</v>
      </c>
      <c r="L61" s="14">
        <f t="shared" si="0"/>
        <v>0</v>
      </c>
      <c r="M61" s="14">
        <f t="shared" si="1"/>
        <v>0</v>
      </c>
      <c r="N61" s="18">
        <f t="shared" si="2"/>
        <v>1</v>
      </c>
      <c r="O61" s="20"/>
    </row>
    <row r="62" spans="1:15">
      <c r="A62" s="7" t="s">
        <v>154</v>
      </c>
      <c r="B62" s="7" t="s">
        <v>196</v>
      </c>
      <c r="C62" s="7" t="s">
        <v>198</v>
      </c>
      <c r="D62" s="7" t="s">
        <v>220</v>
      </c>
      <c r="E62" s="7" t="s">
        <v>72</v>
      </c>
      <c r="F62" s="7" t="s">
        <v>95</v>
      </c>
      <c r="G62" s="7" t="s">
        <v>95</v>
      </c>
      <c r="H62" s="7" t="s">
        <v>221</v>
      </c>
      <c r="I62" s="13">
        <v>800000</v>
      </c>
      <c r="J62" s="13">
        <v>800000</v>
      </c>
      <c r="K62" s="13">
        <v>800000</v>
      </c>
      <c r="L62" s="14">
        <f t="shared" si="0"/>
        <v>0</v>
      </c>
      <c r="M62" s="14">
        <f t="shared" si="1"/>
        <v>0</v>
      </c>
      <c r="N62" s="18">
        <f t="shared" si="2"/>
        <v>1</v>
      </c>
      <c r="O62" s="20"/>
    </row>
    <row r="63" spans="1:15">
      <c r="A63" s="7" t="s">
        <v>154</v>
      </c>
      <c r="B63" s="7" t="s">
        <v>196</v>
      </c>
      <c r="C63" s="7" t="s">
        <v>223</v>
      </c>
      <c r="D63" s="7" t="s">
        <v>224</v>
      </c>
      <c r="E63" s="7" t="s">
        <v>72</v>
      </c>
      <c r="F63" s="7" t="s">
        <v>74</v>
      </c>
      <c r="G63" s="7" t="s">
        <v>76</v>
      </c>
      <c r="H63" s="7" t="s">
        <v>225</v>
      </c>
      <c r="I63" s="13">
        <v>200000</v>
      </c>
      <c r="J63" s="13">
        <v>0</v>
      </c>
      <c r="K63" s="13">
        <v>0</v>
      </c>
      <c r="L63" s="14">
        <f t="shared" si="0"/>
        <v>200000</v>
      </c>
      <c r="M63" s="14">
        <f t="shared" si="1"/>
        <v>0</v>
      </c>
      <c r="N63" s="18">
        <f t="shared" si="2"/>
        <v>0</v>
      </c>
      <c r="O63" s="20"/>
    </row>
    <row r="64" spans="1:15">
      <c r="A64" s="7" t="s">
        <v>154</v>
      </c>
      <c r="B64" s="7" t="s">
        <v>196</v>
      </c>
      <c r="C64" s="7" t="s">
        <v>223</v>
      </c>
      <c r="D64" s="7" t="s">
        <v>224</v>
      </c>
      <c r="E64" s="7" t="s">
        <v>72</v>
      </c>
      <c r="F64" s="7" t="s">
        <v>74</v>
      </c>
      <c r="G64" s="7" t="s">
        <v>76</v>
      </c>
      <c r="H64" s="7" t="s">
        <v>226</v>
      </c>
      <c r="I64" s="13">
        <v>840000</v>
      </c>
      <c r="J64" s="13">
        <v>0</v>
      </c>
      <c r="K64" s="13">
        <v>0</v>
      </c>
      <c r="L64" s="14">
        <f t="shared" si="0"/>
        <v>840000</v>
      </c>
      <c r="M64" s="14">
        <f t="shared" si="1"/>
        <v>0</v>
      </c>
      <c r="N64" s="18">
        <f t="shared" si="2"/>
        <v>0</v>
      </c>
      <c r="O64" s="20"/>
    </row>
    <row r="65" spans="1:15">
      <c r="A65" s="7" t="s">
        <v>154</v>
      </c>
      <c r="B65" s="7" t="s">
        <v>196</v>
      </c>
      <c r="C65" s="7" t="s">
        <v>223</v>
      </c>
      <c r="D65" s="7" t="s">
        <v>227</v>
      </c>
      <c r="E65" s="7" t="s">
        <v>72</v>
      </c>
      <c r="F65" s="7" t="s">
        <v>74</v>
      </c>
      <c r="G65" s="7" t="s">
        <v>76</v>
      </c>
      <c r="H65" s="7" t="s">
        <v>228</v>
      </c>
      <c r="I65" s="13">
        <v>1500000</v>
      </c>
      <c r="J65" s="13">
        <v>0</v>
      </c>
      <c r="K65" s="13">
        <v>0</v>
      </c>
      <c r="L65" s="14">
        <f t="shared" si="0"/>
        <v>1500000</v>
      </c>
      <c r="M65" s="14">
        <f t="shared" si="1"/>
        <v>0</v>
      </c>
      <c r="N65" s="18">
        <f t="shared" si="2"/>
        <v>0</v>
      </c>
      <c r="O65" s="20"/>
    </row>
    <row r="66" spans="1:15">
      <c r="A66" s="7" t="s">
        <v>154</v>
      </c>
      <c r="B66" s="7" t="s">
        <v>230</v>
      </c>
      <c r="C66" s="7" t="s">
        <v>232</v>
      </c>
      <c r="D66" s="7" t="s">
        <v>233</v>
      </c>
      <c r="E66" s="7" t="s">
        <v>131</v>
      </c>
      <c r="F66" s="7" t="s">
        <v>149</v>
      </c>
      <c r="G66" s="7" t="s">
        <v>149</v>
      </c>
      <c r="H66" s="7" t="s">
        <v>236</v>
      </c>
      <c r="I66" s="13">
        <v>1850000</v>
      </c>
      <c r="J66" s="13">
        <v>750000</v>
      </c>
      <c r="K66" s="13">
        <v>750000</v>
      </c>
      <c r="L66" s="14">
        <f t="shared" si="0"/>
        <v>1100000</v>
      </c>
      <c r="M66" s="14">
        <f t="shared" si="1"/>
        <v>0</v>
      </c>
      <c r="N66" s="18">
        <f t="shared" si="2"/>
        <v>0.40540540540540543</v>
      </c>
      <c r="O66" s="20"/>
    </row>
    <row r="67" spans="1:15">
      <c r="A67" s="7" t="s">
        <v>154</v>
      </c>
      <c r="B67" s="7" t="s">
        <v>230</v>
      </c>
      <c r="C67" s="7" t="s">
        <v>232</v>
      </c>
      <c r="D67" s="7" t="s">
        <v>233</v>
      </c>
      <c r="E67" s="7" t="s">
        <v>72</v>
      </c>
      <c r="F67" s="7" t="s">
        <v>74</v>
      </c>
      <c r="G67" s="7" t="s">
        <v>79</v>
      </c>
      <c r="H67" s="7" t="s">
        <v>237</v>
      </c>
      <c r="I67" s="13">
        <v>12000000</v>
      </c>
      <c r="J67" s="13">
        <v>5895000</v>
      </c>
      <c r="K67" s="13">
        <v>5895000</v>
      </c>
      <c r="L67" s="14">
        <f t="shared" si="0"/>
        <v>6105000</v>
      </c>
      <c r="M67" s="14">
        <f t="shared" si="1"/>
        <v>0</v>
      </c>
      <c r="N67" s="18">
        <f t="shared" si="2"/>
        <v>0.49125000000000002</v>
      </c>
      <c r="O67" s="20"/>
    </row>
    <row r="68" spans="1:15">
      <c r="A68" s="7" t="s">
        <v>154</v>
      </c>
      <c r="B68" s="7" t="s">
        <v>230</v>
      </c>
      <c r="C68" s="7" t="s">
        <v>232</v>
      </c>
      <c r="D68" s="7" t="s">
        <v>233</v>
      </c>
      <c r="E68" s="7" t="s">
        <v>72</v>
      </c>
      <c r="F68" s="7" t="s">
        <v>95</v>
      </c>
      <c r="G68" s="7" t="s">
        <v>95</v>
      </c>
      <c r="H68" s="7" t="s">
        <v>238</v>
      </c>
      <c r="I68" s="13">
        <v>576000</v>
      </c>
      <c r="J68" s="13">
        <v>352640</v>
      </c>
      <c r="K68" s="13">
        <v>352640</v>
      </c>
      <c r="L68" s="14">
        <f t="shared" ref="L68:L131" si="3">I68-J68</f>
        <v>223360</v>
      </c>
      <c r="M68" s="14">
        <f t="shared" ref="M68:M131" si="4">J68-K68</f>
        <v>0</v>
      </c>
      <c r="N68" s="18">
        <f t="shared" ref="N68:N131" si="5">IFERROR(J68/I68,0)</f>
        <v>0.61222222222222222</v>
      </c>
      <c r="O68" s="20"/>
    </row>
    <row r="69" spans="1:15">
      <c r="A69" s="7" t="s">
        <v>154</v>
      </c>
      <c r="B69" s="7" t="s">
        <v>230</v>
      </c>
      <c r="C69" s="7" t="s">
        <v>232</v>
      </c>
      <c r="D69" s="7" t="s">
        <v>233</v>
      </c>
      <c r="E69" s="7" t="s">
        <v>72</v>
      </c>
      <c r="F69" s="7" t="s">
        <v>124</v>
      </c>
      <c r="G69" s="7" t="s">
        <v>138</v>
      </c>
      <c r="H69" s="7" t="s">
        <v>239</v>
      </c>
      <c r="I69" s="13">
        <v>324000</v>
      </c>
      <c r="J69" s="13">
        <v>150840</v>
      </c>
      <c r="K69" s="13">
        <v>150840</v>
      </c>
      <c r="L69" s="14">
        <f t="shared" si="3"/>
        <v>173160</v>
      </c>
      <c r="M69" s="14">
        <f t="shared" si="4"/>
        <v>0</v>
      </c>
      <c r="N69" s="18">
        <f t="shared" si="5"/>
        <v>0.46555555555555556</v>
      </c>
      <c r="O69" s="20"/>
    </row>
    <row r="70" spans="1:15">
      <c r="A70" s="7" t="s">
        <v>154</v>
      </c>
      <c r="B70" s="7" t="s">
        <v>230</v>
      </c>
      <c r="C70" s="7" t="s">
        <v>232</v>
      </c>
      <c r="D70" s="7" t="s">
        <v>233</v>
      </c>
      <c r="E70" s="7" t="s">
        <v>87</v>
      </c>
      <c r="F70" s="7" t="s">
        <v>89</v>
      </c>
      <c r="G70" s="7" t="s">
        <v>106</v>
      </c>
      <c r="H70" s="7" t="s">
        <v>240</v>
      </c>
      <c r="I70" s="13">
        <v>250000</v>
      </c>
      <c r="J70" s="13">
        <v>97400</v>
      </c>
      <c r="K70" s="13">
        <v>97400</v>
      </c>
      <c r="L70" s="14">
        <f t="shared" si="3"/>
        <v>152600</v>
      </c>
      <c r="M70" s="14">
        <f t="shared" si="4"/>
        <v>0</v>
      </c>
      <c r="N70" s="18">
        <f t="shared" si="5"/>
        <v>0.3896</v>
      </c>
      <c r="O70" s="20"/>
    </row>
    <row r="71" spans="1:15">
      <c r="A71" s="7" t="s">
        <v>154</v>
      </c>
      <c r="B71" s="7" t="s">
        <v>230</v>
      </c>
      <c r="C71" s="7" t="s">
        <v>232</v>
      </c>
      <c r="D71" s="7" t="s">
        <v>241</v>
      </c>
      <c r="E71" s="7" t="s">
        <v>72</v>
      </c>
      <c r="F71" s="7" t="s">
        <v>74</v>
      </c>
      <c r="G71" s="7" t="s">
        <v>76</v>
      </c>
      <c r="H71" s="7" t="s">
        <v>242</v>
      </c>
      <c r="I71" s="13">
        <v>13375000</v>
      </c>
      <c r="J71" s="13">
        <v>5819910</v>
      </c>
      <c r="K71" s="13">
        <v>5819910</v>
      </c>
      <c r="L71" s="14">
        <f t="shared" si="3"/>
        <v>7555090</v>
      </c>
      <c r="M71" s="14">
        <f t="shared" si="4"/>
        <v>0</v>
      </c>
      <c r="N71" s="18">
        <f t="shared" si="5"/>
        <v>0.43513345794392522</v>
      </c>
      <c r="O71" s="20"/>
    </row>
    <row r="72" spans="1:15">
      <c r="A72" s="7" t="s">
        <v>154</v>
      </c>
      <c r="B72" s="7" t="s">
        <v>230</v>
      </c>
      <c r="C72" s="7" t="s">
        <v>232</v>
      </c>
      <c r="D72" s="7" t="s">
        <v>243</v>
      </c>
      <c r="E72" s="7" t="s">
        <v>72</v>
      </c>
      <c r="F72" s="7" t="s">
        <v>74</v>
      </c>
      <c r="G72" s="7" t="s">
        <v>79</v>
      </c>
      <c r="H72" s="7" t="s">
        <v>244</v>
      </c>
      <c r="I72" s="13">
        <v>8000000</v>
      </c>
      <c r="J72" s="13">
        <v>1650000</v>
      </c>
      <c r="K72" s="13">
        <v>1650000</v>
      </c>
      <c r="L72" s="14">
        <f t="shared" si="3"/>
        <v>6350000</v>
      </c>
      <c r="M72" s="14">
        <f t="shared" si="4"/>
        <v>0</v>
      </c>
      <c r="N72" s="18">
        <f t="shared" si="5"/>
        <v>0.20624999999999999</v>
      </c>
      <c r="O72" s="20"/>
    </row>
    <row r="73" spans="1:15">
      <c r="A73" s="7" t="s">
        <v>154</v>
      </c>
      <c r="B73" s="7" t="s">
        <v>246</v>
      </c>
      <c r="C73" s="7" t="s">
        <v>248</v>
      </c>
      <c r="D73" s="7" t="s">
        <v>249</v>
      </c>
      <c r="E73" s="7" t="s">
        <v>72</v>
      </c>
      <c r="F73" s="7" t="s">
        <v>95</v>
      </c>
      <c r="G73" s="7" t="s">
        <v>95</v>
      </c>
      <c r="H73" s="7" t="s">
        <v>250</v>
      </c>
      <c r="I73" s="13">
        <v>2000000</v>
      </c>
      <c r="J73" s="13">
        <v>990340</v>
      </c>
      <c r="K73" s="13">
        <v>990340</v>
      </c>
      <c r="L73" s="14">
        <f t="shared" si="3"/>
        <v>1009660</v>
      </c>
      <c r="M73" s="14">
        <f t="shared" si="4"/>
        <v>0</v>
      </c>
      <c r="N73" s="18">
        <f t="shared" si="5"/>
        <v>0.49517</v>
      </c>
      <c r="O73" s="20"/>
    </row>
    <row r="74" spans="1:15">
      <c r="A74" s="7" t="s">
        <v>154</v>
      </c>
      <c r="B74" s="7" t="s">
        <v>246</v>
      </c>
      <c r="C74" s="7" t="s">
        <v>248</v>
      </c>
      <c r="D74" s="7" t="s">
        <v>249</v>
      </c>
      <c r="E74" s="7" t="s">
        <v>87</v>
      </c>
      <c r="F74" s="7" t="s">
        <v>89</v>
      </c>
      <c r="G74" s="7" t="s">
        <v>89</v>
      </c>
      <c r="H74" s="7" t="s">
        <v>251</v>
      </c>
      <c r="I74" s="13">
        <v>0</v>
      </c>
      <c r="J74" s="13">
        <v>0</v>
      </c>
      <c r="K74" s="13">
        <v>0</v>
      </c>
      <c r="L74" s="14">
        <f t="shared" si="3"/>
        <v>0</v>
      </c>
      <c r="M74" s="14">
        <f t="shared" si="4"/>
        <v>0</v>
      </c>
      <c r="N74" s="18">
        <f t="shared" si="5"/>
        <v>0</v>
      </c>
      <c r="O74" s="20"/>
    </row>
    <row r="75" spans="1:15">
      <c r="A75" s="7" t="s">
        <v>154</v>
      </c>
      <c r="B75" s="7" t="s">
        <v>246</v>
      </c>
      <c r="C75" s="7" t="s">
        <v>248</v>
      </c>
      <c r="D75" s="7" t="s">
        <v>252</v>
      </c>
      <c r="E75" s="7" t="s">
        <v>72</v>
      </c>
      <c r="F75" s="7" t="s">
        <v>74</v>
      </c>
      <c r="G75" s="7" t="s">
        <v>79</v>
      </c>
      <c r="H75" s="7" t="s">
        <v>253</v>
      </c>
      <c r="I75" s="13">
        <v>1000000</v>
      </c>
      <c r="J75" s="13">
        <v>0</v>
      </c>
      <c r="K75" s="13">
        <v>0</v>
      </c>
      <c r="L75" s="14">
        <f t="shared" si="3"/>
        <v>1000000</v>
      </c>
      <c r="M75" s="14">
        <f t="shared" si="4"/>
        <v>0</v>
      </c>
      <c r="N75" s="18">
        <f t="shared" si="5"/>
        <v>0</v>
      </c>
      <c r="O75" s="20"/>
    </row>
    <row r="76" spans="1:15">
      <c r="A76" s="7" t="s">
        <v>154</v>
      </c>
      <c r="B76" s="7" t="s">
        <v>246</v>
      </c>
      <c r="C76" s="7" t="s">
        <v>248</v>
      </c>
      <c r="D76" s="7" t="s">
        <v>252</v>
      </c>
      <c r="E76" s="7" t="s">
        <v>72</v>
      </c>
      <c r="F76" s="7" t="s">
        <v>95</v>
      </c>
      <c r="G76" s="7" t="s">
        <v>95</v>
      </c>
      <c r="H76" s="7" t="s">
        <v>254</v>
      </c>
      <c r="I76" s="13">
        <v>1350000</v>
      </c>
      <c r="J76" s="13">
        <v>200000</v>
      </c>
      <c r="K76" s="13">
        <v>200000</v>
      </c>
      <c r="L76" s="14">
        <f t="shared" si="3"/>
        <v>1150000</v>
      </c>
      <c r="M76" s="14">
        <f t="shared" si="4"/>
        <v>0</v>
      </c>
      <c r="N76" s="18">
        <f t="shared" si="5"/>
        <v>0.14814814814814814</v>
      </c>
      <c r="O76" s="20"/>
    </row>
    <row r="77" spans="1:15">
      <c r="A77" s="7" t="s">
        <v>154</v>
      </c>
      <c r="B77" s="7" t="s">
        <v>246</v>
      </c>
      <c r="C77" s="7" t="s">
        <v>248</v>
      </c>
      <c r="D77" s="7" t="s">
        <v>252</v>
      </c>
      <c r="E77" s="7" t="s">
        <v>72</v>
      </c>
      <c r="F77" s="7" t="s">
        <v>95</v>
      </c>
      <c r="G77" s="7" t="s">
        <v>188</v>
      </c>
      <c r="H77" s="7" t="s">
        <v>255</v>
      </c>
      <c r="I77" s="13">
        <v>500000</v>
      </c>
      <c r="J77" s="13">
        <v>0</v>
      </c>
      <c r="K77" s="13">
        <v>0</v>
      </c>
      <c r="L77" s="14">
        <f t="shared" si="3"/>
        <v>500000</v>
      </c>
      <c r="M77" s="14">
        <f t="shared" si="4"/>
        <v>0</v>
      </c>
      <c r="N77" s="18">
        <f t="shared" si="5"/>
        <v>0</v>
      </c>
      <c r="O77" s="20"/>
    </row>
    <row r="78" spans="1:15">
      <c r="A78" s="7" t="s">
        <v>154</v>
      </c>
      <c r="B78" s="7" t="s">
        <v>246</v>
      </c>
      <c r="C78" s="7" t="s">
        <v>248</v>
      </c>
      <c r="D78" s="7" t="s">
        <v>252</v>
      </c>
      <c r="E78" s="7" t="s">
        <v>87</v>
      </c>
      <c r="F78" s="7" t="s">
        <v>89</v>
      </c>
      <c r="G78" s="7" t="s">
        <v>89</v>
      </c>
      <c r="H78" s="7" t="s">
        <v>256</v>
      </c>
      <c r="I78" s="13">
        <v>150000</v>
      </c>
      <c r="J78" s="13">
        <v>0</v>
      </c>
      <c r="K78" s="13">
        <v>0</v>
      </c>
      <c r="L78" s="14">
        <f t="shared" si="3"/>
        <v>150000</v>
      </c>
      <c r="M78" s="14">
        <f t="shared" si="4"/>
        <v>0</v>
      </c>
      <c r="N78" s="18">
        <f t="shared" si="5"/>
        <v>0</v>
      </c>
      <c r="O78" s="20"/>
    </row>
    <row r="79" spans="1:15">
      <c r="A79" s="7" t="s">
        <v>154</v>
      </c>
      <c r="B79" s="7" t="s">
        <v>246</v>
      </c>
      <c r="C79" s="7" t="s">
        <v>248</v>
      </c>
      <c r="D79" s="7" t="s">
        <v>257</v>
      </c>
      <c r="E79" s="7" t="s">
        <v>72</v>
      </c>
      <c r="F79" s="7" t="s">
        <v>95</v>
      </c>
      <c r="G79" s="7" t="s">
        <v>95</v>
      </c>
      <c r="H79" s="7" t="s">
        <v>258</v>
      </c>
      <c r="I79" s="13">
        <v>1320000</v>
      </c>
      <c r="J79" s="13">
        <v>1320000</v>
      </c>
      <c r="K79" s="13">
        <v>1320000</v>
      </c>
      <c r="L79" s="14">
        <f t="shared" si="3"/>
        <v>0</v>
      </c>
      <c r="M79" s="14">
        <f t="shared" si="4"/>
        <v>0</v>
      </c>
      <c r="N79" s="18">
        <f t="shared" si="5"/>
        <v>1</v>
      </c>
      <c r="O79" s="20"/>
    </row>
    <row r="80" spans="1:15">
      <c r="A80" s="7" t="s">
        <v>154</v>
      </c>
      <c r="B80" s="7" t="s">
        <v>246</v>
      </c>
      <c r="C80" s="7" t="s">
        <v>260</v>
      </c>
      <c r="D80" s="7" t="s">
        <v>261</v>
      </c>
      <c r="E80" s="7" t="s">
        <v>72</v>
      </c>
      <c r="F80" s="7" t="s">
        <v>95</v>
      </c>
      <c r="G80" s="7" t="s">
        <v>188</v>
      </c>
      <c r="H80" s="7" t="s">
        <v>262</v>
      </c>
      <c r="I80" s="13">
        <v>140000</v>
      </c>
      <c r="J80" s="13">
        <v>128000</v>
      </c>
      <c r="K80" s="13">
        <v>0</v>
      </c>
      <c r="L80" s="14">
        <f t="shared" si="3"/>
        <v>12000</v>
      </c>
      <c r="M80" s="14">
        <f t="shared" si="4"/>
        <v>128000</v>
      </c>
      <c r="N80" s="18">
        <f t="shared" si="5"/>
        <v>0.91428571428571426</v>
      </c>
      <c r="O80" s="20"/>
    </row>
    <row r="81" spans="1:15">
      <c r="A81" s="7" t="s">
        <v>154</v>
      </c>
      <c r="B81" s="7" t="s">
        <v>246</v>
      </c>
      <c r="C81" s="7" t="s">
        <v>260</v>
      </c>
      <c r="D81" s="7" t="s">
        <v>261</v>
      </c>
      <c r="E81" s="7" t="s">
        <v>72</v>
      </c>
      <c r="F81" s="7" t="s">
        <v>95</v>
      </c>
      <c r="G81" s="7" t="s">
        <v>188</v>
      </c>
      <c r="H81" s="7" t="s">
        <v>263</v>
      </c>
      <c r="I81" s="13">
        <v>6370000</v>
      </c>
      <c r="J81" s="13">
        <v>5504000</v>
      </c>
      <c r="K81" s="13">
        <v>0</v>
      </c>
      <c r="L81" s="14">
        <f t="shared" si="3"/>
        <v>866000</v>
      </c>
      <c r="M81" s="14">
        <f t="shared" si="4"/>
        <v>5504000</v>
      </c>
      <c r="N81" s="18">
        <f t="shared" si="5"/>
        <v>0.86405023547880688</v>
      </c>
      <c r="O81" s="20"/>
    </row>
    <row r="82" spans="1:15">
      <c r="A82" s="7" t="s">
        <v>265</v>
      </c>
      <c r="B82" s="7" t="s">
        <v>267</v>
      </c>
      <c r="C82" s="7" t="s">
        <v>269</v>
      </c>
      <c r="D82" s="7" t="s">
        <v>270</v>
      </c>
      <c r="E82" s="7" t="s">
        <v>72</v>
      </c>
      <c r="F82" s="7" t="s">
        <v>74</v>
      </c>
      <c r="G82" s="7" t="s">
        <v>79</v>
      </c>
      <c r="H82" s="7" t="s">
        <v>271</v>
      </c>
      <c r="I82" s="13">
        <v>14079000</v>
      </c>
      <c r="J82" s="13">
        <v>6737520</v>
      </c>
      <c r="K82" s="13">
        <v>6737520</v>
      </c>
      <c r="L82" s="14">
        <f t="shared" si="3"/>
        <v>7341480</v>
      </c>
      <c r="M82" s="14">
        <f t="shared" si="4"/>
        <v>0</v>
      </c>
      <c r="N82" s="18">
        <f t="shared" si="5"/>
        <v>0.47855103345408057</v>
      </c>
      <c r="O82" s="20"/>
    </row>
    <row r="83" spans="1:15">
      <c r="A83" s="7" t="s">
        <v>265</v>
      </c>
      <c r="B83" s="7" t="s">
        <v>267</v>
      </c>
      <c r="C83" s="7" t="s">
        <v>269</v>
      </c>
      <c r="D83" s="7" t="s">
        <v>270</v>
      </c>
      <c r="E83" s="7" t="s">
        <v>72</v>
      </c>
      <c r="F83" s="7" t="s">
        <v>95</v>
      </c>
      <c r="G83" s="7" t="s">
        <v>273</v>
      </c>
      <c r="H83" s="7" t="s">
        <v>274</v>
      </c>
      <c r="I83" s="13">
        <v>3000000</v>
      </c>
      <c r="J83" s="13">
        <v>1072410</v>
      </c>
      <c r="K83" s="13">
        <v>1072410</v>
      </c>
      <c r="L83" s="14">
        <f t="shared" si="3"/>
        <v>1927590</v>
      </c>
      <c r="M83" s="14">
        <f t="shared" si="4"/>
        <v>0</v>
      </c>
      <c r="N83" s="18">
        <f t="shared" si="5"/>
        <v>0.35747000000000001</v>
      </c>
      <c r="O83" s="20"/>
    </row>
    <row r="84" spans="1:15">
      <c r="A84" s="7" t="s">
        <v>265</v>
      </c>
      <c r="B84" s="7" t="s">
        <v>267</v>
      </c>
      <c r="C84" s="7" t="s">
        <v>269</v>
      </c>
      <c r="D84" s="7" t="s">
        <v>270</v>
      </c>
      <c r="E84" s="7" t="s">
        <v>72</v>
      </c>
      <c r="F84" s="7" t="s">
        <v>95</v>
      </c>
      <c r="G84" s="7" t="s">
        <v>273</v>
      </c>
      <c r="H84" s="7" t="s">
        <v>275</v>
      </c>
      <c r="I84" s="13">
        <v>18000000</v>
      </c>
      <c r="J84" s="13">
        <v>9368640</v>
      </c>
      <c r="K84" s="13">
        <v>9368640</v>
      </c>
      <c r="L84" s="14">
        <f t="shared" si="3"/>
        <v>8631360</v>
      </c>
      <c r="M84" s="14">
        <f t="shared" si="4"/>
        <v>0</v>
      </c>
      <c r="N84" s="18">
        <f t="shared" si="5"/>
        <v>0.52048000000000005</v>
      </c>
      <c r="O84" s="20"/>
    </row>
    <row r="85" spans="1:15">
      <c r="A85" s="7" t="s">
        <v>265</v>
      </c>
      <c r="B85" s="7" t="s">
        <v>267</v>
      </c>
      <c r="C85" s="7" t="s">
        <v>269</v>
      </c>
      <c r="D85" s="7" t="s">
        <v>270</v>
      </c>
      <c r="E85" s="7" t="s">
        <v>72</v>
      </c>
      <c r="F85" s="7" t="s">
        <v>95</v>
      </c>
      <c r="G85" s="7" t="s">
        <v>273</v>
      </c>
      <c r="H85" s="7" t="s">
        <v>276</v>
      </c>
      <c r="I85" s="13">
        <v>3000000</v>
      </c>
      <c r="J85" s="13">
        <v>2780880</v>
      </c>
      <c r="K85" s="13">
        <v>2780880</v>
      </c>
      <c r="L85" s="14">
        <f t="shared" si="3"/>
        <v>219120</v>
      </c>
      <c r="M85" s="14">
        <f t="shared" si="4"/>
        <v>0</v>
      </c>
      <c r="N85" s="18">
        <f t="shared" si="5"/>
        <v>0.92696000000000001</v>
      </c>
      <c r="O85" s="20"/>
    </row>
    <row r="86" spans="1:15">
      <c r="A86" s="7" t="s">
        <v>265</v>
      </c>
      <c r="B86" s="7" t="s">
        <v>267</v>
      </c>
      <c r="C86" s="7" t="s">
        <v>269</v>
      </c>
      <c r="D86" s="7" t="s">
        <v>277</v>
      </c>
      <c r="E86" s="7" t="s">
        <v>72</v>
      </c>
      <c r="F86" s="7" t="s">
        <v>74</v>
      </c>
      <c r="G86" s="7" t="s">
        <v>79</v>
      </c>
      <c r="H86" s="7" t="s">
        <v>278</v>
      </c>
      <c r="I86" s="13">
        <v>2625000</v>
      </c>
      <c r="J86" s="13">
        <v>0</v>
      </c>
      <c r="K86" s="13">
        <v>0</v>
      </c>
      <c r="L86" s="14">
        <f t="shared" si="3"/>
        <v>2625000</v>
      </c>
      <c r="M86" s="14">
        <f t="shared" si="4"/>
        <v>0</v>
      </c>
      <c r="N86" s="18">
        <f t="shared" si="5"/>
        <v>0</v>
      </c>
      <c r="O86" s="20"/>
    </row>
    <row r="87" spans="1:15">
      <c r="A87" s="7" t="s">
        <v>265</v>
      </c>
      <c r="B87" s="7" t="s">
        <v>267</v>
      </c>
      <c r="C87" s="7" t="s">
        <v>269</v>
      </c>
      <c r="D87" s="7" t="s">
        <v>277</v>
      </c>
      <c r="E87" s="7" t="s">
        <v>72</v>
      </c>
      <c r="F87" s="7" t="s">
        <v>74</v>
      </c>
      <c r="G87" s="7" t="s">
        <v>79</v>
      </c>
      <c r="H87" s="7" t="s">
        <v>279</v>
      </c>
      <c r="I87" s="13">
        <v>2100000</v>
      </c>
      <c r="J87" s="13">
        <v>1575000</v>
      </c>
      <c r="K87" s="13">
        <v>1575000</v>
      </c>
      <c r="L87" s="14">
        <f t="shared" si="3"/>
        <v>525000</v>
      </c>
      <c r="M87" s="14">
        <f t="shared" si="4"/>
        <v>0</v>
      </c>
      <c r="N87" s="18">
        <f t="shared" si="5"/>
        <v>0.75</v>
      </c>
      <c r="O87" s="20"/>
    </row>
    <row r="88" spans="1:15">
      <c r="A88" s="7" t="s">
        <v>265</v>
      </c>
      <c r="B88" s="7" t="s">
        <v>267</v>
      </c>
      <c r="C88" s="7" t="s">
        <v>269</v>
      </c>
      <c r="D88" s="7" t="s">
        <v>277</v>
      </c>
      <c r="E88" s="7" t="s">
        <v>72</v>
      </c>
      <c r="F88" s="7" t="s">
        <v>95</v>
      </c>
      <c r="G88" s="7" t="s">
        <v>95</v>
      </c>
      <c r="H88" s="7" t="s">
        <v>280</v>
      </c>
      <c r="I88" s="13">
        <v>1640000</v>
      </c>
      <c r="J88" s="13">
        <v>1564670</v>
      </c>
      <c r="K88" s="13">
        <v>1564670</v>
      </c>
      <c r="L88" s="14">
        <f t="shared" si="3"/>
        <v>75330</v>
      </c>
      <c r="M88" s="14">
        <f t="shared" si="4"/>
        <v>0</v>
      </c>
      <c r="N88" s="18">
        <f t="shared" si="5"/>
        <v>0.95406707317073169</v>
      </c>
      <c r="O88" s="20"/>
    </row>
    <row r="89" spans="1:15">
      <c r="A89" s="7" t="s">
        <v>265</v>
      </c>
      <c r="B89" s="7" t="s">
        <v>267</v>
      </c>
      <c r="C89" s="7" t="s">
        <v>269</v>
      </c>
      <c r="D89" s="7" t="s">
        <v>277</v>
      </c>
      <c r="E89" s="7" t="s">
        <v>72</v>
      </c>
      <c r="F89" s="7" t="s">
        <v>95</v>
      </c>
      <c r="G89" s="7" t="s">
        <v>95</v>
      </c>
      <c r="H89" s="7" t="s">
        <v>281</v>
      </c>
      <c r="I89" s="13">
        <v>2050000</v>
      </c>
      <c r="J89" s="13">
        <v>1293490</v>
      </c>
      <c r="K89" s="13">
        <v>1293490</v>
      </c>
      <c r="L89" s="14">
        <f t="shared" si="3"/>
        <v>756510</v>
      </c>
      <c r="M89" s="14">
        <f t="shared" si="4"/>
        <v>0</v>
      </c>
      <c r="N89" s="18">
        <f t="shared" si="5"/>
        <v>0.6309707317073171</v>
      </c>
      <c r="O89" s="20"/>
    </row>
    <row r="90" spans="1:15">
      <c r="A90" s="7" t="s">
        <v>265</v>
      </c>
      <c r="B90" s="7" t="s">
        <v>267</v>
      </c>
      <c r="C90" s="7" t="s">
        <v>269</v>
      </c>
      <c r="D90" s="7" t="s">
        <v>277</v>
      </c>
      <c r="E90" s="7" t="s">
        <v>72</v>
      </c>
      <c r="F90" s="7" t="s">
        <v>95</v>
      </c>
      <c r="G90" s="7" t="s">
        <v>95</v>
      </c>
      <c r="H90" s="7" t="s">
        <v>282</v>
      </c>
      <c r="I90" s="13">
        <v>1640000</v>
      </c>
      <c r="J90" s="13">
        <v>0</v>
      </c>
      <c r="K90" s="13">
        <v>0</v>
      </c>
      <c r="L90" s="14">
        <f t="shared" si="3"/>
        <v>1640000</v>
      </c>
      <c r="M90" s="14">
        <f t="shared" si="4"/>
        <v>0</v>
      </c>
      <c r="N90" s="18">
        <f t="shared" si="5"/>
        <v>0</v>
      </c>
      <c r="O90" s="20"/>
    </row>
    <row r="91" spans="1:15">
      <c r="A91" s="7" t="s">
        <v>265</v>
      </c>
      <c r="B91" s="7" t="s">
        <v>267</v>
      </c>
      <c r="C91" s="7" t="s">
        <v>269</v>
      </c>
      <c r="D91" s="7" t="s">
        <v>277</v>
      </c>
      <c r="E91" s="7" t="s">
        <v>72</v>
      </c>
      <c r="F91" s="7" t="s">
        <v>95</v>
      </c>
      <c r="G91" s="7" t="s">
        <v>95</v>
      </c>
      <c r="H91" s="7" t="s">
        <v>283</v>
      </c>
      <c r="I91" s="13">
        <v>2050000</v>
      </c>
      <c r="J91" s="13">
        <v>529200</v>
      </c>
      <c r="K91" s="13">
        <v>529200</v>
      </c>
      <c r="L91" s="14">
        <f t="shared" si="3"/>
        <v>1520800</v>
      </c>
      <c r="M91" s="14">
        <f t="shared" si="4"/>
        <v>0</v>
      </c>
      <c r="N91" s="18">
        <f t="shared" si="5"/>
        <v>0.25814634146341464</v>
      </c>
      <c r="O91" s="20"/>
    </row>
    <row r="92" spans="1:15">
      <c r="A92" s="7" t="s">
        <v>265</v>
      </c>
      <c r="B92" s="7" t="s">
        <v>267</v>
      </c>
      <c r="C92" s="7" t="s">
        <v>269</v>
      </c>
      <c r="D92" s="7" t="s">
        <v>277</v>
      </c>
      <c r="E92" s="7" t="s">
        <v>72</v>
      </c>
      <c r="F92" s="7" t="s">
        <v>95</v>
      </c>
      <c r="G92" s="7" t="s">
        <v>95</v>
      </c>
      <c r="H92" s="7" t="s">
        <v>284</v>
      </c>
      <c r="I92" s="13">
        <v>2050000</v>
      </c>
      <c r="J92" s="13">
        <v>0</v>
      </c>
      <c r="K92" s="13">
        <v>0</v>
      </c>
      <c r="L92" s="14">
        <f t="shared" si="3"/>
        <v>2050000</v>
      </c>
      <c r="M92" s="14">
        <f t="shared" si="4"/>
        <v>0</v>
      </c>
      <c r="N92" s="18">
        <f t="shared" si="5"/>
        <v>0</v>
      </c>
      <c r="O92" s="20"/>
    </row>
    <row r="93" spans="1:15">
      <c r="A93" s="7" t="s">
        <v>265</v>
      </c>
      <c r="B93" s="7" t="s">
        <v>267</v>
      </c>
      <c r="C93" s="7" t="s">
        <v>269</v>
      </c>
      <c r="D93" s="7" t="s">
        <v>277</v>
      </c>
      <c r="E93" s="7" t="s">
        <v>72</v>
      </c>
      <c r="F93" s="7" t="s">
        <v>95</v>
      </c>
      <c r="G93" s="7" t="s">
        <v>95</v>
      </c>
      <c r="H93" s="7" t="s">
        <v>285</v>
      </c>
      <c r="I93" s="13">
        <v>1640000</v>
      </c>
      <c r="J93" s="13">
        <v>77570</v>
      </c>
      <c r="K93" s="13">
        <v>77570</v>
      </c>
      <c r="L93" s="14">
        <f t="shared" si="3"/>
        <v>1562430</v>
      </c>
      <c r="M93" s="14">
        <f t="shared" si="4"/>
        <v>0</v>
      </c>
      <c r="N93" s="18">
        <f t="shared" si="5"/>
        <v>4.7298780487804878E-2</v>
      </c>
      <c r="O93" s="20"/>
    </row>
    <row r="94" spans="1:15">
      <c r="A94" s="7" t="s">
        <v>265</v>
      </c>
      <c r="B94" s="7" t="s">
        <v>267</v>
      </c>
      <c r="C94" s="7" t="s">
        <v>269</v>
      </c>
      <c r="D94" s="7" t="s">
        <v>277</v>
      </c>
      <c r="E94" s="7" t="s">
        <v>72</v>
      </c>
      <c r="F94" s="7" t="s">
        <v>95</v>
      </c>
      <c r="G94" s="7" t="s">
        <v>95</v>
      </c>
      <c r="H94" s="7" t="s">
        <v>286</v>
      </c>
      <c r="I94" s="13">
        <v>2930000</v>
      </c>
      <c r="J94" s="13">
        <v>278780</v>
      </c>
      <c r="K94" s="13">
        <v>278780</v>
      </c>
      <c r="L94" s="14">
        <f t="shared" si="3"/>
        <v>2651220</v>
      </c>
      <c r="M94" s="14">
        <f t="shared" si="4"/>
        <v>0</v>
      </c>
      <c r="N94" s="18">
        <f t="shared" si="5"/>
        <v>9.5146757679180891E-2</v>
      </c>
      <c r="O94" s="20"/>
    </row>
    <row r="95" spans="1:15">
      <c r="A95" s="7" t="s">
        <v>265</v>
      </c>
      <c r="B95" s="7" t="s">
        <v>267</v>
      </c>
      <c r="C95" s="7" t="s">
        <v>269</v>
      </c>
      <c r="D95" s="7" t="s">
        <v>277</v>
      </c>
      <c r="E95" s="7" t="s">
        <v>72</v>
      </c>
      <c r="F95" s="7" t="s">
        <v>95</v>
      </c>
      <c r="G95" s="7" t="s">
        <v>95</v>
      </c>
      <c r="H95" s="7" t="s">
        <v>287</v>
      </c>
      <c r="I95" s="13">
        <v>1540000</v>
      </c>
      <c r="J95" s="13">
        <v>240000</v>
      </c>
      <c r="K95" s="13">
        <v>240000</v>
      </c>
      <c r="L95" s="14">
        <f t="shared" si="3"/>
        <v>1300000</v>
      </c>
      <c r="M95" s="14">
        <f t="shared" si="4"/>
        <v>0</v>
      </c>
      <c r="N95" s="18">
        <f t="shared" si="5"/>
        <v>0.15584415584415584</v>
      </c>
      <c r="O95" s="20"/>
    </row>
    <row r="96" spans="1:15">
      <c r="A96" s="7" t="s">
        <v>265</v>
      </c>
      <c r="B96" s="7" t="s">
        <v>267</v>
      </c>
      <c r="C96" s="7" t="s">
        <v>269</v>
      </c>
      <c r="D96" s="7" t="s">
        <v>277</v>
      </c>
      <c r="E96" s="7" t="s">
        <v>72</v>
      </c>
      <c r="F96" s="7" t="s">
        <v>95</v>
      </c>
      <c r="G96" s="7" t="s">
        <v>95</v>
      </c>
      <c r="H96" s="7" t="s">
        <v>288</v>
      </c>
      <c r="I96" s="13">
        <v>1540000</v>
      </c>
      <c r="J96" s="13">
        <v>0</v>
      </c>
      <c r="K96" s="13">
        <v>0</v>
      </c>
      <c r="L96" s="14">
        <f t="shared" si="3"/>
        <v>1540000</v>
      </c>
      <c r="M96" s="14">
        <f t="shared" si="4"/>
        <v>0</v>
      </c>
      <c r="N96" s="18">
        <f t="shared" si="5"/>
        <v>0</v>
      </c>
      <c r="O96" s="20"/>
    </row>
    <row r="97" spans="1:15">
      <c r="A97" s="7" t="s">
        <v>265</v>
      </c>
      <c r="B97" s="7" t="s">
        <v>267</v>
      </c>
      <c r="C97" s="7" t="s">
        <v>269</v>
      </c>
      <c r="D97" s="7" t="s">
        <v>277</v>
      </c>
      <c r="E97" s="7" t="s">
        <v>72</v>
      </c>
      <c r="F97" s="7" t="s">
        <v>95</v>
      </c>
      <c r="G97" s="7" t="s">
        <v>95</v>
      </c>
      <c r="H97" s="7" t="s">
        <v>289</v>
      </c>
      <c r="I97" s="13">
        <v>1540000</v>
      </c>
      <c r="J97" s="13">
        <v>40500</v>
      </c>
      <c r="K97" s="13">
        <v>40500</v>
      </c>
      <c r="L97" s="14">
        <f t="shared" si="3"/>
        <v>1499500</v>
      </c>
      <c r="M97" s="14">
        <f t="shared" si="4"/>
        <v>0</v>
      </c>
      <c r="N97" s="18">
        <f t="shared" si="5"/>
        <v>2.6298701298701297E-2</v>
      </c>
      <c r="O97" s="20"/>
    </row>
    <row r="98" spans="1:15">
      <c r="A98" s="7" t="s">
        <v>265</v>
      </c>
      <c r="B98" s="7" t="s">
        <v>267</v>
      </c>
      <c r="C98" s="7" t="s">
        <v>269</v>
      </c>
      <c r="D98" s="7" t="s">
        <v>277</v>
      </c>
      <c r="E98" s="7" t="s">
        <v>72</v>
      </c>
      <c r="F98" s="7" t="s">
        <v>95</v>
      </c>
      <c r="G98" s="7" t="s">
        <v>95</v>
      </c>
      <c r="H98" s="7" t="s">
        <v>290</v>
      </c>
      <c r="I98" s="13">
        <v>1540000</v>
      </c>
      <c r="J98" s="13">
        <v>0</v>
      </c>
      <c r="K98" s="13">
        <v>0</v>
      </c>
      <c r="L98" s="14">
        <f t="shared" si="3"/>
        <v>1540000</v>
      </c>
      <c r="M98" s="14">
        <f t="shared" si="4"/>
        <v>0</v>
      </c>
      <c r="N98" s="18">
        <f t="shared" si="5"/>
        <v>0</v>
      </c>
      <c r="O98" s="20"/>
    </row>
    <row r="99" spans="1:15">
      <c r="A99" s="7" t="s">
        <v>265</v>
      </c>
      <c r="B99" s="7" t="s">
        <v>267</v>
      </c>
      <c r="C99" s="7" t="s">
        <v>269</v>
      </c>
      <c r="D99" s="7" t="s">
        <v>277</v>
      </c>
      <c r="E99" s="7" t="s">
        <v>72</v>
      </c>
      <c r="F99" s="7" t="s">
        <v>95</v>
      </c>
      <c r="G99" s="7" t="s">
        <v>95</v>
      </c>
      <c r="H99" s="7" t="s">
        <v>291</v>
      </c>
      <c r="I99" s="13">
        <v>1540000</v>
      </c>
      <c r="J99" s="13">
        <v>0</v>
      </c>
      <c r="K99" s="13">
        <v>0</v>
      </c>
      <c r="L99" s="14">
        <f t="shared" si="3"/>
        <v>1540000</v>
      </c>
      <c r="M99" s="14">
        <f t="shared" si="4"/>
        <v>0</v>
      </c>
      <c r="N99" s="18">
        <f t="shared" si="5"/>
        <v>0</v>
      </c>
      <c r="O99" s="20"/>
    </row>
    <row r="100" spans="1:15">
      <c r="A100" s="7" t="s">
        <v>265</v>
      </c>
      <c r="B100" s="7" t="s">
        <v>267</v>
      </c>
      <c r="C100" s="7" t="s">
        <v>269</v>
      </c>
      <c r="D100" s="7" t="s">
        <v>277</v>
      </c>
      <c r="E100" s="7" t="s">
        <v>72</v>
      </c>
      <c r="F100" s="7" t="s">
        <v>95</v>
      </c>
      <c r="G100" s="7" t="s">
        <v>95</v>
      </c>
      <c r="H100" s="7" t="s">
        <v>292</v>
      </c>
      <c r="I100" s="13">
        <v>1575000</v>
      </c>
      <c r="J100" s="13">
        <v>264850</v>
      </c>
      <c r="K100" s="13">
        <v>264850</v>
      </c>
      <c r="L100" s="14">
        <f t="shared" si="3"/>
        <v>1310150</v>
      </c>
      <c r="M100" s="14">
        <f t="shared" si="4"/>
        <v>0</v>
      </c>
      <c r="N100" s="18">
        <f t="shared" si="5"/>
        <v>0.16815873015873015</v>
      </c>
      <c r="O100" s="20"/>
    </row>
    <row r="101" spans="1:15">
      <c r="A101" s="7" t="s">
        <v>265</v>
      </c>
      <c r="B101" s="7" t="s">
        <v>267</v>
      </c>
      <c r="C101" s="7" t="s">
        <v>269</v>
      </c>
      <c r="D101" s="7" t="s">
        <v>293</v>
      </c>
      <c r="E101" s="7" t="s">
        <v>87</v>
      </c>
      <c r="F101" s="7" t="s">
        <v>89</v>
      </c>
      <c r="G101" s="7" t="s">
        <v>89</v>
      </c>
      <c r="H101" s="7" t="s">
        <v>294</v>
      </c>
      <c r="I101" s="13">
        <v>1500000</v>
      </c>
      <c r="J101" s="13">
        <v>0</v>
      </c>
      <c r="K101" s="13">
        <v>0</v>
      </c>
      <c r="L101" s="14">
        <f t="shared" si="3"/>
        <v>1500000</v>
      </c>
      <c r="M101" s="14">
        <f t="shared" si="4"/>
        <v>0</v>
      </c>
      <c r="N101" s="18">
        <f t="shared" si="5"/>
        <v>0</v>
      </c>
      <c r="O101" s="20"/>
    </row>
    <row r="102" spans="1:15">
      <c r="A102" s="7" t="s">
        <v>265</v>
      </c>
      <c r="B102" s="7" t="s">
        <v>267</v>
      </c>
      <c r="C102" s="7" t="s">
        <v>269</v>
      </c>
      <c r="D102" s="7" t="s">
        <v>293</v>
      </c>
      <c r="E102" s="7" t="s">
        <v>87</v>
      </c>
      <c r="F102" s="7" t="s">
        <v>89</v>
      </c>
      <c r="G102" s="7" t="s">
        <v>89</v>
      </c>
      <c r="H102" s="7" t="s">
        <v>295</v>
      </c>
      <c r="I102" s="13">
        <v>1290000</v>
      </c>
      <c r="J102" s="13">
        <v>957000</v>
      </c>
      <c r="K102" s="13">
        <v>957000</v>
      </c>
      <c r="L102" s="14">
        <f t="shared" si="3"/>
        <v>333000</v>
      </c>
      <c r="M102" s="14">
        <f t="shared" si="4"/>
        <v>0</v>
      </c>
      <c r="N102" s="18">
        <f t="shared" si="5"/>
        <v>0.74186046511627912</v>
      </c>
      <c r="O102" s="20"/>
    </row>
    <row r="103" spans="1:15">
      <c r="A103" s="7" t="s">
        <v>265</v>
      </c>
      <c r="B103" s="7" t="s">
        <v>267</v>
      </c>
      <c r="C103" s="7" t="s">
        <v>269</v>
      </c>
      <c r="D103" s="7" t="s">
        <v>293</v>
      </c>
      <c r="E103" s="7" t="s">
        <v>87</v>
      </c>
      <c r="F103" s="7" t="s">
        <v>89</v>
      </c>
      <c r="G103" s="7" t="s">
        <v>89</v>
      </c>
      <c r="H103" s="7" t="s">
        <v>296</v>
      </c>
      <c r="I103" s="13">
        <v>150000</v>
      </c>
      <c r="J103" s="13">
        <v>145000</v>
      </c>
      <c r="K103" s="13">
        <v>145000</v>
      </c>
      <c r="L103" s="14">
        <f t="shared" si="3"/>
        <v>5000</v>
      </c>
      <c r="M103" s="14">
        <f t="shared" si="4"/>
        <v>0</v>
      </c>
      <c r="N103" s="18">
        <f t="shared" si="5"/>
        <v>0.96666666666666667</v>
      </c>
      <c r="O103" s="20"/>
    </row>
    <row r="104" spans="1:15">
      <c r="A104" s="7" t="s">
        <v>265</v>
      </c>
      <c r="B104" s="7" t="s">
        <v>267</v>
      </c>
      <c r="C104" s="7" t="s">
        <v>269</v>
      </c>
      <c r="D104" s="7" t="s">
        <v>293</v>
      </c>
      <c r="E104" s="7" t="s">
        <v>87</v>
      </c>
      <c r="F104" s="7" t="s">
        <v>89</v>
      </c>
      <c r="G104" s="7" t="s">
        <v>89</v>
      </c>
      <c r="H104" s="7" t="s">
        <v>297</v>
      </c>
      <c r="I104" s="13">
        <v>1200000</v>
      </c>
      <c r="J104" s="13">
        <v>600000</v>
      </c>
      <c r="K104" s="13">
        <v>600000</v>
      </c>
      <c r="L104" s="14">
        <f t="shared" si="3"/>
        <v>600000</v>
      </c>
      <c r="M104" s="14">
        <f t="shared" si="4"/>
        <v>0</v>
      </c>
      <c r="N104" s="18">
        <f t="shared" si="5"/>
        <v>0.5</v>
      </c>
      <c r="O104" s="20"/>
    </row>
    <row r="105" spans="1:15">
      <c r="A105" s="7" t="s">
        <v>265</v>
      </c>
      <c r="B105" s="7" t="s">
        <v>267</v>
      </c>
      <c r="C105" s="7" t="s">
        <v>269</v>
      </c>
      <c r="D105" s="7" t="s">
        <v>298</v>
      </c>
      <c r="E105" s="7" t="s">
        <v>72</v>
      </c>
      <c r="F105" s="7" t="s">
        <v>74</v>
      </c>
      <c r="G105" s="7" t="s">
        <v>76</v>
      </c>
      <c r="H105" s="7" t="s">
        <v>299</v>
      </c>
      <c r="I105" s="13">
        <v>1000000</v>
      </c>
      <c r="J105" s="13">
        <v>420000</v>
      </c>
      <c r="K105" s="13">
        <v>420000</v>
      </c>
      <c r="L105" s="14">
        <f t="shared" si="3"/>
        <v>580000</v>
      </c>
      <c r="M105" s="14">
        <f t="shared" si="4"/>
        <v>0</v>
      </c>
      <c r="N105" s="18">
        <f t="shared" si="5"/>
        <v>0.42</v>
      </c>
      <c r="O105" s="20"/>
    </row>
    <row r="106" spans="1:15">
      <c r="A106" s="7" t="s">
        <v>265</v>
      </c>
      <c r="B106" s="7" t="s">
        <v>267</v>
      </c>
      <c r="C106" s="7" t="s">
        <v>269</v>
      </c>
      <c r="D106" s="7" t="s">
        <v>298</v>
      </c>
      <c r="E106" s="7" t="s">
        <v>72</v>
      </c>
      <c r="F106" s="7" t="s">
        <v>74</v>
      </c>
      <c r="G106" s="7" t="s">
        <v>79</v>
      </c>
      <c r="H106" s="7" t="s">
        <v>300</v>
      </c>
      <c r="I106" s="13">
        <v>300000</v>
      </c>
      <c r="J106" s="13">
        <v>0</v>
      </c>
      <c r="K106" s="13">
        <v>0</v>
      </c>
      <c r="L106" s="14">
        <f t="shared" si="3"/>
        <v>300000</v>
      </c>
      <c r="M106" s="14">
        <f t="shared" si="4"/>
        <v>0</v>
      </c>
      <c r="N106" s="18">
        <f t="shared" si="5"/>
        <v>0</v>
      </c>
      <c r="O106" s="20"/>
    </row>
    <row r="107" spans="1:15">
      <c r="A107" s="7" t="s">
        <v>265</v>
      </c>
      <c r="B107" s="7" t="s">
        <v>267</v>
      </c>
      <c r="C107" s="7" t="s">
        <v>269</v>
      </c>
      <c r="D107" s="7" t="s">
        <v>298</v>
      </c>
      <c r="E107" s="7" t="s">
        <v>87</v>
      </c>
      <c r="F107" s="7" t="s">
        <v>89</v>
      </c>
      <c r="G107" s="7" t="s">
        <v>89</v>
      </c>
      <c r="H107" s="7" t="s">
        <v>301</v>
      </c>
      <c r="I107" s="13">
        <v>960000</v>
      </c>
      <c r="J107" s="13">
        <v>494000</v>
      </c>
      <c r="K107" s="13">
        <v>494000</v>
      </c>
      <c r="L107" s="14">
        <f t="shared" si="3"/>
        <v>466000</v>
      </c>
      <c r="M107" s="14">
        <f t="shared" si="4"/>
        <v>0</v>
      </c>
      <c r="N107" s="18">
        <f t="shared" si="5"/>
        <v>0.51458333333333328</v>
      </c>
      <c r="O107" s="20"/>
    </row>
    <row r="108" spans="1:15">
      <c r="A108" s="7" t="s">
        <v>265</v>
      </c>
      <c r="B108" s="7" t="s">
        <v>267</v>
      </c>
      <c r="C108" s="7" t="s">
        <v>269</v>
      </c>
      <c r="D108" s="7" t="s">
        <v>302</v>
      </c>
      <c r="E108" s="7" t="s">
        <v>72</v>
      </c>
      <c r="F108" s="7" t="s">
        <v>95</v>
      </c>
      <c r="G108" s="7" t="s">
        <v>95</v>
      </c>
      <c r="H108" s="7" t="s">
        <v>303</v>
      </c>
      <c r="I108" s="13">
        <v>4000000</v>
      </c>
      <c r="J108" s="13">
        <v>0</v>
      </c>
      <c r="K108" s="13">
        <v>0</v>
      </c>
      <c r="L108" s="14">
        <f t="shared" si="3"/>
        <v>4000000</v>
      </c>
      <c r="M108" s="14">
        <f t="shared" si="4"/>
        <v>0</v>
      </c>
      <c r="N108" s="18">
        <f t="shared" si="5"/>
        <v>0</v>
      </c>
      <c r="O108" s="20"/>
    </row>
    <row r="109" spans="1:15">
      <c r="A109" s="7" t="s">
        <v>265</v>
      </c>
      <c r="B109" s="7" t="s">
        <v>267</v>
      </c>
      <c r="C109" s="7" t="s">
        <v>305</v>
      </c>
      <c r="D109" s="7" t="s">
        <v>306</v>
      </c>
      <c r="E109" s="7" t="s">
        <v>72</v>
      </c>
      <c r="F109" s="7" t="s">
        <v>74</v>
      </c>
      <c r="G109" s="7" t="s">
        <v>76</v>
      </c>
      <c r="H109" s="7" t="s">
        <v>307</v>
      </c>
      <c r="I109" s="13">
        <v>200000</v>
      </c>
      <c r="J109" s="13">
        <v>152800</v>
      </c>
      <c r="K109" s="13">
        <v>152800</v>
      </c>
      <c r="L109" s="14">
        <f t="shared" si="3"/>
        <v>47200</v>
      </c>
      <c r="M109" s="14">
        <f t="shared" si="4"/>
        <v>0</v>
      </c>
      <c r="N109" s="18">
        <f t="shared" si="5"/>
        <v>0.76400000000000001</v>
      </c>
      <c r="O109" s="20"/>
    </row>
    <row r="110" spans="1:15">
      <c r="A110" s="7" t="s">
        <v>265</v>
      </c>
      <c r="B110" s="7" t="s">
        <v>267</v>
      </c>
      <c r="C110" s="7" t="s">
        <v>305</v>
      </c>
      <c r="D110" s="7" t="s">
        <v>306</v>
      </c>
      <c r="E110" s="7" t="s">
        <v>72</v>
      </c>
      <c r="F110" s="7" t="s">
        <v>74</v>
      </c>
      <c r="G110" s="7" t="s">
        <v>76</v>
      </c>
      <c r="H110" s="7" t="s">
        <v>308</v>
      </c>
      <c r="I110" s="13">
        <v>2000000</v>
      </c>
      <c r="J110" s="13">
        <v>1665500</v>
      </c>
      <c r="K110" s="13">
        <v>1665500</v>
      </c>
      <c r="L110" s="14">
        <f t="shared" si="3"/>
        <v>334500</v>
      </c>
      <c r="M110" s="14">
        <f t="shared" si="4"/>
        <v>0</v>
      </c>
      <c r="N110" s="18">
        <f t="shared" si="5"/>
        <v>0.83274999999999999</v>
      </c>
      <c r="O110" s="20"/>
    </row>
    <row r="111" spans="1:15">
      <c r="A111" s="7" t="s">
        <v>265</v>
      </c>
      <c r="B111" s="7" t="s">
        <v>267</v>
      </c>
      <c r="C111" s="7" t="s">
        <v>305</v>
      </c>
      <c r="D111" s="7" t="s">
        <v>306</v>
      </c>
      <c r="E111" s="7" t="s">
        <v>72</v>
      </c>
      <c r="F111" s="7" t="s">
        <v>95</v>
      </c>
      <c r="G111" s="7" t="s">
        <v>95</v>
      </c>
      <c r="H111" s="7" t="s">
        <v>309</v>
      </c>
      <c r="I111" s="13">
        <v>4000000</v>
      </c>
      <c r="J111" s="13">
        <v>2127210</v>
      </c>
      <c r="K111" s="13">
        <v>2127210</v>
      </c>
      <c r="L111" s="14">
        <f t="shared" si="3"/>
        <v>1872790</v>
      </c>
      <c r="M111" s="14">
        <f t="shared" si="4"/>
        <v>0</v>
      </c>
      <c r="N111" s="18">
        <f t="shared" si="5"/>
        <v>0.53180249999999996</v>
      </c>
      <c r="O111" s="20"/>
    </row>
    <row r="112" spans="1:15">
      <c r="A112" s="7" t="s">
        <v>265</v>
      </c>
      <c r="B112" s="7" t="s">
        <v>267</v>
      </c>
      <c r="C112" s="7" t="s">
        <v>305</v>
      </c>
      <c r="D112" s="7" t="s">
        <v>306</v>
      </c>
      <c r="E112" s="7" t="s">
        <v>72</v>
      </c>
      <c r="F112" s="7" t="s">
        <v>95</v>
      </c>
      <c r="G112" s="7" t="s">
        <v>95</v>
      </c>
      <c r="H112" s="7" t="s">
        <v>310</v>
      </c>
      <c r="I112" s="13">
        <v>4000000</v>
      </c>
      <c r="J112" s="13">
        <v>1981420</v>
      </c>
      <c r="K112" s="13">
        <v>1981420</v>
      </c>
      <c r="L112" s="14">
        <f t="shared" si="3"/>
        <v>2018580</v>
      </c>
      <c r="M112" s="14">
        <f t="shared" si="4"/>
        <v>0</v>
      </c>
      <c r="N112" s="18">
        <f t="shared" si="5"/>
        <v>0.49535499999999999</v>
      </c>
      <c r="O112" s="20"/>
    </row>
    <row r="113" spans="1:15">
      <c r="A113" s="7" t="s">
        <v>265</v>
      </c>
      <c r="B113" s="7" t="s">
        <v>267</v>
      </c>
      <c r="C113" s="7" t="s">
        <v>305</v>
      </c>
      <c r="D113" s="7" t="s">
        <v>306</v>
      </c>
      <c r="E113" s="7" t="s">
        <v>72</v>
      </c>
      <c r="F113" s="7" t="s">
        <v>95</v>
      </c>
      <c r="G113" s="7" t="s">
        <v>95</v>
      </c>
      <c r="H113" s="7" t="s">
        <v>311</v>
      </c>
      <c r="I113" s="13">
        <v>5000000</v>
      </c>
      <c r="J113" s="13">
        <v>4998500</v>
      </c>
      <c r="K113" s="13">
        <v>4998500</v>
      </c>
      <c r="L113" s="14">
        <f t="shared" si="3"/>
        <v>1500</v>
      </c>
      <c r="M113" s="14">
        <f t="shared" si="4"/>
        <v>0</v>
      </c>
      <c r="N113" s="18">
        <f t="shared" si="5"/>
        <v>0.99970000000000003</v>
      </c>
      <c r="O113" s="20"/>
    </row>
    <row r="114" spans="1:15">
      <c r="A114" s="7" t="s">
        <v>265</v>
      </c>
      <c r="B114" s="7" t="s">
        <v>267</v>
      </c>
      <c r="C114" s="7" t="s">
        <v>313</v>
      </c>
      <c r="D114" s="7" t="s">
        <v>306</v>
      </c>
      <c r="E114" s="7" t="s">
        <v>72</v>
      </c>
      <c r="F114" s="7" t="s">
        <v>95</v>
      </c>
      <c r="G114" s="7" t="s">
        <v>95</v>
      </c>
      <c r="H114" s="7" t="s">
        <v>314</v>
      </c>
      <c r="I114" s="13">
        <v>2400000</v>
      </c>
      <c r="J114" s="13">
        <v>2400000</v>
      </c>
      <c r="K114" s="13">
        <v>2400000</v>
      </c>
      <c r="L114" s="14">
        <f t="shared" si="3"/>
        <v>0</v>
      </c>
      <c r="M114" s="14">
        <f t="shared" si="4"/>
        <v>0</v>
      </c>
      <c r="N114" s="18">
        <f t="shared" si="5"/>
        <v>1</v>
      </c>
      <c r="O114" s="20"/>
    </row>
    <row r="115" spans="1:15">
      <c r="A115" s="7" t="s">
        <v>265</v>
      </c>
      <c r="B115" s="7" t="s">
        <v>267</v>
      </c>
      <c r="C115" s="7" t="s">
        <v>313</v>
      </c>
      <c r="D115" s="7" t="s">
        <v>315</v>
      </c>
      <c r="E115" s="7" t="s">
        <v>72</v>
      </c>
      <c r="F115" s="7" t="s">
        <v>95</v>
      </c>
      <c r="G115" s="7" t="s">
        <v>95</v>
      </c>
      <c r="H115" s="7" t="s">
        <v>316</v>
      </c>
      <c r="I115" s="13">
        <v>3000000</v>
      </c>
      <c r="J115" s="13">
        <v>3000000</v>
      </c>
      <c r="K115" s="13">
        <v>3000000</v>
      </c>
      <c r="L115" s="14">
        <f t="shared" si="3"/>
        <v>0</v>
      </c>
      <c r="M115" s="14">
        <f t="shared" si="4"/>
        <v>0</v>
      </c>
      <c r="N115" s="18">
        <f t="shared" si="5"/>
        <v>1</v>
      </c>
      <c r="O115" s="20"/>
    </row>
    <row r="116" spans="1:15">
      <c r="A116" s="7" t="s">
        <v>265</v>
      </c>
      <c r="B116" s="7" t="s">
        <v>267</v>
      </c>
      <c r="C116" s="7" t="s">
        <v>313</v>
      </c>
      <c r="D116" s="7" t="s">
        <v>315</v>
      </c>
      <c r="E116" s="7" t="s">
        <v>72</v>
      </c>
      <c r="F116" s="7" t="s">
        <v>95</v>
      </c>
      <c r="G116" s="7" t="s">
        <v>95</v>
      </c>
      <c r="H116" s="7" t="s">
        <v>317</v>
      </c>
      <c r="I116" s="13">
        <v>3600000</v>
      </c>
      <c r="J116" s="13">
        <v>3600000</v>
      </c>
      <c r="K116" s="13">
        <v>3600000</v>
      </c>
      <c r="L116" s="14">
        <f t="shared" si="3"/>
        <v>0</v>
      </c>
      <c r="M116" s="14">
        <f t="shared" si="4"/>
        <v>0</v>
      </c>
      <c r="N116" s="18">
        <f t="shared" si="5"/>
        <v>1</v>
      </c>
      <c r="O116" s="20"/>
    </row>
    <row r="117" spans="1:15">
      <c r="A117" s="7" t="s">
        <v>265</v>
      </c>
      <c r="B117" s="7" t="s">
        <v>267</v>
      </c>
      <c r="C117" s="7" t="s">
        <v>313</v>
      </c>
      <c r="D117" s="7" t="s">
        <v>318</v>
      </c>
      <c r="E117" s="7" t="s">
        <v>131</v>
      </c>
      <c r="F117" s="7" t="s">
        <v>133</v>
      </c>
      <c r="G117" s="7" t="s">
        <v>135</v>
      </c>
      <c r="H117" s="7" t="s">
        <v>319</v>
      </c>
      <c r="I117" s="13">
        <v>18841000</v>
      </c>
      <c r="J117" s="13">
        <v>15112730</v>
      </c>
      <c r="K117" s="13">
        <v>15112730</v>
      </c>
      <c r="L117" s="14">
        <f t="shared" si="3"/>
        <v>3728270</v>
      </c>
      <c r="M117" s="14">
        <f t="shared" si="4"/>
        <v>0</v>
      </c>
      <c r="N117" s="18">
        <f t="shared" si="5"/>
        <v>0.80211931426145111</v>
      </c>
      <c r="O117" s="20"/>
    </row>
    <row r="118" spans="1:15">
      <c r="A118" s="7" t="s">
        <v>265</v>
      </c>
      <c r="B118" s="7" t="s">
        <v>267</v>
      </c>
      <c r="C118" s="7" t="s">
        <v>313</v>
      </c>
      <c r="D118" s="7" t="s">
        <v>318</v>
      </c>
      <c r="E118" s="7" t="s">
        <v>72</v>
      </c>
      <c r="F118" s="7" t="s">
        <v>74</v>
      </c>
      <c r="G118" s="7" t="s">
        <v>76</v>
      </c>
      <c r="H118" s="7" t="s">
        <v>320</v>
      </c>
      <c r="I118" s="13">
        <v>100000</v>
      </c>
      <c r="J118" s="13">
        <v>0</v>
      </c>
      <c r="K118" s="13">
        <v>0</v>
      </c>
      <c r="L118" s="14">
        <f t="shared" si="3"/>
        <v>100000</v>
      </c>
      <c r="M118" s="14">
        <f t="shared" si="4"/>
        <v>0</v>
      </c>
      <c r="N118" s="18">
        <f t="shared" si="5"/>
        <v>0</v>
      </c>
      <c r="O118" s="20"/>
    </row>
    <row r="119" spans="1:15">
      <c r="A119" s="7" t="s">
        <v>265</v>
      </c>
      <c r="B119" s="7" t="s">
        <v>267</v>
      </c>
      <c r="C119" s="7" t="s">
        <v>313</v>
      </c>
      <c r="D119" s="7" t="s">
        <v>318</v>
      </c>
      <c r="E119" s="7" t="s">
        <v>72</v>
      </c>
      <c r="F119" s="7" t="s">
        <v>74</v>
      </c>
      <c r="G119" s="7" t="s">
        <v>112</v>
      </c>
      <c r="H119" s="7" t="s">
        <v>321</v>
      </c>
      <c r="I119" s="13">
        <v>400000</v>
      </c>
      <c r="J119" s="13">
        <v>400000</v>
      </c>
      <c r="K119" s="13">
        <v>400000</v>
      </c>
      <c r="L119" s="14">
        <f t="shared" si="3"/>
        <v>0</v>
      </c>
      <c r="M119" s="14">
        <f t="shared" si="4"/>
        <v>0</v>
      </c>
      <c r="N119" s="18">
        <f t="shared" si="5"/>
        <v>1</v>
      </c>
      <c r="O119" s="20"/>
    </row>
    <row r="120" spans="1:15">
      <c r="A120" s="7" t="s">
        <v>265</v>
      </c>
      <c r="B120" s="7" t="s">
        <v>267</v>
      </c>
      <c r="C120" s="7" t="s">
        <v>313</v>
      </c>
      <c r="D120" s="7" t="s">
        <v>322</v>
      </c>
      <c r="E120" s="7" t="s">
        <v>72</v>
      </c>
      <c r="F120" s="7" t="s">
        <v>74</v>
      </c>
      <c r="G120" s="7" t="s">
        <v>79</v>
      </c>
      <c r="H120" s="7" t="s">
        <v>323</v>
      </c>
      <c r="I120" s="13">
        <v>400000</v>
      </c>
      <c r="J120" s="13">
        <v>0</v>
      </c>
      <c r="K120" s="13">
        <v>0</v>
      </c>
      <c r="L120" s="14">
        <f t="shared" si="3"/>
        <v>400000</v>
      </c>
      <c r="M120" s="14">
        <f t="shared" si="4"/>
        <v>0</v>
      </c>
      <c r="N120" s="18">
        <f t="shared" si="5"/>
        <v>0</v>
      </c>
      <c r="O120" s="20"/>
    </row>
    <row r="121" spans="1:15">
      <c r="A121" s="7" t="s">
        <v>265</v>
      </c>
      <c r="B121" s="7" t="s">
        <v>267</v>
      </c>
      <c r="C121" s="7" t="s">
        <v>313</v>
      </c>
      <c r="D121" s="7" t="s">
        <v>322</v>
      </c>
      <c r="E121" s="7" t="s">
        <v>72</v>
      </c>
      <c r="F121" s="7" t="s">
        <v>74</v>
      </c>
      <c r="G121" s="7" t="s">
        <v>79</v>
      </c>
      <c r="H121" s="7" t="s">
        <v>324</v>
      </c>
      <c r="I121" s="13">
        <v>200000</v>
      </c>
      <c r="J121" s="13">
        <v>0</v>
      </c>
      <c r="K121" s="13">
        <v>0</v>
      </c>
      <c r="L121" s="14">
        <f t="shared" si="3"/>
        <v>200000</v>
      </c>
      <c r="M121" s="14">
        <f t="shared" si="4"/>
        <v>0</v>
      </c>
      <c r="N121" s="18">
        <f t="shared" si="5"/>
        <v>0</v>
      </c>
      <c r="O121" s="20"/>
    </row>
    <row r="122" spans="1:15">
      <c r="A122" s="7" t="s">
        <v>265</v>
      </c>
      <c r="B122" s="7" t="s">
        <v>267</v>
      </c>
      <c r="C122" s="7" t="s">
        <v>313</v>
      </c>
      <c r="D122" s="7" t="s">
        <v>322</v>
      </c>
      <c r="E122" s="7" t="s">
        <v>72</v>
      </c>
      <c r="F122" s="7" t="s">
        <v>74</v>
      </c>
      <c r="G122" s="7" t="s">
        <v>79</v>
      </c>
      <c r="H122" s="7" t="s">
        <v>325</v>
      </c>
      <c r="I122" s="13">
        <v>200000</v>
      </c>
      <c r="J122" s="13">
        <v>0</v>
      </c>
      <c r="K122" s="13">
        <v>0</v>
      </c>
      <c r="L122" s="14">
        <f t="shared" si="3"/>
        <v>200000</v>
      </c>
      <c r="M122" s="14">
        <f t="shared" si="4"/>
        <v>0</v>
      </c>
      <c r="N122" s="18">
        <f t="shared" si="5"/>
        <v>0</v>
      </c>
      <c r="O122" s="20"/>
    </row>
    <row r="123" spans="1:15">
      <c r="A123" s="7" t="s">
        <v>265</v>
      </c>
      <c r="B123" s="7" t="s">
        <v>267</v>
      </c>
      <c r="C123" s="7" t="s">
        <v>313</v>
      </c>
      <c r="D123" s="7" t="s">
        <v>322</v>
      </c>
      <c r="E123" s="7" t="s">
        <v>72</v>
      </c>
      <c r="F123" s="7" t="s">
        <v>95</v>
      </c>
      <c r="G123" s="7" t="s">
        <v>95</v>
      </c>
      <c r="H123" s="7" t="s">
        <v>326</v>
      </c>
      <c r="I123" s="13">
        <v>400000</v>
      </c>
      <c r="J123" s="13">
        <v>360100</v>
      </c>
      <c r="K123" s="13">
        <v>360100</v>
      </c>
      <c r="L123" s="14">
        <f t="shared" si="3"/>
        <v>39900</v>
      </c>
      <c r="M123" s="14">
        <f t="shared" si="4"/>
        <v>0</v>
      </c>
      <c r="N123" s="18">
        <f t="shared" si="5"/>
        <v>0.90024999999999999</v>
      </c>
      <c r="O123" s="20"/>
    </row>
    <row r="124" spans="1:15">
      <c r="A124" s="7" t="s">
        <v>265</v>
      </c>
      <c r="B124" s="7" t="s">
        <v>267</v>
      </c>
      <c r="C124" s="7" t="s">
        <v>313</v>
      </c>
      <c r="D124" s="7" t="s">
        <v>322</v>
      </c>
      <c r="E124" s="7" t="s">
        <v>72</v>
      </c>
      <c r="F124" s="7" t="s">
        <v>95</v>
      </c>
      <c r="G124" s="7" t="s">
        <v>95</v>
      </c>
      <c r="H124" s="7" t="s">
        <v>327</v>
      </c>
      <c r="I124" s="13">
        <v>200000</v>
      </c>
      <c r="J124" s="13">
        <v>200000</v>
      </c>
      <c r="K124" s="13">
        <v>200000</v>
      </c>
      <c r="L124" s="14">
        <f t="shared" si="3"/>
        <v>0</v>
      </c>
      <c r="M124" s="14">
        <f t="shared" si="4"/>
        <v>0</v>
      </c>
      <c r="N124" s="18">
        <f t="shared" si="5"/>
        <v>1</v>
      </c>
      <c r="O124" s="20"/>
    </row>
    <row r="125" spans="1:15">
      <c r="A125" s="7" t="s">
        <v>265</v>
      </c>
      <c r="B125" s="7" t="s">
        <v>267</v>
      </c>
      <c r="C125" s="7" t="s">
        <v>313</v>
      </c>
      <c r="D125" s="7" t="s">
        <v>322</v>
      </c>
      <c r="E125" s="7" t="s">
        <v>72</v>
      </c>
      <c r="F125" s="7" t="s">
        <v>95</v>
      </c>
      <c r="G125" s="7" t="s">
        <v>95</v>
      </c>
      <c r="H125" s="7" t="s">
        <v>328</v>
      </c>
      <c r="I125" s="13">
        <v>200000</v>
      </c>
      <c r="J125" s="13">
        <v>200000</v>
      </c>
      <c r="K125" s="13">
        <v>200000</v>
      </c>
      <c r="L125" s="14">
        <f t="shared" si="3"/>
        <v>0</v>
      </c>
      <c r="M125" s="14">
        <f t="shared" si="4"/>
        <v>0</v>
      </c>
      <c r="N125" s="18">
        <f t="shared" si="5"/>
        <v>1</v>
      </c>
      <c r="O125" s="20"/>
    </row>
    <row r="126" spans="1:15">
      <c r="A126" s="7" t="s">
        <v>265</v>
      </c>
      <c r="B126" s="7" t="s">
        <v>267</v>
      </c>
      <c r="C126" s="7" t="s">
        <v>313</v>
      </c>
      <c r="D126" s="7" t="s">
        <v>329</v>
      </c>
      <c r="E126" s="7" t="s">
        <v>72</v>
      </c>
      <c r="F126" s="7" t="s">
        <v>74</v>
      </c>
      <c r="G126" s="7" t="s">
        <v>79</v>
      </c>
      <c r="H126" s="7" t="s">
        <v>330</v>
      </c>
      <c r="I126" s="13">
        <v>1150000</v>
      </c>
      <c r="J126" s="13">
        <v>0</v>
      </c>
      <c r="K126" s="13">
        <v>0</v>
      </c>
      <c r="L126" s="14">
        <f t="shared" si="3"/>
        <v>1150000</v>
      </c>
      <c r="M126" s="14">
        <f t="shared" si="4"/>
        <v>0</v>
      </c>
      <c r="N126" s="18">
        <f t="shared" si="5"/>
        <v>0</v>
      </c>
      <c r="O126" s="20"/>
    </row>
    <row r="127" spans="1:15">
      <c r="A127" s="7" t="s">
        <v>265</v>
      </c>
      <c r="B127" s="7" t="s">
        <v>267</v>
      </c>
      <c r="C127" s="7" t="s">
        <v>313</v>
      </c>
      <c r="D127" s="7" t="s">
        <v>329</v>
      </c>
      <c r="E127" s="7" t="s">
        <v>72</v>
      </c>
      <c r="F127" s="7" t="s">
        <v>95</v>
      </c>
      <c r="G127" s="7" t="s">
        <v>95</v>
      </c>
      <c r="H127" s="7" t="s">
        <v>331</v>
      </c>
      <c r="I127" s="13">
        <v>850000</v>
      </c>
      <c r="J127" s="13">
        <v>160000</v>
      </c>
      <c r="K127" s="13">
        <v>160000</v>
      </c>
      <c r="L127" s="14">
        <f t="shared" si="3"/>
        <v>690000</v>
      </c>
      <c r="M127" s="14">
        <f t="shared" si="4"/>
        <v>0</v>
      </c>
      <c r="N127" s="18">
        <f t="shared" si="5"/>
        <v>0.18823529411764706</v>
      </c>
      <c r="O127" s="20"/>
    </row>
    <row r="128" spans="1:15">
      <c r="A128" s="7" t="s">
        <v>265</v>
      </c>
      <c r="B128" s="7" t="s">
        <v>267</v>
      </c>
      <c r="C128" s="7" t="s">
        <v>333</v>
      </c>
      <c r="D128" s="7" t="s">
        <v>335</v>
      </c>
      <c r="E128" s="7" t="s">
        <v>131</v>
      </c>
      <c r="F128" s="7" t="s">
        <v>133</v>
      </c>
      <c r="G128" s="7" t="s">
        <v>135</v>
      </c>
      <c r="H128" s="7" t="s">
        <v>336</v>
      </c>
      <c r="I128" s="13">
        <v>10780000</v>
      </c>
      <c r="J128" s="13">
        <v>6930000</v>
      </c>
      <c r="K128" s="13">
        <v>6930000</v>
      </c>
      <c r="L128" s="14">
        <f t="shared" si="3"/>
        <v>3850000</v>
      </c>
      <c r="M128" s="14">
        <f t="shared" si="4"/>
        <v>0</v>
      </c>
      <c r="N128" s="18">
        <f t="shared" si="5"/>
        <v>0.6428571428571429</v>
      </c>
      <c r="O128" s="20"/>
    </row>
    <row r="129" spans="1:15">
      <c r="A129" s="7" t="s">
        <v>265</v>
      </c>
      <c r="B129" s="7" t="s">
        <v>267</v>
      </c>
      <c r="C129" s="7" t="s">
        <v>333</v>
      </c>
      <c r="D129" s="7" t="s">
        <v>335</v>
      </c>
      <c r="E129" s="7" t="s">
        <v>72</v>
      </c>
      <c r="F129" s="7" t="s">
        <v>95</v>
      </c>
      <c r="G129" s="7" t="s">
        <v>95</v>
      </c>
      <c r="H129" s="7" t="s">
        <v>337</v>
      </c>
      <c r="I129" s="13">
        <v>6800000</v>
      </c>
      <c r="J129" s="13">
        <v>4928950</v>
      </c>
      <c r="K129" s="13">
        <v>4928950</v>
      </c>
      <c r="L129" s="14">
        <f t="shared" si="3"/>
        <v>1871050</v>
      </c>
      <c r="M129" s="14">
        <f t="shared" si="4"/>
        <v>0</v>
      </c>
      <c r="N129" s="18">
        <f t="shared" si="5"/>
        <v>0.7248455882352941</v>
      </c>
      <c r="O129" s="20"/>
    </row>
    <row r="130" spans="1:15">
      <c r="A130" s="7" t="s">
        <v>265</v>
      </c>
      <c r="B130" s="7" t="s">
        <v>267</v>
      </c>
      <c r="C130" s="7" t="s">
        <v>333</v>
      </c>
      <c r="D130" s="7" t="s">
        <v>335</v>
      </c>
      <c r="E130" s="7" t="s">
        <v>87</v>
      </c>
      <c r="F130" s="7" t="s">
        <v>89</v>
      </c>
      <c r="G130" s="7" t="s">
        <v>89</v>
      </c>
      <c r="H130" s="7" t="s">
        <v>338</v>
      </c>
      <c r="I130" s="13">
        <v>420000</v>
      </c>
      <c r="J130" s="13">
        <v>120000</v>
      </c>
      <c r="K130" s="13">
        <v>120000</v>
      </c>
      <c r="L130" s="14">
        <f t="shared" si="3"/>
        <v>300000</v>
      </c>
      <c r="M130" s="14">
        <f t="shared" si="4"/>
        <v>0</v>
      </c>
      <c r="N130" s="18">
        <f t="shared" si="5"/>
        <v>0.2857142857142857</v>
      </c>
      <c r="O130" s="20"/>
    </row>
    <row r="131" spans="1:15">
      <c r="A131" s="7" t="s">
        <v>265</v>
      </c>
      <c r="B131" s="7" t="s">
        <v>267</v>
      </c>
      <c r="C131" s="7" t="s">
        <v>333</v>
      </c>
      <c r="D131" s="7" t="s">
        <v>339</v>
      </c>
      <c r="E131" s="7" t="s">
        <v>72</v>
      </c>
      <c r="F131" s="7" t="s">
        <v>74</v>
      </c>
      <c r="G131" s="7" t="s">
        <v>79</v>
      </c>
      <c r="H131" s="7" t="s">
        <v>340</v>
      </c>
      <c r="I131" s="13">
        <v>3150000</v>
      </c>
      <c r="J131" s="13">
        <v>3150000</v>
      </c>
      <c r="K131" s="13">
        <v>3150000</v>
      </c>
      <c r="L131" s="14">
        <f t="shared" si="3"/>
        <v>0</v>
      </c>
      <c r="M131" s="14">
        <f t="shared" si="4"/>
        <v>0</v>
      </c>
      <c r="N131" s="18">
        <f t="shared" si="5"/>
        <v>1</v>
      </c>
      <c r="O131" s="20"/>
    </row>
    <row r="132" spans="1:15">
      <c r="A132" s="7" t="s">
        <v>265</v>
      </c>
      <c r="B132" s="7" t="s">
        <v>267</v>
      </c>
      <c r="C132" s="7" t="s">
        <v>333</v>
      </c>
      <c r="D132" s="7" t="s">
        <v>339</v>
      </c>
      <c r="E132" s="7" t="s">
        <v>72</v>
      </c>
      <c r="F132" s="7" t="s">
        <v>95</v>
      </c>
      <c r="G132" s="7" t="s">
        <v>95</v>
      </c>
      <c r="H132" s="7" t="s">
        <v>341</v>
      </c>
      <c r="I132" s="13">
        <v>4550000</v>
      </c>
      <c r="J132" s="13">
        <v>1052800</v>
      </c>
      <c r="K132" s="13">
        <v>1052800</v>
      </c>
      <c r="L132" s="14">
        <f t="shared" ref="L132:L195" si="6">I132-J132</f>
        <v>3497200</v>
      </c>
      <c r="M132" s="14">
        <f t="shared" ref="M132:M195" si="7">J132-K132</f>
        <v>0</v>
      </c>
      <c r="N132" s="18">
        <f t="shared" ref="N132:N195" si="8">IFERROR(J132/I132,0)</f>
        <v>0.23138461538461538</v>
      </c>
      <c r="O132" s="20"/>
    </row>
    <row r="133" spans="1:15">
      <c r="A133" s="7" t="s">
        <v>265</v>
      </c>
      <c r="B133" s="7" t="s">
        <v>267</v>
      </c>
      <c r="C133" s="7" t="s">
        <v>333</v>
      </c>
      <c r="D133" s="7" t="s">
        <v>342</v>
      </c>
      <c r="E133" s="7" t="s">
        <v>72</v>
      </c>
      <c r="F133" s="7" t="s">
        <v>95</v>
      </c>
      <c r="G133" s="7" t="s">
        <v>95</v>
      </c>
      <c r="H133" s="7" t="s">
        <v>343</v>
      </c>
      <c r="I133" s="13">
        <v>3000000</v>
      </c>
      <c r="J133" s="13">
        <v>0</v>
      </c>
      <c r="K133" s="13">
        <v>0</v>
      </c>
      <c r="L133" s="14">
        <f t="shared" si="6"/>
        <v>3000000</v>
      </c>
      <c r="M133" s="14">
        <f t="shared" si="7"/>
        <v>0</v>
      </c>
      <c r="N133" s="18">
        <f t="shared" si="8"/>
        <v>0</v>
      </c>
      <c r="O133" s="20"/>
    </row>
    <row r="134" spans="1:15">
      <c r="A134" s="7" t="s">
        <v>265</v>
      </c>
      <c r="B134" s="7" t="s">
        <v>267</v>
      </c>
      <c r="C134" s="7" t="s">
        <v>345</v>
      </c>
      <c r="D134" s="7" t="s">
        <v>346</v>
      </c>
      <c r="E134" s="7" t="s">
        <v>131</v>
      </c>
      <c r="F134" s="7" t="s">
        <v>133</v>
      </c>
      <c r="G134" s="7" t="s">
        <v>135</v>
      </c>
      <c r="H134" s="7" t="s">
        <v>347</v>
      </c>
      <c r="I134" s="13">
        <v>12000000</v>
      </c>
      <c r="J134" s="13">
        <v>12000000</v>
      </c>
      <c r="K134" s="13">
        <v>12000000</v>
      </c>
      <c r="L134" s="14">
        <f t="shared" si="6"/>
        <v>0</v>
      </c>
      <c r="M134" s="14">
        <f t="shared" si="7"/>
        <v>0</v>
      </c>
      <c r="N134" s="18">
        <f t="shared" si="8"/>
        <v>1</v>
      </c>
      <c r="O134" s="20"/>
    </row>
    <row r="135" spans="1:15">
      <c r="A135" s="7" t="s">
        <v>265</v>
      </c>
      <c r="B135" s="7" t="s">
        <v>267</v>
      </c>
      <c r="C135" s="7" t="s">
        <v>345</v>
      </c>
      <c r="D135" s="7" t="s">
        <v>346</v>
      </c>
      <c r="E135" s="7" t="s">
        <v>72</v>
      </c>
      <c r="F135" s="7" t="s">
        <v>74</v>
      </c>
      <c r="G135" s="7" t="s">
        <v>76</v>
      </c>
      <c r="H135" s="7" t="s">
        <v>348</v>
      </c>
      <c r="I135" s="13">
        <v>3500000</v>
      </c>
      <c r="J135" s="13">
        <v>3500000</v>
      </c>
      <c r="K135" s="13">
        <v>3500000</v>
      </c>
      <c r="L135" s="14">
        <f t="shared" si="6"/>
        <v>0</v>
      </c>
      <c r="M135" s="14">
        <f t="shared" si="7"/>
        <v>0</v>
      </c>
      <c r="N135" s="18">
        <f t="shared" si="8"/>
        <v>1</v>
      </c>
      <c r="O135" s="20"/>
    </row>
    <row r="136" spans="1:15">
      <c r="A136" s="7" t="s">
        <v>265</v>
      </c>
      <c r="B136" s="7" t="s">
        <v>267</v>
      </c>
      <c r="C136" s="7" t="s">
        <v>345</v>
      </c>
      <c r="D136" s="7" t="s">
        <v>346</v>
      </c>
      <c r="E136" s="7" t="s">
        <v>72</v>
      </c>
      <c r="F136" s="7" t="s">
        <v>124</v>
      </c>
      <c r="G136" s="7" t="s">
        <v>138</v>
      </c>
      <c r="H136" s="7" t="s">
        <v>349</v>
      </c>
      <c r="I136" s="13">
        <v>1600000</v>
      </c>
      <c r="J136" s="13">
        <v>1180560</v>
      </c>
      <c r="K136" s="13">
        <v>1180560</v>
      </c>
      <c r="L136" s="14">
        <f t="shared" si="6"/>
        <v>419440</v>
      </c>
      <c r="M136" s="14">
        <f t="shared" si="7"/>
        <v>0</v>
      </c>
      <c r="N136" s="18">
        <f t="shared" si="8"/>
        <v>0.73785000000000001</v>
      </c>
      <c r="O136" s="20"/>
    </row>
    <row r="137" spans="1:15">
      <c r="A137" s="7" t="s">
        <v>265</v>
      </c>
      <c r="B137" s="7" t="s">
        <v>267</v>
      </c>
      <c r="C137" s="7" t="s">
        <v>345</v>
      </c>
      <c r="D137" s="7" t="s">
        <v>350</v>
      </c>
      <c r="E137" s="7" t="s">
        <v>72</v>
      </c>
      <c r="F137" s="7" t="s">
        <v>74</v>
      </c>
      <c r="G137" s="7" t="s">
        <v>79</v>
      </c>
      <c r="H137" s="7" t="s">
        <v>351</v>
      </c>
      <c r="I137" s="13">
        <v>1000000</v>
      </c>
      <c r="J137" s="13">
        <v>0</v>
      </c>
      <c r="K137" s="13">
        <v>0</v>
      </c>
      <c r="L137" s="14">
        <f t="shared" si="6"/>
        <v>1000000</v>
      </c>
      <c r="M137" s="14">
        <f t="shared" si="7"/>
        <v>0</v>
      </c>
      <c r="N137" s="18">
        <f t="shared" si="8"/>
        <v>0</v>
      </c>
      <c r="O137" s="20"/>
    </row>
    <row r="138" spans="1:15">
      <c r="A138" s="7" t="s">
        <v>265</v>
      </c>
      <c r="B138" s="7" t="s">
        <v>267</v>
      </c>
      <c r="C138" s="7" t="s">
        <v>345</v>
      </c>
      <c r="D138" s="7" t="s">
        <v>350</v>
      </c>
      <c r="E138" s="7" t="s">
        <v>72</v>
      </c>
      <c r="F138" s="7" t="s">
        <v>95</v>
      </c>
      <c r="G138" s="7" t="s">
        <v>95</v>
      </c>
      <c r="H138" s="7" t="s">
        <v>352</v>
      </c>
      <c r="I138" s="13">
        <v>800000</v>
      </c>
      <c r="J138" s="13">
        <v>529410</v>
      </c>
      <c r="K138" s="13">
        <v>0</v>
      </c>
      <c r="L138" s="14">
        <f t="shared" si="6"/>
        <v>270590</v>
      </c>
      <c r="M138" s="14">
        <f t="shared" si="7"/>
        <v>529410</v>
      </c>
      <c r="N138" s="18">
        <f t="shared" si="8"/>
        <v>0.66176250000000003</v>
      </c>
      <c r="O138" s="20"/>
    </row>
    <row r="139" spans="1:15">
      <c r="A139" s="7" t="s">
        <v>265</v>
      </c>
      <c r="B139" s="7" t="s">
        <v>267</v>
      </c>
      <c r="C139" s="7" t="s">
        <v>345</v>
      </c>
      <c r="D139" s="7" t="s">
        <v>353</v>
      </c>
      <c r="E139" s="7" t="s">
        <v>72</v>
      </c>
      <c r="F139" s="7" t="s">
        <v>95</v>
      </c>
      <c r="G139" s="7" t="s">
        <v>95</v>
      </c>
      <c r="H139" s="7" t="s">
        <v>354</v>
      </c>
      <c r="I139" s="13">
        <v>2200000</v>
      </c>
      <c r="J139" s="13">
        <v>1900000</v>
      </c>
      <c r="K139" s="13">
        <v>1900000</v>
      </c>
      <c r="L139" s="14">
        <f t="shared" si="6"/>
        <v>300000</v>
      </c>
      <c r="M139" s="14">
        <f t="shared" si="7"/>
        <v>0</v>
      </c>
      <c r="N139" s="18">
        <f t="shared" si="8"/>
        <v>0.86363636363636365</v>
      </c>
      <c r="O139" s="20"/>
    </row>
    <row r="140" spans="1:15">
      <c r="A140" s="7" t="s">
        <v>265</v>
      </c>
      <c r="B140" s="7" t="s">
        <v>267</v>
      </c>
      <c r="C140" s="7" t="s">
        <v>345</v>
      </c>
      <c r="D140" s="7" t="s">
        <v>353</v>
      </c>
      <c r="E140" s="7" t="s">
        <v>72</v>
      </c>
      <c r="F140" s="7" t="s">
        <v>95</v>
      </c>
      <c r="G140" s="7" t="s">
        <v>95</v>
      </c>
      <c r="H140" s="7" t="s">
        <v>355</v>
      </c>
      <c r="I140" s="13">
        <v>5000000</v>
      </c>
      <c r="J140" s="13">
        <v>2500000</v>
      </c>
      <c r="K140" s="13">
        <v>0</v>
      </c>
      <c r="L140" s="14">
        <f t="shared" si="6"/>
        <v>2500000</v>
      </c>
      <c r="M140" s="14">
        <f t="shared" si="7"/>
        <v>2500000</v>
      </c>
      <c r="N140" s="18">
        <f t="shared" si="8"/>
        <v>0.5</v>
      </c>
      <c r="O140" s="20"/>
    </row>
    <row r="141" spans="1:15">
      <c r="A141" s="7" t="s">
        <v>265</v>
      </c>
      <c r="B141" s="7" t="s">
        <v>267</v>
      </c>
      <c r="C141" s="7" t="s">
        <v>345</v>
      </c>
      <c r="D141" s="7" t="s">
        <v>356</v>
      </c>
      <c r="E141" s="7" t="s">
        <v>72</v>
      </c>
      <c r="F141" s="7" t="s">
        <v>95</v>
      </c>
      <c r="G141" s="7" t="s">
        <v>95</v>
      </c>
      <c r="H141" s="7" t="s">
        <v>357</v>
      </c>
      <c r="I141" s="13">
        <v>1000000</v>
      </c>
      <c r="J141" s="13">
        <v>1000000</v>
      </c>
      <c r="K141" s="13">
        <v>0</v>
      </c>
      <c r="L141" s="14">
        <f t="shared" si="6"/>
        <v>0</v>
      </c>
      <c r="M141" s="14">
        <f t="shared" si="7"/>
        <v>1000000</v>
      </c>
      <c r="N141" s="18">
        <f t="shared" si="8"/>
        <v>1</v>
      </c>
      <c r="O141" s="20"/>
    </row>
    <row r="142" spans="1:15">
      <c r="A142" s="7" t="s">
        <v>265</v>
      </c>
      <c r="B142" s="7" t="s">
        <v>267</v>
      </c>
      <c r="C142" s="7" t="s">
        <v>345</v>
      </c>
      <c r="D142" s="7" t="s">
        <v>356</v>
      </c>
      <c r="E142" s="7" t="s">
        <v>72</v>
      </c>
      <c r="F142" s="7" t="s">
        <v>95</v>
      </c>
      <c r="G142" s="7" t="s">
        <v>95</v>
      </c>
      <c r="H142" s="7" t="s">
        <v>358</v>
      </c>
      <c r="I142" s="13">
        <v>2000000</v>
      </c>
      <c r="J142" s="13">
        <v>0</v>
      </c>
      <c r="K142" s="13">
        <v>0</v>
      </c>
      <c r="L142" s="14">
        <f t="shared" si="6"/>
        <v>2000000</v>
      </c>
      <c r="M142" s="14">
        <f t="shared" si="7"/>
        <v>0</v>
      </c>
      <c r="N142" s="18">
        <f t="shared" si="8"/>
        <v>0</v>
      </c>
      <c r="O142" s="20"/>
    </row>
    <row r="143" spans="1:15">
      <c r="A143" s="7" t="s">
        <v>265</v>
      </c>
      <c r="B143" s="7" t="s">
        <v>267</v>
      </c>
      <c r="C143" s="7" t="s">
        <v>360</v>
      </c>
      <c r="D143" s="7" t="s">
        <v>306</v>
      </c>
      <c r="E143" s="7" t="s">
        <v>72</v>
      </c>
      <c r="F143" s="7" t="s">
        <v>95</v>
      </c>
      <c r="G143" s="7" t="s">
        <v>95</v>
      </c>
      <c r="H143" s="7" t="s">
        <v>361</v>
      </c>
      <c r="I143" s="13">
        <v>1000000</v>
      </c>
      <c r="J143" s="13">
        <v>0</v>
      </c>
      <c r="K143" s="13">
        <v>0</v>
      </c>
      <c r="L143" s="14">
        <f t="shared" si="6"/>
        <v>1000000</v>
      </c>
      <c r="M143" s="14">
        <f t="shared" si="7"/>
        <v>0</v>
      </c>
      <c r="N143" s="18">
        <f t="shared" si="8"/>
        <v>0</v>
      </c>
      <c r="O143" s="20"/>
    </row>
    <row r="144" spans="1:15">
      <c r="A144" s="7" t="s">
        <v>265</v>
      </c>
      <c r="B144" s="7" t="s">
        <v>267</v>
      </c>
      <c r="C144" s="7" t="s">
        <v>360</v>
      </c>
      <c r="D144" s="7" t="s">
        <v>306</v>
      </c>
      <c r="E144" s="7" t="s">
        <v>72</v>
      </c>
      <c r="F144" s="7" t="s">
        <v>95</v>
      </c>
      <c r="G144" s="7" t="s">
        <v>95</v>
      </c>
      <c r="H144" s="7" t="s">
        <v>362</v>
      </c>
      <c r="I144" s="13">
        <v>800000</v>
      </c>
      <c r="J144" s="13">
        <v>0</v>
      </c>
      <c r="K144" s="13">
        <v>0</v>
      </c>
      <c r="L144" s="14">
        <f t="shared" si="6"/>
        <v>800000</v>
      </c>
      <c r="M144" s="14">
        <f t="shared" si="7"/>
        <v>0</v>
      </c>
      <c r="N144" s="18">
        <f t="shared" si="8"/>
        <v>0</v>
      </c>
      <c r="O144" s="20"/>
    </row>
    <row r="145" spans="1:15">
      <c r="A145" s="7" t="s">
        <v>265</v>
      </c>
      <c r="B145" s="7" t="s">
        <v>267</v>
      </c>
      <c r="C145" s="7" t="s">
        <v>364</v>
      </c>
      <c r="D145" s="7" t="s">
        <v>306</v>
      </c>
      <c r="E145" s="7" t="s">
        <v>72</v>
      </c>
      <c r="F145" s="7" t="s">
        <v>95</v>
      </c>
      <c r="G145" s="7" t="s">
        <v>95</v>
      </c>
      <c r="H145" s="7" t="s">
        <v>365</v>
      </c>
      <c r="I145" s="13">
        <v>1000000</v>
      </c>
      <c r="J145" s="13">
        <v>105000</v>
      </c>
      <c r="K145" s="13">
        <v>105000</v>
      </c>
      <c r="L145" s="14">
        <f t="shared" si="6"/>
        <v>895000</v>
      </c>
      <c r="M145" s="14">
        <f t="shared" si="7"/>
        <v>0</v>
      </c>
      <c r="N145" s="18">
        <f t="shared" si="8"/>
        <v>0.105</v>
      </c>
      <c r="O145" s="20"/>
    </row>
    <row r="146" spans="1:15">
      <c r="A146" s="7" t="s">
        <v>265</v>
      </c>
      <c r="B146" s="7" t="s">
        <v>267</v>
      </c>
      <c r="C146" s="7" t="s">
        <v>364</v>
      </c>
      <c r="D146" s="7" t="s">
        <v>306</v>
      </c>
      <c r="E146" s="7" t="s">
        <v>72</v>
      </c>
      <c r="F146" s="7" t="s">
        <v>95</v>
      </c>
      <c r="G146" s="7" t="s">
        <v>95</v>
      </c>
      <c r="H146" s="7" t="s">
        <v>366</v>
      </c>
      <c r="I146" s="13">
        <v>1000000</v>
      </c>
      <c r="J146" s="13">
        <v>43600</v>
      </c>
      <c r="K146" s="13">
        <v>43600</v>
      </c>
      <c r="L146" s="14">
        <f t="shared" si="6"/>
        <v>956400</v>
      </c>
      <c r="M146" s="14">
        <f t="shared" si="7"/>
        <v>0</v>
      </c>
      <c r="N146" s="18">
        <f t="shared" si="8"/>
        <v>4.36E-2</v>
      </c>
      <c r="O146" s="20"/>
    </row>
    <row r="147" spans="1:15">
      <c r="A147" s="7" t="s">
        <v>265</v>
      </c>
      <c r="B147" s="7" t="s">
        <v>267</v>
      </c>
      <c r="C147" s="7" t="s">
        <v>364</v>
      </c>
      <c r="D147" s="7" t="s">
        <v>306</v>
      </c>
      <c r="E147" s="7" t="s">
        <v>87</v>
      </c>
      <c r="F147" s="7" t="s">
        <v>89</v>
      </c>
      <c r="G147" s="7" t="s">
        <v>89</v>
      </c>
      <c r="H147" s="7" t="s">
        <v>367</v>
      </c>
      <c r="I147" s="13">
        <v>300000</v>
      </c>
      <c r="J147" s="13">
        <v>146000</v>
      </c>
      <c r="K147" s="13">
        <v>146000</v>
      </c>
      <c r="L147" s="14">
        <f t="shared" si="6"/>
        <v>154000</v>
      </c>
      <c r="M147" s="14">
        <f t="shared" si="7"/>
        <v>0</v>
      </c>
      <c r="N147" s="18">
        <f t="shared" si="8"/>
        <v>0.48666666666666669</v>
      </c>
      <c r="O147" s="20"/>
    </row>
    <row r="148" spans="1:15">
      <c r="A148" s="7" t="s">
        <v>265</v>
      </c>
      <c r="B148" s="7" t="s">
        <v>267</v>
      </c>
      <c r="C148" s="7" t="s">
        <v>364</v>
      </c>
      <c r="D148" s="7" t="s">
        <v>306</v>
      </c>
      <c r="E148" s="7" t="s">
        <v>192</v>
      </c>
      <c r="F148" s="7" t="s">
        <v>192</v>
      </c>
      <c r="G148" s="7" t="s">
        <v>192</v>
      </c>
      <c r="H148" s="7" t="s">
        <v>368</v>
      </c>
      <c r="I148" s="13">
        <v>700000</v>
      </c>
      <c r="J148" s="13">
        <v>0</v>
      </c>
      <c r="K148" s="13">
        <v>0</v>
      </c>
      <c r="L148" s="14">
        <f t="shared" si="6"/>
        <v>700000</v>
      </c>
      <c r="M148" s="14">
        <f t="shared" si="7"/>
        <v>0</v>
      </c>
      <c r="N148" s="18">
        <f t="shared" si="8"/>
        <v>0</v>
      </c>
      <c r="O148" s="20"/>
    </row>
    <row r="149" spans="1:15">
      <c r="A149" s="7" t="s">
        <v>265</v>
      </c>
      <c r="B149" s="7" t="s">
        <v>267</v>
      </c>
      <c r="C149" s="7" t="s">
        <v>364</v>
      </c>
      <c r="D149" s="7" t="s">
        <v>270</v>
      </c>
      <c r="E149" s="7" t="s">
        <v>72</v>
      </c>
      <c r="F149" s="7" t="s">
        <v>95</v>
      </c>
      <c r="G149" s="7" t="s">
        <v>95</v>
      </c>
      <c r="H149" s="7" t="s">
        <v>369</v>
      </c>
      <c r="I149" s="13">
        <v>1000000</v>
      </c>
      <c r="J149" s="13">
        <v>569510</v>
      </c>
      <c r="K149" s="13">
        <v>416110</v>
      </c>
      <c r="L149" s="14">
        <f t="shared" si="6"/>
        <v>430490</v>
      </c>
      <c r="M149" s="14">
        <f t="shared" si="7"/>
        <v>153400</v>
      </c>
      <c r="N149" s="18">
        <f t="shared" si="8"/>
        <v>0.56950999999999996</v>
      </c>
      <c r="O149" s="20"/>
    </row>
    <row r="150" spans="1:15">
      <c r="A150" s="7" t="s">
        <v>265</v>
      </c>
      <c r="B150" s="7" t="s">
        <v>267</v>
      </c>
      <c r="C150" s="7" t="s">
        <v>364</v>
      </c>
      <c r="D150" s="7" t="s">
        <v>270</v>
      </c>
      <c r="E150" s="7" t="s">
        <v>72</v>
      </c>
      <c r="F150" s="7" t="s">
        <v>95</v>
      </c>
      <c r="G150" s="7" t="s">
        <v>95</v>
      </c>
      <c r="H150" s="7" t="s">
        <v>370</v>
      </c>
      <c r="I150" s="13">
        <v>2000000</v>
      </c>
      <c r="J150" s="13">
        <v>1055590</v>
      </c>
      <c r="K150" s="13">
        <v>1008690</v>
      </c>
      <c r="L150" s="14">
        <f t="shared" si="6"/>
        <v>944410</v>
      </c>
      <c r="M150" s="14">
        <f t="shared" si="7"/>
        <v>46900</v>
      </c>
      <c r="N150" s="18">
        <f t="shared" si="8"/>
        <v>0.52779500000000001</v>
      </c>
      <c r="O150" s="20"/>
    </row>
    <row r="151" spans="1:15">
      <c r="A151" s="7" t="s">
        <v>265</v>
      </c>
      <c r="B151" s="7" t="s">
        <v>267</v>
      </c>
      <c r="C151" s="7" t="s">
        <v>364</v>
      </c>
      <c r="D151" s="7" t="s">
        <v>371</v>
      </c>
      <c r="E151" s="7" t="s">
        <v>72</v>
      </c>
      <c r="F151" s="7" t="s">
        <v>95</v>
      </c>
      <c r="G151" s="7" t="s">
        <v>95</v>
      </c>
      <c r="H151" s="7" t="s">
        <v>372</v>
      </c>
      <c r="I151" s="13">
        <v>4400000</v>
      </c>
      <c r="J151" s="13">
        <v>2200000</v>
      </c>
      <c r="K151" s="13">
        <v>2200000</v>
      </c>
      <c r="L151" s="14">
        <f t="shared" si="6"/>
        <v>2200000</v>
      </c>
      <c r="M151" s="14">
        <f t="shared" si="7"/>
        <v>0</v>
      </c>
      <c r="N151" s="18">
        <f t="shared" si="8"/>
        <v>0.5</v>
      </c>
      <c r="O151" s="20"/>
    </row>
    <row r="152" spans="1:15">
      <c r="A152" s="7" t="s">
        <v>265</v>
      </c>
      <c r="B152" s="7" t="s">
        <v>267</v>
      </c>
      <c r="C152" s="7" t="s">
        <v>364</v>
      </c>
      <c r="D152" s="7" t="s">
        <v>371</v>
      </c>
      <c r="E152" s="7" t="s">
        <v>72</v>
      </c>
      <c r="F152" s="7" t="s">
        <v>95</v>
      </c>
      <c r="G152" s="7" t="s">
        <v>95</v>
      </c>
      <c r="H152" s="7" t="s">
        <v>373</v>
      </c>
      <c r="I152" s="13">
        <v>1284000</v>
      </c>
      <c r="J152" s="13">
        <v>600000</v>
      </c>
      <c r="K152" s="13">
        <v>600000</v>
      </c>
      <c r="L152" s="14">
        <f t="shared" si="6"/>
        <v>684000</v>
      </c>
      <c r="M152" s="14">
        <f t="shared" si="7"/>
        <v>0</v>
      </c>
      <c r="N152" s="18">
        <f t="shared" si="8"/>
        <v>0.46728971962616822</v>
      </c>
      <c r="O152" s="20"/>
    </row>
    <row r="153" spans="1:15">
      <c r="A153" s="7" t="s">
        <v>265</v>
      </c>
      <c r="B153" s="7" t="s">
        <v>267</v>
      </c>
      <c r="C153" s="7" t="s">
        <v>364</v>
      </c>
      <c r="D153" s="7" t="s">
        <v>371</v>
      </c>
      <c r="E153" s="7" t="s">
        <v>72</v>
      </c>
      <c r="F153" s="7" t="s">
        <v>124</v>
      </c>
      <c r="G153" s="7" t="s">
        <v>138</v>
      </c>
      <c r="H153" s="7" t="s">
        <v>374</v>
      </c>
      <c r="I153" s="13">
        <v>100000</v>
      </c>
      <c r="J153" s="13">
        <v>0</v>
      </c>
      <c r="K153" s="13">
        <v>0</v>
      </c>
      <c r="L153" s="14">
        <f t="shared" si="6"/>
        <v>100000</v>
      </c>
      <c r="M153" s="14">
        <f t="shared" si="7"/>
        <v>0</v>
      </c>
      <c r="N153" s="18">
        <f t="shared" si="8"/>
        <v>0</v>
      </c>
      <c r="O153" s="20"/>
    </row>
    <row r="154" spans="1:15">
      <c r="A154" s="7" t="s">
        <v>265</v>
      </c>
      <c r="B154" s="7" t="s">
        <v>267</v>
      </c>
      <c r="C154" s="7" t="s">
        <v>376</v>
      </c>
      <c r="D154" s="7" t="s">
        <v>377</v>
      </c>
      <c r="E154" s="7" t="s">
        <v>72</v>
      </c>
      <c r="F154" s="7" t="s">
        <v>95</v>
      </c>
      <c r="G154" s="7" t="s">
        <v>95</v>
      </c>
      <c r="H154" s="7" t="s">
        <v>378</v>
      </c>
      <c r="I154" s="13">
        <v>300000</v>
      </c>
      <c r="J154" s="13">
        <v>0</v>
      </c>
      <c r="K154" s="13">
        <v>0</v>
      </c>
      <c r="L154" s="14">
        <f t="shared" si="6"/>
        <v>300000</v>
      </c>
      <c r="M154" s="14">
        <f t="shared" si="7"/>
        <v>0</v>
      </c>
      <c r="N154" s="18">
        <f t="shared" si="8"/>
        <v>0</v>
      </c>
      <c r="O154" s="20"/>
    </row>
    <row r="155" spans="1:15">
      <c r="A155" s="7" t="s">
        <v>265</v>
      </c>
      <c r="B155" s="7" t="s">
        <v>267</v>
      </c>
      <c r="C155" s="7" t="s">
        <v>376</v>
      </c>
      <c r="D155" s="7" t="s">
        <v>377</v>
      </c>
      <c r="E155" s="7" t="s">
        <v>72</v>
      </c>
      <c r="F155" s="7" t="s">
        <v>95</v>
      </c>
      <c r="G155" s="7" t="s">
        <v>95</v>
      </c>
      <c r="H155" s="7" t="s">
        <v>379</v>
      </c>
      <c r="I155" s="13">
        <v>400000</v>
      </c>
      <c r="J155" s="13">
        <v>0</v>
      </c>
      <c r="K155" s="13">
        <v>0</v>
      </c>
      <c r="L155" s="14">
        <f t="shared" si="6"/>
        <v>400000</v>
      </c>
      <c r="M155" s="14">
        <f t="shared" si="7"/>
        <v>0</v>
      </c>
      <c r="N155" s="18">
        <f t="shared" si="8"/>
        <v>0</v>
      </c>
      <c r="O155" s="20"/>
    </row>
    <row r="156" spans="1:15">
      <c r="A156" s="7" t="s">
        <v>265</v>
      </c>
      <c r="B156" s="7" t="s">
        <v>267</v>
      </c>
      <c r="C156" s="7" t="s">
        <v>376</v>
      </c>
      <c r="D156" s="7" t="s">
        <v>377</v>
      </c>
      <c r="E156" s="7" t="s">
        <v>72</v>
      </c>
      <c r="F156" s="7" t="s">
        <v>95</v>
      </c>
      <c r="G156" s="7" t="s">
        <v>95</v>
      </c>
      <c r="H156" s="7" t="s">
        <v>380</v>
      </c>
      <c r="I156" s="13">
        <v>50000</v>
      </c>
      <c r="J156" s="13">
        <v>0</v>
      </c>
      <c r="K156" s="13">
        <v>0</v>
      </c>
      <c r="L156" s="14">
        <f t="shared" si="6"/>
        <v>50000</v>
      </c>
      <c r="M156" s="14">
        <f t="shared" si="7"/>
        <v>0</v>
      </c>
      <c r="N156" s="18">
        <f t="shared" si="8"/>
        <v>0</v>
      </c>
      <c r="O156" s="20"/>
    </row>
    <row r="157" spans="1:15">
      <c r="A157" s="7" t="s">
        <v>265</v>
      </c>
      <c r="B157" s="7" t="s">
        <v>267</v>
      </c>
      <c r="C157" s="7" t="s">
        <v>376</v>
      </c>
      <c r="D157" s="7" t="s">
        <v>377</v>
      </c>
      <c r="E157" s="7" t="s">
        <v>72</v>
      </c>
      <c r="F157" s="7" t="s">
        <v>95</v>
      </c>
      <c r="G157" s="7" t="s">
        <v>95</v>
      </c>
      <c r="H157" s="7" t="s">
        <v>381</v>
      </c>
      <c r="I157" s="13">
        <v>200000</v>
      </c>
      <c r="J157" s="13">
        <v>0</v>
      </c>
      <c r="K157" s="13">
        <v>0</v>
      </c>
      <c r="L157" s="14">
        <f t="shared" si="6"/>
        <v>200000</v>
      </c>
      <c r="M157" s="14">
        <f t="shared" si="7"/>
        <v>0</v>
      </c>
      <c r="N157" s="18">
        <f t="shared" si="8"/>
        <v>0</v>
      </c>
      <c r="O157" s="20"/>
    </row>
    <row r="158" spans="1:15">
      <c r="A158" s="7" t="s">
        <v>265</v>
      </c>
      <c r="B158" s="7" t="s">
        <v>267</v>
      </c>
      <c r="C158" s="7" t="s">
        <v>376</v>
      </c>
      <c r="D158" s="7" t="s">
        <v>377</v>
      </c>
      <c r="E158" s="7" t="s">
        <v>87</v>
      </c>
      <c r="F158" s="7" t="s">
        <v>89</v>
      </c>
      <c r="G158" s="7" t="s">
        <v>106</v>
      </c>
      <c r="H158" s="7" t="s">
        <v>382</v>
      </c>
      <c r="I158" s="13">
        <v>50000</v>
      </c>
      <c r="J158" s="13">
        <v>50000</v>
      </c>
      <c r="K158" s="13">
        <v>50000</v>
      </c>
      <c r="L158" s="14">
        <f t="shared" si="6"/>
        <v>0</v>
      </c>
      <c r="M158" s="14">
        <f t="shared" si="7"/>
        <v>0</v>
      </c>
      <c r="N158" s="18">
        <f t="shared" si="8"/>
        <v>1</v>
      </c>
      <c r="O158" s="20"/>
    </row>
    <row r="159" spans="1:15">
      <c r="A159" s="7" t="s">
        <v>265</v>
      </c>
      <c r="B159" s="7" t="s">
        <v>384</v>
      </c>
      <c r="C159" s="7" t="s">
        <v>386</v>
      </c>
      <c r="D159" s="7" t="s">
        <v>387</v>
      </c>
      <c r="E159" s="7" t="s">
        <v>72</v>
      </c>
      <c r="F159" s="7" t="s">
        <v>95</v>
      </c>
      <c r="G159" s="7" t="s">
        <v>95</v>
      </c>
      <c r="H159" s="7" t="s">
        <v>387</v>
      </c>
      <c r="I159" s="13">
        <v>10500000</v>
      </c>
      <c r="J159" s="13">
        <v>5341350</v>
      </c>
      <c r="K159" s="13">
        <v>5321350</v>
      </c>
      <c r="L159" s="14">
        <f t="shared" si="6"/>
        <v>5158650</v>
      </c>
      <c r="M159" s="14">
        <f t="shared" si="7"/>
        <v>20000</v>
      </c>
      <c r="N159" s="18">
        <f t="shared" si="8"/>
        <v>0.50870000000000004</v>
      </c>
      <c r="O159" s="20"/>
    </row>
    <row r="160" spans="1:15">
      <c r="A160" s="7" t="s">
        <v>265</v>
      </c>
      <c r="B160" s="7" t="s">
        <v>384</v>
      </c>
      <c r="C160" s="7" t="s">
        <v>389</v>
      </c>
      <c r="D160" s="7" t="s">
        <v>390</v>
      </c>
      <c r="E160" s="7" t="s">
        <v>72</v>
      </c>
      <c r="F160" s="7" t="s">
        <v>74</v>
      </c>
      <c r="G160" s="7" t="s">
        <v>79</v>
      </c>
      <c r="H160" s="7" t="s">
        <v>391</v>
      </c>
      <c r="I160" s="13">
        <v>1000000</v>
      </c>
      <c r="J160" s="13">
        <v>0</v>
      </c>
      <c r="K160" s="13">
        <v>0</v>
      </c>
      <c r="L160" s="14">
        <f t="shared" si="6"/>
        <v>1000000</v>
      </c>
      <c r="M160" s="14">
        <f t="shared" si="7"/>
        <v>0</v>
      </c>
      <c r="N160" s="18">
        <f t="shared" si="8"/>
        <v>0</v>
      </c>
      <c r="O160" s="20"/>
    </row>
    <row r="161" spans="1:15">
      <c r="A161" s="7" t="s">
        <v>265</v>
      </c>
      <c r="B161" s="7" t="s">
        <v>384</v>
      </c>
      <c r="C161" s="7" t="s">
        <v>389</v>
      </c>
      <c r="D161" s="7" t="s">
        <v>390</v>
      </c>
      <c r="E161" s="7" t="s">
        <v>72</v>
      </c>
      <c r="F161" s="7" t="s">
        <v>95</v>
      </c>
      <c r="G161" s="7" t="s">
        <v>95</v>
      </c>
      <c r="H161" s="7" t="s">
        <v>392</v>
      </c>
      <c r="I161" s="13">
        <v>1000000</v>
      </c>
      <c r="J161" s="13">
        <v>986280</v>
      </c>
      <c r="K161" s="13">
        <v>986280</v>
      </c>
      <c r="L161" s="14">
        <f t="shared" si="6"/>
        <v>13720</v>
      </c>
      <c r="M161" s="14">
        <f t="shared" si="7"/>
        <v>0</v>
      </c>
      <c r="N161" s="18">
        <f t="shared" si="8"/>
        <v>0.98628000000000005</v>
      </c>
      <c r="O161" s="20"/>
    </row>
    <row r="162" spans="1:15">
      <c r="A162" s="7" t="s">
        <v>265</v>
      </c>
      <c r="B162" s="7" t="s">
        <v>384</v>
      </c>
      <c r="C162" s="7" t="s">
        <v>394</v>
      </c>
      <c r="D162" s="7" t="s">
        <v>395</v>
      </c>
      <c r="E162" s="7" t="s">
        <v>72</v>
      </c>
      <c r="F162" s="7" t="s">
        <v>74</v>
      </c>
      <c r="G162" s="7" t="s">
        <v>79</v>
      </c>
      <c r="H162" s="7" t="s">
        <v>396</v>
      </c>
      <c r="I162" s="13">
        <v>6300000</v>
      </c>
      <c r="J162" s="13">
        <v>1925000</v>
      </c>
      <c r="K162" s="13">
        <v>1925000</v>
      </c>
      <c r="L162" s="14">
        <f t="shared" si="6"/>
        <v>4375000</v>
      </c>
      <c r="M162" s="14">
        <f t="shared" si="7"/>
        <v>0</v>
      </c>
      <c r="N162" s="18">
        <f t="shared" si="8"/>
        <v>0.30555555555555558</v>
      </c>
      <c r="O162" s="20"/>
    </row>
    <row r="163" spans="1:15">
      <c r="A163" s="7" t="s">
        <v>265</v>
      </c>
      <c r="B163" s="7" t="s">
        <v>384</v>
      </c>
      <c r="C163" s="7" t="s">
        <v>394</v>
      </c>
      <c r="D163" s="7" t="s">
        <v>395</v>
      </c>
      <c r="E163" s="7" t="s">
        <v>72</v>
      </c>
      <c r="F163" s="7" t="s">
        <v>74</v>
      </c>
      <c r="G163" s="7" t="s">
        <v>79</v>
      </c>
      <c r="H163" s="7" t="s">
        <v>397</v>
      </c>
      <c r="I163" s="13">
        <v>6300000</v>
      </c>
      <c r="J163" s="13">
        <v>1260000</v>
      </c>
      <c r="K163" s="13">
        <v>1260000</v>
      </c>
      <c r="L163" s="14">
        <f t="shared" si="6"/>
        <v>5040000</v>
      </c>
      <c r="M163" s="14">
        <f t="shared" si="7"/>
        <v>0</v>
      </c>
      <c r="N163" s="18">
        <f t="shared" si="8"/>
        <v>0.2</v>
      </c>
      <c r="O163" s="20"/>
    </row>
    <row r="164" spans="1:15">
      <c r="A164" s="7" t="s">
        <v>265</v>
      </c>
      <c r="B164" s="7" t="s">
        <v>384</v>
      </c>
      <c r="C164" s="7" t="s">
        <v>394</v>
      </c>
      <c r="D164" s="7" t="s">
        <v>395</v>
      </c>
      <c r="E164" s="7" t="s">
        <v>72</v>
      </c>
      <c r="F164" s="7" t="s">
        <v>74</v>
      </c>
      <c r="G164" s="7" t="s">
        <v>79</v>
      </c>
      <c r="H164" s="7" t="s">
        <v>398</v>
      </c>
      <c r="I164" s="13">
        <v>6300000</v>
      </c>
      <c r="J164" s="13">
        <v>1890000</v>
      </c>
      <c r="K164" s="13">
        <v>1890000</v>
      </c>
      <c r="L164" s="14">
        <f t="shared" si="6"/>
        <v>4410000</v>
      </c>
      <c r="M164" s="14">
        <f t="shared" si="7"/>
        <v>0</v>
      </c>
      <c r="N164" s="18">
        <f t="shared" si="8"/>
        <v>0.3</v>
      </c>
      <c r="O164" s="20"/>
    </row>
    <row r="165" spans="1:15">
      <c r="A165" s="7" t="s">
        <v>265</v>
      </c>
      <c r="B165" s="7" t="s">
        <v>384</v>
      </c>
      <c r="C165" s="7" t="s">
        <v>394</v>
      </c>
      <c r="D165" s="7" t="s">
        <v>395</v>
      </c>
      <c r="E165" s="7" t="s">
        <v>72</v>
      </c>
      <c r="F165" s="7" t="s">
        <v>95</v>
      </c>
      <c r="G165" s="7" t="s">
        <v>95</v>
      </c>
      <c r="H165" s="7" t="s">
        <v>399</v>
      </c>
      <c r="I165" s="13">
        <v>1100000</v>
      </c>
      <c r="J165" s="13">
        <v>0</v>
      </c>
      <c r="K165" s="13">
        <v>0</v>
      </c>
      <c r="L165" s="14">
        <f t="shared" si="6"/>
        <v>1100000</v>
      </c>
      <c r="M165" s="14">
        <f t="shared" si="7"/>
        <v>0</v>
      </c>
      <c r="N165" s="18">
        <f t="shared" si="8"/>
        <v>0</v>
      </c>
      <c r="O165" s="20"/>
    </row>
    <row r="166" spans="1:15">
      <c r="A166" s="7" t="s">
        <v>401</v>
      </c>
      <c r="B166" s="7" t="s">
        <v>403</v>
      </c>
      <c r="C166" s="7" t="s">
        <v>405</v>
      </c>
      <c r="D166" s="7" t="s">
        <v>406</v>
      </c>
      <c r="E166" s="7" t="s">
        <v>72</v>
      </c>
      <c r="F166" s="7" t="s">
        <v>74</v>
      </c>
      <c r="G166" s="7" t="s">
        <v>79</v>
      </c>
      <c r="H166" s="7" t="s">
        <v>407</v>
      </c>
      <c r="I166" s="13">
        <v>100000</v>
      </c>
      <c r="J166" s="13">
        <v>0</v>
      </c>
      <c r="K166" s="13">
        <v>0</v>
      </c>
      <c r="L166" s="14">
        <f t="shared" si="6"/>
        <v>100000</v>
      </c>
      <c r="M166" s="14">
        <f t="shared" si="7"/>
        <v>0</v>
      </c>
      <c r="N166" s="18">
        <f t="shared" si="8"/>
        <v>0</v>
      </c>
      <c r="O166" s="20"/>
    </row>
    <row r="167" spans="1:15">
      <c r="A167" s="7" t="s">
        <v>401</v>
      </c>
      <c r="B167" s="7" t="s">
        <v>403</v>
      </c>
      <c r="C167" s="7" t="s">
        <v>405</v>
      </c>
      <c r="D167" s="7" t="s">
        <v>406</v>
      </c>
      <c r="E167" s="7" t="s">
        <v>87</v>
      </c>
      <c r="F167" s="7" t="s">
        <v>89</v>
      </c>
      <c r="G167" s="7" t="s">
        <v>89</v>
      </c>
      <c r="H167" s="7" t="s">
        <v>408</v>
      </c>
      <c r="I167" s="13">
        <v>210000</v>
      </c>
      <c r="J167" s="13">
        <v>0</v>
      </c>
      <c r="K167" s="13">
        <v>0</v>
      </c>
      <c r="L167" s="14">
        <f t="shared" si="6"/>
        <v>210000</v>
      </c>
      <c r="M167" s="14">
        <f t="shared" si="7"/>
        <v>0</v>
      </c>
      <c r="N167" s="18">
        <f t="shared" si="8"/>
        <v>0</v>
      </c>
      <c r="O167" s="20"/>
    </row>
    <row r="168" spans="1:15">
      <c r="A168" s="7" t="s">
        <v>401</v>
      </c>
      <c r="B168" s="7" t="s">
        <v>403</v>
      </c>
      <c r="C168" s="7" t="s">
        <v>405</v>
      </c>
      <c r="D168" s="7" t="s">
        <v>409</v>
      </c>
      <c r="E168" s="7" t="s">
        <v>72</v>
      </c>
      <c r="F168" s="7" t="s">
        <v>95</v>
      </c>
      <c r="G168" s="7" t="s">
        <v>95</v>
      </c>
      <c r="H168" s="7" t="s">
        <v>410</v>
      </c>
      <c r="I168" s="13">
        <v>1375000</v>
      </c>
      <c r="J168" s="13">
        <v>1375000</v>
      </c>
      <c r="K168" s="13">
        <v>1375000</v>
      </c>
      <c r="L168" s="14">
        <f t="shared" si="6"/>
        <v>0</v>
      </c>
      <c r="M168" s="14">
        <f t="shared" si="7"/>
        <v>0</v>
      </c>
      <c r="N168" s="18">
        <f t="shared" si="8"/>
        <v>1</v>
      </c>
      <c r="O168" s="20"/>
    </row>
    <row r="169" spans="1:15">
      <c r="A169" s="7" t="s">
        <v>401</v>
      </c>
      <c r="B169" s="7" t="s">
        <v>403</v>
      </c>
      <c r="C169" s="7" t="s">
        <v>405</v>
      </c>
      <c r="D169" s="7" t="s">
        <v>409</v>
      </c>
      <c r="E169" s="7" t="s">
        <v>72</v>
      </c>
      <c r="F169" s="7" t="s">
        <v>95</v>
      </c>
      <c r="G169" s="7" t="s">
        <v>95</v>
      </c>
      <c r="H169" s="7" t="s">
        <v>411</v>
      </c>
      <c r="I169" s="13">
        <v>380000</v>
      </c>
      <c r="J169" s="13">
        <v>360000</v>
      </c>
      <c r="K169" s="13">
        <v>360000</v>
      </c>
      <c r="L169" s="14">
        <f t="shared" si="6"/>
        <v>20000</v>
      </c>
      <c r="M169" s="14">
        <f t="shared" si="7"/>
        <v>0</v>
      </c>
      <c r="N169" s="18">
        <f t="shared" si="8"/>
        <v>0.94736842105263153</v>
      </c>
      <c r="O169" s="20"/>
    </row>
    <row r="170" spans="1:15">
      <c r="A170" s="7" t="s">
        <v>401</v>
      </c>
      <c r="B170" s="7" t="s">
        <v>403</v>
      </c>
      <c r="C170" s="7" t="s">
        <v>405</v>
      </c>
      <c r="D170" s="7" t="s">
        <v>409</v>
      </c>
      <c r="E170" s="7" t="s">
        <v>72</v>
      </c>
      <c r="F170" s="7" t="s">
        <v>95</v>
      </c>
      <c r="G170" s="7" t="s">
        <v>95</v>
      </c>
      <c r="H170" s="7" t="s">
        <v>412</v>
      </c>
      <c r="I170" s="13">
        <v>720000</v>
      </c>
      <c r="J170" s="13">
        <v>480000</v>
      </c>
      <c r="K170" s="13">
        <v>480000</v>
      </c>
      <c r="L170" s="14">
        <f t="shared" si="6"/>
        <v>240000</v>
      </c>
      <c r="M170" s="14">
        <f t="shared" si="7"/>
        <v>0</v>
      </c>
      <c r="N170" s="18">
        <f t="shared" si="8"/>
        <v>0.66666666666666663</v>
      </c>
      <c r="O170" s="20"/>
    </row>
    <row r="171" spans="1:15">
      <c r="A171" s="7" t="s">
        <v>401</v>
      </c>
      <c r="B171" s="7" t="s">
        <v>403</v>
      </c>
      <c r="C171" s="7" t="s">
        <v>405</v>
      </c>
      <c r="D171" s="7" t="s">
        <v>409</v>
      </c>
      <c r="E171" s="7" t="s">
        <v>72</v>
      </c>
      <c r="F171" s="7" t="s">
        <v>95</v>
      </c>
      <c r="G171" s="7" t="s">
        <v>95</v>
      </c>
      <c r="H171" s="7" t="s">
        <v>413</v>
      </c>
      <c r="I171" s="13">
        <v>960000</v>
      </c>
      <c r="J171" s="13">
        <v>960000</v>
      </c>
      <c r="K171" s="13">
        <v>960000</v>
      </c>
      <c r="L171" s="14">
        <f t="shared" si="6"/>
        <v>0</v>
      </c>
      <c r="M171" s="14">
        <f t="shared" si="7"/>
        <v>0</v>
      </c>
      <c r="N171" s="18">
        <f t="shared" si="8"/>
        <v>1</v>
      </c>
      <c r="O171" s="20"/>
    </row>
    <row r="172" spans="1:15">
      <c r="A172" s="7" t="s">
        <v>401</v>
      </c>
      <c r="B172" s="7" t="s">
        <v>403</v>
      </c>
      <c r="C172" s="7" t="s">
        <v>405</v>
      </c>
      <c r="D172" s="7" t="s">
        <v>409</v>
      </c>
      <c r="E172" s="7" t="s">
        <v>72</v>
      </c>
      <c r="F172" s="7" t="s">
        <v>95</v>
      </c>
      <c r="G172" s="7" t="s">
        <v>95</v>
      </c>
      <c r="H172" s="7" t="s">
        <v>414</v>
      </c>
      <c r="I172" s="13">
        <v>0</v>
      </c>
      <c r="J172" s="13">
        <v>0</v>
      </c>
      <c r="K172" s="13">
        <v>0</v>
      </c>
      <c r="L172" s="14">
        <f t="shared" si="6"/>
        <v>0</v>
      </c>
      <c r="M172" s="14">
        <f t="shared" si="7"/>
        <v>0</v>
      </c>
      <c r="N172" s="18">
        <f t="shared" si="8"/>
        <v>0</v>
      </c>
      <c r="O172" s="20"/>
    </row>
    <row r="173" spans="1:15">
      <c r="A173" s="7" t="s">
        <v>401</v>
      </c>
      <c r="B173" s="7" t="s">
        <v>403</v>
      </c>
      <c r="C173" s="7" t="s">
        <v>405</v>
      </c>
      <c r="D173" s="7" t="s">
        <v>409</v>
      </c>
      <c r="E173" s="7" t="s">
        <v>72</v>
      </c>
      <c r="F173" s="7" t="s">
        <v>95</v>
      </c>
      <c r="G173" s="7" t="s">
        <v>95</v>
      </c>
      <c r="H173" s="7" t="s">
        <v>415</v>
      </c>
      <c r="I173" s="13">
        <v>1434000</v>
      </c>
      <c r="J173" s="13">
        <v>793750</v>
      </c>
      <c r="K173" s="13">
        <v>793750</v>
      </c>
      <c r="L173" s="14">
        <f t="shared" si="6"/>
        <v>640250</v>
      </c>
      <c r="M173" s="14">
        <f t="shared" si="7"/>
        <v>0</v>
      </c>
      <c r="N173" s="18">
        <f t="shared" si="8"/>
        <v>0.55352161785216181</v>
      </c>
      <c r="O173" s="20"/>
    </row>
    <row r="174" spans="1:15">
      <c r="A174" s="7" t="s">
        <v>401</v>
      </c>
      <c r="B174" s="7" t="s">
        <v>403</v>
      </c>
      <c r="C174" s="7" t="s">
        <v>405</v>
      </c>
      <c r="D174" s="7" t="s">
        <v>409</v>
      </c>
      <c r="E174" s="7" t="s">
        <v>72</v>
      </c>
      <c r="F174" s="7" t="s">
        <v>95</v>
      </c>
      <c r="G174" s="7" t="s">
        <v>95</v>
      </c>
      <c r="H174" s="7" t="s">
        <v>416</v>
      </c>
      <c r="I174" s="13">
        <v>2125000</v>
      </c>
      <c r="J174" s="13">
        <v>2125000</v>
      </c>
      <c r="K174" s="13">
        <v>2125000</v>
      </c>
      <c r="L174" s="14">
        <f t="shared" si="6"/>
        <v>0</v>
      </c>
      <c r="M174" s="14">
        <f t="shared" si="7"/>
        <v>0</v>
      </c>
      <c r="N174" s="18">
        <f t="shared" si="8"/>
        <v>1</v>
      </c>
      <c r="O174" s="20"/>
    </row>
    <row r="175" spans="1:15">
      <c r="A175" s="7" t="s">
        <v>401</v>
      </c>
      <c r="B175" s="7" t="s">
        <v>403</v>
      </c>
      <c r="C175" s="7" t="s">
        <v>405</v>
      </c>
      <c r="D175" s="7" t="s">
        <v>409</v>
      </c>
      <c r="E175" s="7" t="s">
        <v>72</v>
      </c>
      <c r="F175" s="7" t="s">
        <v>95</v>
      </c>
      <c r="G175" s="7" t="s">
        <v>95</v>
      </c>
      <c r="H175" s="7" t="s">
        <v>417</v>
      </c>
      <c r="I175" s="13">
        <v>1350000</v>
      </c>
      <c r="J175" s="13">
        <v>800000</v>
      </c>
      <c r="K175" s="13">
        <v>800000</v>
      </c>
      <c r="L175" s="14">
        <f t="shared" si="6"/>
        <v>550000</v>
      </c>
      <c r="M175" s="14">
        <f t="shared" si="7"/>
        <v>0</v>
      </c>
      <c r="N175" s="18">
        <f t="shared" si="8"/>
        <v>0.59259259259259256</v>
      </c>
      <c r="O175" s="20"/>
    </row>
    <row r="176" spans="1:15">
      <c r="A176" s="7" t="s">
        <v>401</v>
      </c>
      <c r="B176" s="7" t="s">
        <v>403</v>
      </c>
      <c r="C176" s="7" t="s">
        <v>405</v>
      </c>
      <c r="D176" s="7" t="s">
        <v>409</v>
      </c>
      <c r="E176" s="7" t="s">
        <v>72</v>
      </c>
      <c r="F176" s="7" t="s">
        <v>95</v>
      </c>
      <c r="G176" s="7" t="s">
        <v>95</v>
      </c>
      <c r="H176" s="7" t="s">
        <v>418</v>
      </c>
      <c r="I176" s="13">
        <v>620000</v>
      </c>
      <c r="J176" s="13">
        <v>620000</v>
      </c>
      <c r="K176" s="13">
        <v>620000</v>
      </c>
      <c r="L176" s="14">
        <f t="shared" si="6"/>
        <v>0</v>
      </c>
      <c r="M176" s="14">
        <f t="shared" si="7"/>
        <v>0</v>
      </c>
      <c r="N176" s="18">
        <f t="shared" si="8"/>
        <v>1</v>
      </c>
      <c r="O176" s="20"/>
    </row>
    <row r="177" spans="1:15">
      <c r="A177" s="7" t="s">
        <v>401</v>
      </c>
      <c r="B177" s="7" t="s">
        <v>403</v>
      </c>
      <c r="C177" s="7" t="s">
        <v>405</v>
      </c>
      <c r="D177" s="7" t="s">
        <v>409</v>
      </c>
      <c r="E177" s="7" t="s">
        <v>72</v>
      </c>
      <c r="F177" s="7" t="s">
        <v>95</v>
      </c>
      <c r="G177" s="7" t="s">
        <v>95</v>
      </c>
      <c r="H177" s="7" t="s">
        <v>419</v>
      </c>
      <c r="I177" s="13">
        <v>495000</v>
      </c>
      <c r="J177" s="13">
        <v>380000</v>
      </c>
      <c r="K177" s="13">
        <v>380000</v>
      </c>
      <c r="L177" s="14">
        <f t="shared" si="6"/>
        <v>115000</v>
      </c>
      <c r="M177" s="14">
        <f t="shared" si="7"/>
        <v>0</v>
      </c>
      <c r="N177" s="18">
        <f t="shared" si="8"/>
        <v>0.76767676767676762</v>
      </c>
      <c r="O177" s="20"/>
    </row>
    <row r="178" spans="1:15">
      <c r="A178" s="7" t="s">
        <v>401</v>
      </c>
      <c r="B178" s="7" t="s">
        <v>403</v>
      </c>
      <c r="C178" s="7" t="s">
        <v>405</v>
      </c>
      <c r="D178" s="7" t="s">
        <v>409</v>
      </c>
      <c r="E178" s="7" t="s">
        <v>72</v>
      </c>
      <c r="F178" s="7" t="s">
        <v>95</v>
      </c>
      <c r="G178" s="7" t="s">
        <v>95</v>
      </c>
      <c r="H178" s="7" t="s">
        <v>420</v>
      </c>
      <c r="I178" s="13">
        <v>2398000</v>
      </c>
      <c r="J178" s="13">
        <v>1996500</v>
      </c>
      <c r="K178" s="13">
        <v>1996500</v>
      </c>
      <c r="L178" s="14">
        <f t="shared" si="6"/>
        <v>401500</v>
      </c>
      <c r="M178" s="14">
        <f t="shared" si="7"/>
        <v>0</v>
      </c>
      <c r="N178" s="18">
        <f t="shared" si="8"/>
        <v>0.83256880733944949</v>
      </c>
      <c r="O178" s="20"/>
    </row>
    <row r="179" spans="1:15">
      <c r="A179" s="7" t="s">
        <v>401</v>
      </c>
      <c r="B179" s="7" t="s">
        <v>403</v>
      </c>
      <c r="C179" s="7" t="s">
        <v>405</v>
      </c>
      <c r="D179" s="7" t="s">
        <v>409</v>
      </c>
      <c r="E179" s="7" t="s">
        <v>72</v>
      </c>
      <c r="F179" s="7" t="s">
        <v>95</v>
      </c>
      <c r="G179" s="7" t="s">
        <v>95</v>
      </c>
      <c r="H179" s="7" t="s">
        <v>421</v>
      </c>
      <c r="I179" s="13">
        <v>1892000</v>
      </c>
      <c r="J179" s="13">
        <v>1032000</v>
      </c>
      <c r="K179" s="13">
        <v>1032000</v>
      </c>
      <c r="L179" s="14">
        <f t="shared" si="6"/>
        <v>860000</v>
      </c>
      <c r="M179" s="14">
        <f t="shared" si="7"/>
        <v>0</v>
      </c>
      <c r="N179" s="18">
        <f t="shared" si="8"/>
        <v>0.54545454545454541</v>
      </c>
      <c r="O179" s="20"/>
    </row>
    <row r="180" spans="1:15">
      <c r="A180" s="7" t="s">
        <v>401</v>
      </c>
      <c r="B180" s="7" t="s">
        <v>403</v>
      </c>
      <c r="C180" s="7" t="s">
        <v>405</v>
      </c>
      <c r="D180" s="7" t="s">
        <v>409</v>
      </c>
      <c r="E180" s="7" t="s">
        <v>72</v>
      </c>
      <c r="F180" s="7" t="s">
        <v>95</v>
      </c>
      <c r="G180" s="7" t="s">
        <v>95</v>
      </c>
      <c r="H180" s="7" t="s">
        <v>422</v>
      </c>
      <c r="I180" s="13">
        <v>1120000</v>
      </c>
      <c r="J180" s="13">
        <v>775000</v>
      </c>
      <c r="K180" s="13">
        <v>775000</v>
      </c>
      <c r="L180" s="14">
        <f t="shared" si="6"/>
        <v>345000</v>
      </c>
      <c r="M180" s="14">
        <f t="shared" si="7"/>
        <v>0</v>
      </c>
      <c r="N180" s="18">
        <f t="shared" si="8"/>
        <v>0.6919642857142857</v>
      </c>
      <c r="O180" s="20"/>
    </row>
    <row r="181" spans="1:15">
      <c r="A181" s="7" t="s">
        <v>401</v>
      </c>
      <c r="B181" s="7" t="s">
        <v>403</v>
      </c>
      <c r="C181" s="7" t="s">
        <v>405</v>
      </c>
      <c r="D181" s="7" t="s">
        <v>409</v>
      </c>
      <c r="E181" s="7" t="s">
        <v>72</v>
      </c>
      <c r="F181" s="7" t="s">
        <v>95</v>
      </c>
      <c r="G181" s="7" t="s">
        <v>95</v>
      </c>
      <c r="H181" s="7" t="s">
        <v>423</v>
      </c>
      <c r="I181" s="13">
        <v>0</v>
      </c>
      <c r="J181" s="13">
        <v>0</v>
      </c>
      <c r="K181" s="13">
        <v>0</v>
      </c>
      <c r="L181" s="14">
        <f t="shared" si="6"/>
        <v>0</v>
      </c>
      <c r="M181" s="14">
        <f t="shared" si="7"/>
        <v>0</v>
      </c>
      <c r="N181" s="18">
        <f t="shared" si="8"/>
        <v>0</v>
      </c>
      <c r="O181" s="20"/>
    </row>
    <row r="182" spans="1:15">
      <c r="A182" s="7" t="s">
        <v>401</v>
      </c>
      <c r="B182" s="7" t="s">
        <v>403</v>
      </c>
      <c r="C182" s="7" t="s">
        <v>405</v>
      </c>
      <c r="D182" s="7" t="s">
        <v>409</v>
      </c>
      <c r="E182" s="7" t="s">
        <v>72</v>
      </c>
      <c r="F182" s="7" t="s">
        <v>95</v>
      </c>
      <c r="G182" s="7" t="s">
        <v>95</v>
      </c>
      <c r="H182" s="7" t="s">
        <v>424</v>
      </c>
      <c r="I182" s="13">
        <v>923000</v>
      </c>
      <c r="J182" s="13">
        <v>650000</v>
      </c>
      <c r="K182" s="13">
        <v>650000</v>
      </c>
      <c r="L182" s="14">
        <f t="shared" si="6"/>
        <v>273000</v>
      </c>
      <c r="M182" s="14">
        <f t="shared" si="7"/>
        <v>0</v>
      </c>
      <c r="N182" s="18">
        <f t="shared" si="8"/>
        <v>0.70422535211267601</v>
      </c>
      <c r="O182" s="20"/>
    </row>
    <row r="183" spans="1:15">
      <c r="A183" s="7" t="s">
        <v>401</v>
      </c>
      <c r="B183" s="7" t="s">
        <v>403</v>
      </c>
      <c r="C183" s="7" t="s">
        <v>405</v>
      </c>
      <c r="D183" s="7" t="s">
        <v>409</v>
      </c>
      <c r="E183" s="7" t="s">
        <v>72</v>
      </c>
      <c r="F183" s="7" t="s">
        <v>95</v>
      </c>
      <c r="G183" s="7" t="s">
        <v>95</v>
      </c>
      <c r="H183" s="7" t="s">
        <v>425</v>
      </c>
      <c r="I183" s="13">
        <v>1284000</v>
      </c>
      <c r="J183" s="13">
        <v>1284000</v>
      </c>
      <c r="K183" s="13">
        <v>1284000</v>
      </c>
      <c r="L183" s="14">
        <f t="shared" si="6"/>
        <v>0</v>
      </c>
      <c r="M183" s="14">
        <f t="shared" si="7"/>
        <v>0</v>
      </c>
      <c r="N183" s="18">
        <f t="shared" si="8"/>
        <v>1</v>
      </c>
      <c r="O183" s="20"/>
    </row>
    <row r="184" spans="1:15">
      <c r="A184" s="7" t="s">
        <v>401</v>
      </c>
      <c r="B184" s="7" t="s">
        <v>403</v>
      </c>
      <c r="C184" s="7" t="s">
        <v>405</v>
      </c>
      <c r="D184" s="7" t="s">
        <v>409</v>
      </c>
      <c r="E184" s="7" t="s">
        <v>72</v>
      </c>
      <c r="F184" s="7" t="s">
        <v>95</v>
      </c>
      <c r="G184" s="7" t="s">
        <v>95</v>
      </c>
      <c r="H184" s="7" t="s">
        <v>426</v>
      </c>
      <c r="I184" s="13">
        <v>1329000</v>
      </c>
      <c r="J184" s="13">
        <v>828000</v>
      </c>
      <c r="K184" s="13">
        <v>828000</v>
      </c>
      <c r="L184" s="14">
        <f t="shared" si="6"/>
        <v>501000</v>
      </c>
      <c r="M184" s="14">
        <f t="shared" si="7"/>
        <v>0</v>
      </c>
      <c r="N184" s="18">
        <f t="shared" si="8"/>
        <v>0.62302483069977421</v>
      </c>
      <c r="O184" s="20"/>
    </row>
    <row r="185" spans="1:15">
      <c r="A185" s="7" t="s">
        <v>401</v>
      </c>
      <c r="B185" s="7" t="s">
        <v>403</v>
      </c>
      <c r="C185" s="7" t="s">
        <v>405</v>
      </c>
      <c r="D185" s="7" t="s">
        <v>409</v>
      </c>
      <c r="E185" s="7" t="s">
        <v>72</v>
      </c>
      <c r="F185" s="7" t="s">
        <v>95</v>
      </c>
      <c r="G185" s="7" t="s">
        <v>95</v>
      </c>
      <c r="H185" s="7" t="s">
        <v>427</v>
      </c>
      <c r="I185" s="13">
        <v>1824000</v>
      </c>
      <c r="J185" s="13">
        <v>1096200</v>
      </c>
      <c r="K185" s="13">
        <v>1096200</v>
      </c>
      <c r="L185" s="14">
        <f t="shared" si="6"/>
        <v>727800</v>
      </c>
      <c r="M185" s="14">
        <f t="shared" si="7"/>
        <v>0</v>
      </c>
      <c r="N185" s="18">
        <f t="shared" si="8"/>
        <v>0.60098684210526321</v>
      </c>
      <c r="O185" s="20"/>
    </row>
    <row r="186" spans="1:15">
      <c r="A186" s="7" t="s">
        <v>401</v>
      </c>
      <c r="B186" s="7" t="s">
        <v>403</v>
      </c>
      <c r="C186" s="7" t="s">
        <v>405</v>
      </c>
      <c r="D186" s="7" t="s">
        <v>409</v>
      </c>
      <c r="E186" s="7" t="s">
        <v>72</v>
      </c>
      <c r="F186" s="7" t="s">
        <v>95</v>
      </c>
      <c r="G186" s="7" t="s">
        <v>95</v>
      </c>
      <c r="H186" s="7" t="s">
        <v>428</v>
      </c>
      <c r="I186" s="13">
        <v>0</v>
      </c>
      <c r="J186" s="13">
        <v>0</v>
      </c>
      <c r="K186" s="13">
        <v>0</v>
      </c>
      <c r="L186" s="14">
        <f t="shared" si="6"/>
        <v>0</v>
      </c>
      <c r="M186" s="14">
        <f t="shared" si="7"/>
        <v>0</v>
      </c>
      <c r="N186" s="18">
        <f t="shared" si="8"/>
        <v>0</v>
      </c>
      <c r="O186" s="20"/>
    </row>
    <row r="187" spans="1:15">
      <c r="A187" s="7" t="s">
        <v>401</v>
      </c>
      <c r="B187" s="7" t="s">
        <v>403</v>
      </c>
      <c r="C187" s="7" t="s">
        <v>405</v>
      </c>
      <c r="D187" s="7" t="s">
        <v>409</v>
      </c>
      <c r="E187" s="7" t="s">
        <v>72</v>
      </c>
      <c r="F187" s="7" t="s">
        <v>95</v>
      </c>
      <c r="G187" s="7" t="s">
        <v>95</v>
      </c>
      <c r="H187" s="7" t="s">
        <v>429</v>
      </c>
      <c r="I187" s="13">
        <v>2860000</v>
      </c>
      <c r="J187" s="13">
        <v>2443000</v>
      </c>
      <c r="K187" s="13">
        <v>2443000</v>
      </c>
      <c r="L187" s="14">
        <f t="shared" si="6"/>
        <v>417000</v>
      </c>
      <c r="M187" s="14">
        <f t="shared" si="7"/>
        <v>0</v>
      </c>
      <c r="N187" s="18">
        <f t="shared" si="8"/>
        <v>0.85419580419580421</v>
      </c>
      <c r="O187" s="20"/>
    </row>
    <row r="188" spans="1:15">
      <c r="A188" s="7" t="s">
        <v>401</v>
      </c>
      <c r="B188" s="7" t="s">
        <v>403</v>
      </c>
      <c r="C188" s="7" t="s">
        <v>405</v>
      </c>
      <c r="D188" s="7" t="s">
        <v>409</v>
      </c>
      <c r="E188" s="7" t="s">
        <v>72</v>
      </c>
      <c r="F188" s="7" t="s">
        <v>95</v>
      </c>
      <c r="G188" s="7" t="s">
        <v>95</v>
      </c>
      <c r="H188" s="7" t="s">
        <v>430</v>
      </c>
      <c r="I188" s="13">
        <v>396000</v>
      </c>
      <c r="J188" s="13">
        <v>396000</v>
      </c>
      <c r="K188" s="13">
        <v>396000</v>
      </c>
      <c r="L188" s="14">
        <f t="shared" si="6"/>
        <v>0</v>
      </c>
      <c r="M188" s="14">
        <f t="shared" si="7"/>
        <v>0</v>
      </c>
      <c r="N188" s="18">
        <f t="shared" si="8"/>
        <v>1</v>
      </c>
      <c r="O188" s="20"/>
    </row>
    <row r="189" spans="1:15">
      <c r="A189" s="7" t="s">
        <v>401</v>
      </c>
      <c r="B189" s="7" t="s">
        <v>403</v>
      </c>
      <c r="C189" s="7" t="s">
        <v>405</v>
      </c>
      <c r="D189" s="7" t="s">
        <v>409</v>
      </c>
      <c r="E189" s="7" t="s">
        <v>72</v>
      </c>
      <c r="F189" s="7" t="s">
        <v>95</v>
      </c>
      <c r="G189" s="7" t="s">
        <v>95</v>
      </c>
      <c r="H189" s="7" t="s">
        <v>431</v>
      </c>
      <c r="I189" s="13">
        <v>0</v>
      </c>
      <c r="J189" s="13">
        <v>0</v>
      </c>
      <c r="K189" s="13">
        <v>0</v>
      </c>
      <c r="L189" s="14">
        <f t="shared" si="6"/>
        <v>0</v>
      </c>
      <c r="M189" s="14">
        <f t="shared" si="7"/>
        <v>0</v>
      </c>
      <c r="N189" s="18">
        <f t="shared" si="8"/>
        <v>0</v>
      </c>
      <c r="O189" s="20"/>
    </row>
    <row r="190" spans="1:15">
      <c r="A190" s="7" t="s">
        <v>401</v>
      </c>
      <c r="B190" s="7" t="s">
        <v>403</v>
      </c>
      <c r="C190" s="7" t="s">
        <v>405</v>
      </c>
      <c r="D190" s="7" t="s">
        <v>409</v>
      </c>
      <c r="E190" s="7" t="s">
        <v>72</v>
      </c>
      <c r="F190" s="7" t="s">
        <v>95</v>
      </c>
      <c r="G190" s="7" t="s">
        <v>95</v>
      </c>
      <c r="H190" s="7" t="s">
        <v>432</v>
      </c>
      <c r="I190" s="13">
        <v>256000</v>
      </c>
      <c r="J190" s="13">
        <v>256000</v>
      </c>
      <c r="K190" s="13">
        <v>256000</v>
      </c>
      <c r="L190" s="14">
        <f t="shared" si="6"/>
        <v>0</v>
      </c>
      <c r="M190" s="14">
        <f t="shared" si="7"/>
        <v>0</v>
      </c>
      <c r="N190" s="18">
        <f t="shared" si="8"/>
        <v>1</v>
      </c>
      <c r="O190" s="20"/>
    </row>
    <row r="191" spans="1:15">
      <c r="A191" s="7" t="s">
        <v>401</v>
      </c>
      <c r="B191" s="7" t="s">
        <v>403</v>
      </c>
      <c r="C191" s="7" t="s">
        <v>405</v>
      </c>
      <c r="D191" s="7" t="s">
        <v>409</v>
      </c>
      <c r="E191" s="7" t="s">
        <v>72</v>
      </c>
      <c r="F191" s="7" t="s">
        <v>95</v>
      </c>
      <c r="G191" s="7" t="s">
        <v>95</v>
      </c>
      <c r="H191" s="7" t="s">
        <v>433</v>
      </c>
      <c r="I191" s="13">
        <v>969000</v>
      </c>
      <c r="J191" s="13">
        <v>969000</v>
      </c>
      <c r="K191" s="13">
        <v>969000</v>
      </c>
      <c r="L191" s="14">
        <f t="shared" si="6"/>
        <v>0</v>
      </c>
      <c r="M191" s="14">
        <f t="shared" si="7"/>
        <v>0</v>
      </c>
      <c r="N191" s="18">
        <f t="shared" si="8"/>
        <v>1</v>
      </c>
      <c r="O191" s="20"/>
    </row>
    <row r="192" spans="1:15">
      <c r="A192" s="7" t="s">
        <v>401</v>
      </c>
      <c r="B192" s="7" t="s">
        <v>403</v>
      </c>
      <c r="C192" s="7" t="s">
        <v>405</v>
      </c>
      <c r="D192" s="7" t="s">
        <v>409</v>
      </c>
      <c r="E192" s="7" t="s">
        <v>72</v>
      </c>
      <c r="F192" s="7" t="s">
        <v>95</v>
      </c>
      <c r="G192" s="7" t="s">
        <v>95</v>
      </c>
      <c r="H192" s="7" t="s">
        <v>434</v>
      </c>
      <c r="I192" s="13">
        <v>1440000</v>
      </c>
      <c r="J192" s="13">
        <v>1328000</v>
      </c>
      <c r="K192" s="13">
        <v>1328000</v>
      </c>
      <c r="L192" s="14">
        <f t="shared" si="6"/>
        <v>112000</v>
      </c>
      <c r="M192" s="14">
        <f t="shared" si="7"/>
        <v>0</v>
      </c>
      <c r="N192" s="18">
        <f t="shared" si="8"/>
        <v>0.92222222222222228</v>
      </c>
      <c r="O192" s="20"/>
    </row>
    <row r="193" spans="1:15">
      <c r="A193" s="7" t="s">
        <v>401</v>
      </c>
      <c r="B193" s="7" t="s">
        <v>403</v>
      </c>
      <c r="C193" s="7" t="s">
        <v>405</v>
      </c>
      <c r="D193" s="7" t="s">
        <v>409</v>
      </c>
      <c r="E193" s="7" t="s">
        <v>72</v>
      </c>
      <c r="F193" s="7" t="s">
        <v>95</v>
      </c>
      <c r="G193" s="7" t="s">
        <v>95</v>
      </c>
      <c r="H193" s="7" t="s">
        <v>435</v>
      </c>
      <c r="I193" s="13">
        <v>1125000</v>
      </c>
      <c r="J193" s="13">
        <v>1125000</v>
      </c>
      <c r="K193" s="13">
        <v>1125000</v>
      </c>
      <c r="L193" s="14">
        <f t="shared" si="6"/>
        <v>0</v>
      </c>
      <c r="M193" s="14">
        <f t="shared" si="7"/>
        <v>0</v>
      </c>
      <c r="N193" s="18">
        <f t="shared" si="8"/>
        <v>1</v>
      </c>
      <c r="O193" s="20"/>
    </row>
    <row r="194" spans="1:15">
      <c r="A194" s="7" t="s">
        <v>401</v>
      </c>
      <c r="B194" s="7" t="s">
        <v>403</v>
      </c>
      <c r="C194" s="7" t="s">
        <v>405</v>
      </c>
      <c r="D194" s="7" t="s">
        <v>409</v>
      </c>
      <c r="E194" s="7" t="s">
        <v>72</v>
      </c>
      <c r="F194" s="7" t="s">
        <v>95</v>
      </c>
      <c r="G194" s="7" t="s">
        <v>95</v>
      </c>
      <c r="H194" s="7" t="s">
        <v>436</v>
      </c>
      <c r="I194" s="13">
        <v>1932000</v>
      </c>
      <c r="J194" s="13">
        <v>1911000</v>
      </c>
      <c r="K194" s="13">
        <v>1911000</v>
      </c>
      <c r="L194" s="14">
        <f t="shared" si="6"/>
        <v>21000</v>
      </c>
      <c r="M194" s="14">
        <f t="shared" si="7"/>
        <v>0</v>
      </c>
      <c r="N194" s="18">
        <f t="shared" si="8"/>
        <v>0.98913043478260865</v>
      </c>
      <c r="O194" s="20"/>
    </row>
    <row r="195" spans="1:15">
      <c r="A195" s="7" t="s">
        <v>401</v>
      </c>
      <c r="B195" s="7" t="s">
        <v>403</v>
      </c>
      <c r="C195" s="7" t="s">
        <v>405</v>
      </c>
      <c r="D195" s="7" t="s">
        <v>409</v>
      </c>
      <c r="E195" s="7" t="s">
        <v>72</v>
      </c>
      <c r="F195" s="7" t="s">
        <v>95</v>
      </c>
      <c r="G195" s="7" t="s">
        <v>95</v>
      </c>
      <c r="H195" s="7" t="s">
        <v>437</v>
      </c>
      <c r="I195" s="13">
        <v>1250000</v>
      </c>
      <c r="J195" s="13">
        <v>0</v>
      </c>
      <c r="K195" s="13">
        <v>0</v>
      </c>
      <c r="L195" s="14">
        <f t="shared" si="6"/>
        <v>1250000</v>
      </c>
      <c r="M195" s="14">
        <f t="shared" si="7"/>
        <v>0</v>
      </c>
      <c r="N195" s="18">
        <f t="shared" si="8"/>
        <v>0</v>
      </c>
      <c r="O195" s="20"/>
    </row>
    <row r="196" spans="1:15">
      <c r="A196" s="7" t="s">
        <v>401</v>
      </c>
      <c r="B196" s="7" t="s">
        <v>403</v>
      </c>
      <c r="C196" s="7" t="s">
        <v>405</v>
      </c>
      <c r="D196" s="7" t="s">
        <v>409</v>
      </c>
      <c r="E196" s="7" t="s">
        <v>72</v>
      </c>
      <c r="F196" s="7" t="s">
        <v>95</v>
      </c>
      <c r="G196" s="7" t="s">
        <v>95</v>
      </c>
      <c r="H196" s="7" t="s">
        <v>438</v>
      </c>
      <c r="I196" s="13">
        <v>350000</v>
      </c>
      <c r="J196" s="13">
        <v>0</v>
      </c>
      <c r="K196" s="13">
        <v>0</v>
      </c>
      <c r="L196" s="14">
        <f t="shared" ref="L196:L259" si="9">I196-J196</f>
        <v>350000</v>
      </c>
      <c r="M196" s="14">
        <f t="shared" ref="M196:M259" si="10">J196-K196</f>
        <v>0</v>
      </c>
      <c r="N196" s="18">
        <f t="shared" ref="N196:N259" si="11">IFERROR(J196/I196,0)</f>
        <v>0</v>
      </c>
      <c r="O196" s="20"/>
    </row>
    <row r="197" spans="1:15">
      <c r="A197" s="7" t="s">
        <v>401</v>
      </c>
      <c r="B197" s="7" t="s">
        <v>403</v>
      </c>
      <c r="C197" s="7" t="s">
        <v>405</v>
      </c>
      <c r="D197" s="7" t="s">
        <v>409</v>
      </c>
      <c r="E197" s="7" t="s">
        <v>72</v>
      </c>
      <c r="F197" s="7" t="s">
        <v>95</v>
      </c>
      <c r="G197" s="7" t="s">
        <v>95</v>
      </c>
      <c r="H197" s="7" t="s">
        <v>439</v>
      </c>
      <c r="I197" s="13">
        <v>480000</v>
      </c>
      <c r="J197" s="13">
        <v>0</v>
      </c>
      <c r="K197" s="13">
        <v>0</v>
      </c>
      <c r="L197" s="14">
        <f t="shared" si="9"/>
        <v>480000</v>
      </c>
      <c r="M197" s="14">
        <f t="shared" si="10"/>
        <v>0</v>
      </c>
      <c r="N197" s="18">
        <f t="shared" si="11"/>
        <v>0</v>
      </c>
      <c r="O197" s="20"/>
    </row>
    <row r="198" spans="1:15">
      <c r="A198" s="7" t="s">
        <v>401</v>
      </c>
      <c r="B198" s="7" t="s">
        <v>403</v>
      </c>
      <c r="C198" s="7" t="s">
        <v>405</v>
      </c>
      <c r="D198" s="7" t="s">
        <v>409</v>
      </c>
      <c r="E198" s="7" t="s">
        <v>72</v>
      </c>
      <c r="F198" s="7" t="s">
        <v>95</v>
      </c>
      <c r="G198" s="7" t="s">
        <v>95</v>
      </c>
      <c r="H198" s="7" t="s">
        <v>440</v>
      </c>
      <c r="I198" s="13">
        <v>765000</v>
      </c>
      <c r="J198" s="13">
        <v>0</v>
      </c>
      <c r="K198" s="13">
        <v>0</v>
      </c>
      <c r="L198" s="14">
        <f t="shared" si="9"/>
        <v>765000</v>
      </c>
      <c r="M198" s="14">
        <f t="shared" si="10"/>
        <v>0</v>
      </c>
      <c r="N198" s="18">
        <f t="shared" si="11"/>
        <v>0</v>
      </c>
      <c r="O198" s="20"/>
    </row>
    <row r="199" spans="1:15">
      <c r="A199" s="7" t="s">
        <v>401</v>
      </c>
      <c r="B199" s="7" t="s">
        <v>403</v>
      </c>
      <c r="C199" s="7" t="s">
        <v>405</v>
      </c>
      <c r="D199" s="7" t="s">
        <v>409</v>
      </c>
      <c r="E199" s="7" t="s">
        <v>72</v>
      </c>
      <c r="F199" s="7" t="s">
        <v>95</v>
      </c>
      <c r="G199" s="7" t="s">
        <v>95</v>
      </c>
      <c r="H199" s="7" t="s">
        <v>441</v>
      </c>
      <c r="I199" s="13">
        <v>1050000</v>
      </c>
      <c r="J199" s="13">
        <v>0</v>
      </c>
      <c r="K199" s="13">
        <v>0</v>
      </c>
      <c r="L199" s="14">
        <f t="shared" si="9"/>
        <v>1050000</v>
      </c>
      <c r="M199" s="14">
        <f t="shared" si="10"/>
        <v>0</v>
      </c>
      <c r="N199" s="18">
        <f t="shared" si="11"/>
        <v>0</v>
      </c>
      <c r="O199" s="20"/>
    </row>
    <row r="200" spans="1:15">
      <c r="A200" s="7" t="s">
        <v>401</v>
      </c>
      <c r="B200" s="7" t="s">
        <v>403</v>
      </c>
      <c r="C200" s="7" t="s">
        <v>405</v>
      </c>
      <c r="D200" s="7" t="s">
        <v>409</v>
      </c>
      <c r="E200" s="7" t="s">
        <v>72</v>
      </c>
      <c r="F200" s="7" t="s">
        <v>95</v>
      </c>
      <c r="G200" s="7" t="s">
        <v>95</v>
      </c>
      <c r="H200" s="7" t="s">
        <v>442</v>
      </c>
      <c r="I200" s="13">
        <v>2550000</v>
      </c>
      <c r="J200" s="13">
        <v>0</v>
      </c>
      <c r="K200" s="13">
        <v>0</v>
      </c>
      <c r="L200" s="14">
        <f t="shared" si="9"/>
        <v>2550000</v>
      </c>
      <c r="M200" s="14">
        <f t="shared" si="10"/>
        <v>0</v>
      </c>
      <c r="N200" s="18">
        <f t="shared" si="11"/>
        <v>0</v>
      </c>
      <c r="O200" s="20"/>
    </row>
    <row r="201" spans="1:15">
      <c r="A201" s="7" t="s">
        <v>401</v>
      </c>
      <c r="B201" s="7" t="s">
        <v>403</v>
      </c>
      <c r="C201" s="7" t="s">
        <v>405</v>
      </c>
      <c r="D201" s="7" t="s">
        <v>409</v>
      </c>
      <c r="E201" s="7" t="s">
        <v>72</v>
      </c>
      <c r="F201" s="7" t="s">
        <v>95</v>
      </c>
      <c r="G201" s="7" t="s">
        <v>95</v>
      </c>
      <c r="H201" s="7" t="s">
        <v>443</v>
      </c>
      <c r="I201" s="13">
        <v>1488000</v>
      </c>
      <c r="J201" s="13">
        <v>0</v>
      </c>
      <c r="K201" s="13">
        <v>0</v>
      </c>
      <c r="L201" s="14">
        <f t="shared" si="9"/>
        <v>1488000</v>
      </c>
      <c r="M201" s="14">
        <f t="shared" si="10"/>
        <v>0</v>
      </c>
      <c r="N201" s="18">
        <f t="shared" si="11"/>
        <v>0</v>
      </c>
      <c r="O201" s="20"/>
    </row>
    <row r="202" spans="1:15">
      <c r="A202" s="7" t="s">
        <v>401</v>
      </c>
      <c r="B202" s="7" t="s">
        <v>403</v>
      </c>
      <c r="C202" s="7" t="s">
        <v>405</v>
      </c>
      <c r="D202" s="7" t="s">
        <v>409</v>
      </c>
      <c r="E202" s="7" t="s">
        <v>72</v>
      </c>
      <c r="F202" s="7" t="s">
        <v>95</v>
      </c>
      <c r="G202" s="7" t="s">
        <v>95</v>
      </c>
      <c r="H202" s="7" t="s">
        <v>444</v>
      </c>
      <c r="I202" s="13">
        <v>1125000</v>
      </c>
      <c r="J202" s="13">
        <v>0</v>
      </c>
      <c r="K202" s="13">
        <v>0</v>
      </c>
      <c r="L202" s="14">
        <f t="shared" si="9"/>
        <v>1125000</v>
      </c>
      <c r="M202" s="14">
        <f t="shared" si="10"/>
        <v>0</v>
      </c>
      <c r="N202" s="18">
        <f t="shared" si="11"/>
        <v>0</v>
      </c>
      <c r="O202" s="20"/>
    </row>
    <row r="203" spans="1:15">
      <c r="A203" s="7" t="s">
        <v>401</v>
      </c>
      <c r="B203" s="7" t="s">
        <v>403</v>
      </c>
      <c r="C203" s="7" t="s">
        <v>405</v>
      </c>
      <c r="D203" s="7" t="s">
        <v>409</v>
      </c>
      <c r="E203" s="7" t="s">
        <v>72</v>
      </c>
      <c r="F203" s="7" t="s">
        <v>95</v>
      </c>
      <c r="G203" s="7" t="s">
        <v>95</v>
      </c>
      <c r="H203" s="7" t="s">
        <v>445</v>
      </c>
      <c r="I203" s="13">
        <v>396000</v>
      </c>
      <c r="J203" s="13">
        <v>0</v>
      </c>
      <c r="K203" s="13">
        <v>0</v>
      </c>
      <c r="L203" s="14">
        <f t="shared" si="9"/>
        <v>396000</v>
      </c>
      <c r="M203" s="14">
        <f t="shared" si="10"/>
        <v>0</v>
      </c>
      <c r="N203" s="18">
        <f t="shared" si="11"/>
        <v>0</v>
      </c>
      <c r="O203" s="20"/>
    </row>
    <row r="204" spans="1:15">
      <c r="A204" s="7" t="s">
        <v>401</v>
      </c>
      <c r="B204" s="7" t="s">
        <v>403</v>
      </c>
      <c r="C204" s="7" t="s">
        <v>405</v>
      </c>
      <c r="D204" s="7" t="s">
        <v>409</v>
      </c>
      <c r="E204" s="7" t="s">
        <v>72</v>
      </c>
      <c r="F204" s="7" t="s">
        <v>95</v>
      </c>
      <c r="G204" s="7" t="s">
        <v>95</v>
      </c>
      <c r="H204" s="7" t="s">
        <v>446</v>
      </c>
      <c r="I204" s="13">
        <v>760000</v>
      </c>
      <c r="J204" s="13">
        <v>0</v>
      </c>
      <c r="K204" s="13">
        <v>0</v>
      </c>
      <c r="L204" s="14">
        <f t="shared" si="9"/>
        <v>760000</v>
      </c>
      <c r="M204" s="14">
        <f t="shared" si="10"/>
        <v>0</v>
      </c>
      <c r="N204" s="18">
        <f t="shared" si="11"/>
        <v>0</v>
      </c>
      <c r="O204" s="20"/>
    </row>
    <row r="205" spans="1:15">
      <c r="A205" s="7" t="s">
        <v>401</v>
      </c>
      <c r="B205" s="7" t="s">
        <v>403</v>
      </c>
      <c r="C205" s="7" t="s">
        <v>405</v>
      </c>
      <c r="D205" s="7" t="s">
        <v>409</v>
      </c>
      <c r="E205" s="7" t="s">
        <v>72</v>
      </c>
      <c r="F205" s="7" t="s">
        <v>95</v>
      </c>
      <c r="G205" s="7" t="s">
        <v>95</v>
      </c>
      <c r="H205" s="7" t="s">
        <v>447</v>
      </c>
      <c r="I205" s="13">
        <v>400000</v>
      </c>
      <c r="J205" s="13">
        <v>0</v>
      </c>
      <c r="K205" s="13">
        <v>0</v>
      </c>
      <c r="L205" s="14">
        <f t="shared" si="9"/>
        <v>400000</v>
      </c>
      <c r="M205" s="14">
        <f t="shared" si="10"/>
        <v>0</v>
      </c>
      <c r="N205" s="18">
        <f t="shared" si="11"/>
        <v>0</v>
      </c>
      <c r="O205" s="20"/>
    </row>
    <row r="206" spans="1:15">
      <c r="A206" s="7" t="s">
        <v>401</v>
      </c>
      <c r="B206" s="7" t="s">
        <v>403</v>
      </c>
      <c r="C206" s="7" t="s">
        <v>405</v>
      </c>
      <c r="D206" s="7" t="s">
        <v>409</v>
      </c>
      <c r="E206" s="7" t="s">
        <v>72</v>
      </c>
      <c r="F206" s="7" t="s">
        <v>95</v>
      </c>
      <c r="G206" s="7" t="s">
        <v>95</v>
      </c>
      <c r="H206" s="7" t="s">
        <v>448</v>
      </c>
      <c r="I206" s="13">
        <v>2640000</v>
      </c>
      <c r="J206" s="13">
        <v>0</v>
      </c>
      <c r="K206" s="13">
        <v>0</v>
      </c>
      <c r="L206" s="14">
        <f t="shared" si="9"/>
        <v>2640000</v>
      </c>
      <c r="M206" s="14">
        <f t="shared" si="10"/>
        <v>0</v>
      </c>
      <c r="N206" s="18">
        <f t="shared" si="11"/>
        <v>0</v>
      </c>
      <c r="O206" s="20"/>
    </row>
    <row r="207" spans="1:15">
      <c r="A207" s="7" t="s">
        <v>401</v>
      </c>
      <c r="B207" s="7" t="s">
        <v>403</v>
      </c>
      <c r="C207" s="7" t="s">
        <v>405</v>
      </c>
      <c r="D207" s="7" t="s">
        <v>409</v>
      </c>
      <c r="E207" s="7" t="s">
        <v>72</v>
      </c>
      <c r="F207" s="7" t="s">
        <v>95</v>
      </c>
      <c r="G207" s="7" t="s">
        <v>95</v>
      </c>
      <c r="H207" s="7" t="s">
        <v>449</v>
      </c>
      <c r="I207" s="13">
        <v>1290000</v>
      </c>
      <c r="J207" s="13">
        <v>0</v>
      </c>
      <c r="K207" s="13">
        <v>0</v>
      </c>
      <c r="L207" s="14">
        <f t="shared" si="9"/>
        <v>1290000</v>
      </c>
      <c r="M207" s="14">
        <f t="shared" si="10"/>
        <v>0</v>
      </c>
      <c r="N207" s="18">
        <f t="shared" si="11"/>
        <v>0</v>
      </c>
      <c r="O207" s="20"/>
    </row>
    <row r="208" spans="1:15">
      <c r="A208" s="7" t="s">
        <v>401</v>
      </c>
      <c r="B208" s="7" t="s">
        <v>403</v>
      </c>
      <c r="C208" s="7" t="s">
        <v>405</v>
      </c>
      <c r="D208" s="7" t="s">
        <v>409</v>
      </c>
      <c r="E208" s="7" t="s">
        <v>72</v>
      </c>
      <c r="F208" s="7" t="s">
        <v>95</v>
      </c>
      <c r="G208" s="7" t="s">
        <v>95</v>
      </c>
      <c r="H208" s="7" t="s">
        <v>450</v>
      </c>
      <c r="I208" s="13">
        <v>990000</v>
      </c>
      <c r="J208" s="13">
        <v>0</v>
      </c>
      <c r="K208" s="13">
        <v>0</v>
      </c>
      <c r="L208" s="14">
        <f t="shared" si="9"/>
        <v>990000</v>
      </c>
      <c r="M208" s="14">
        <f t="shared" si="10"/>
        <v>0</v>
      </c>
      <c r="N208" s="18">
        <f t="shared" si="11"/>
        <v>0</v>
      </c>
      <c r="O208" s="20"/>
    </row>
    <row r="209" spans="1:15">
      <c r="A209" s="7" t="s">
        <v>401</v>
      </c>
      <c r="B209" s="7" t="s">
        <v>403</v>
      </c>
      <c r="C209" s="7" t="s">
        <v>405</v>
      </c>
      <c r="D209" s="7" t="s">
        <v>409</v>
      </c>
      <c r="E209" s="7" t="s">
        <v>72</v>
      </c>
      <c r="F209" s="7" t="s">
        <v>95</v>
      </c>
      <c r="G209" s="7" t="s">
        <v>95</v>
      </c>
      <c r="H209" s="7" t="s">
        <v>451</v>
      </c>
      <c r="I209" s="13">
        <v>1575000</v>
      </c>
      <c r="J209" s="13">
        <v>0</v>
      </c>
      <c r="K209" s="13">
        <v>0</v>
      </c>
      <c r="L209" s="14">
        <f t="shared" si="9"/>
        <v>1575000</v>
      </c>
      <c r="M209" s="14">
        <f t="shared" si="10"/>
        <v>0</v>
      </c>
      <c r="N209" s="18">
        <f t="shared" si="11"/>
        <v>0</v>
      </c>
      <c r="O209" s="20"/>
    </row>
    <row r="210" spans="1:15">
      <c r="A210" s="7" t="s">
        <v>401</v>
      </c>
      <c r="B210" s="7" t="s">
        <v>403</v>
      </c>
      <c r="C210" s="7" t="s">
        <v>405</v>
      </c>
      <c r="D210" s="7" t="s">
        <v>409</v>
      </c>
      <c r="E210" s="7" t="s">
        <v>72</v>
      </c>
      <c r="F210" s="7" t="s">
        <v>95</v>
      </c>
      <c r="G210" s="7" t="s">
        <v>95</v>
      </c>
      <c r="H210" s="7" t="s">
        <v>452</v>
      </c>
      <c r="I210" s="13">
        <v>875000</v>
      </c>
      <c r="J210" s="13">
        <v>0</v>
      </c>
      <c r="K210" s="13">
        <v>0</v>
      </c>
      <c r="L210" s="14">
        <f t="shared" si="9"/>
        <v>875000</v>
      </c>
      <c r="M210" s="14">
        <f t="shared" si="10"/>
        <v>0</v>
      </c>
      <c r="N210" s="18">
        <f t="shared" si="11"/>
        <v>0</v>
      </c>
      <c r="O210" s="20"/>
    </row>
    <row r="211" spans="1:15">
      <c r="A211" s="7" t="s">
        <v>401</v>
      </c>
      <c r="B211" s="7" t="s">
        <v>403</v>
      </c>
      <c r="C211" s="7" t="s">
        <v>405</v>
      </c>
      <c r="D211" s="7" t="s">
        <v>409</v>
      </c>
      <c r="E211" s="7" t="s">
        <v>72</v>
      </c>
      <c r="F211" s="7" t="s">
        <v>95</v>
      </c>
      <c r="G211" s="7" t="s">
        <v>95</v>
      </c>
      <c r="H211" s="7" t="s">
        <v>453</v>
      </c>
      <c r="I211" s="13">
        <v>1567000</v>
      </c>
      <c r="J211" s="13">
        <v>0</v>
      </c>
      <c r="K211" s="13">
        <v>0</v>
      </c>
      <c r="L211" s="14">
        <f t="shared" si="9"/>
        <v>1567000</v>
      </c>
      <c r="M211" s="14">
        <f t="shared" si="10"/>
        <v>0</v>
      </c>
      <c r="N211" s="18">
        <f t="shared" si="11"/>
        <v>0</v>
      </c>
      <c r="O211" s="20"/>
    </row>
    <row r="212" spans="1:15">
      <c r="A212" s="7" t="s">
        <v>401</v>
      </c>
      <c r="B212" s="7" t="s">
        <v>403</v>
      </c>
      <c r="C212" s="7" t="s">
        <v>405</v>
      </c>
      <c r="D212" s="7" t="s">
        <v>409</v>
      </c>
      <c r="E212" s="7" t="s">
        <v>72</v>
      </c>
      <c r="F212" s="7" t="s">
        <v>95</v>
      </c>
      <c r="G212" s="7" t="s">
        <v>95</v>
      </c>
      <c r="H212" s="7" t="s">
        <v>454</v>
      </c>
      <c r="I212" s="13">
        <v>2604000</v>
      </c>
      <c r="J212" s="13">
        <v>0</v>
      </c>
      <c r="K212" s="13">
        <v>0</v>
      </c>
      <c r="L212" s="14">
        <f t="shared" si="9"/>
        <v>2604000</v>
      </c>
      <c r="M212" s="14">
        <f t="shared" si="10"/>
        <v>0</v>
      </c>
      <c r="N212" s="18">
        <f t="shared" si="11"/>
        <v>0</v>
      </c>
      <c r="O212" s="20"/>
    </row>
    <row r="213" spans="1:15">
      <c r="A213" s="7" t="s">
        <v>401</v>
      </c>
      <c r="B213" s="7" t="s">
        <v>403</v>
      </c>
      <c r="C213" s="7" t="s">
        <v>405</v>
      </c>
      <c r="D213" s="7" t="s">
        <v>409</v>
      </c>
      <c r="E213" s="7" t="s">
        <v>72</v>
      </c>
      <c r="F213" s="7" t="s">
        <v>95</v>
      </c>
      <c r="G213" s="7" t="s">
        <v>95</v>
      </c>
      <c r="H213" s="7" t="s">
        <v>455</v>
      </c>
      <c r="I213" s="13">
        <v>1053000</v>
      </c>
      <c r="J213" s="13">
        <v>0</v>
      </c>
      <c r="K213" s="13">
        <v>0</v>
      </c>
      <c r="L213" s="14">
        <f t="shared" si="9"/>
        <v>1053000</v>
      </c>
      <c r="M213" s="14">
        <f t="shared" si="10"/>
        <v>0</v>
      </c>
      <c r="N213" s="18">
        <f t="shared" si="11"/>
        <v>0</v>
      </c>
      <c r="O213" s="20"/>
    </row>
    <row r="214" spans="1:15">
      <c r="A214" s="7" t="s">
        <v>401</v>
      </c>
      <c r="B214" s="7" t="s">
        <v>403</v>
      </c>
      <c r="C214" s="7" t="s">
        <v>405</v>
      </c>
      <c r="D214" s="7" t="s">
        <v>409</v>
      </c>
      <c r="E214" s="7" t="s">
        <v>72</v>
      </c>
      <c r="F214" s="7" t="s">
        <v>95</v>
      </c>
      <c r="G214" s="7" t="s">
        <v>95</v>
      </c>
      <c r="H214" s="7" t="s">
        <v>456</v>
      </c>
      <c r="I214" s="13">
        <v>152000</v>
      </c>
      <c r="J214" s="13">
        <v>0</v>
      </c>
      <c r="K214" s="13">
        <v>0</v>
      </c>
      <c r="L214" s="14">
        <f t="shared" si="9"/>
        <v>152000</v>
      </c>
      <c r="M214" s="14">
        <f t="shared" si="10"/>
        <v>0</v>
      </c>
      <c r="N214" s="18">
        <f t="shared" si="11"/>
        <v>0</v>
      </c>
      <c r="O214" s="20"/>
    </row>
    <row r="215" spans="1:15">
      <c r="A215" s="7" t="s">
        <v>401</v>
      </c>
      <c r="B215" s="7" t="s">
        <v>403</v>
      </c>
      <c r="C215" s="7" t="s">
        <v>405</v>
      </c>
      <c r="D215" s="7" t="s">
        <v>409</v>
      </c>
      <c r="E215" s="7" t="s">
        <v>72</v>
      </c>
      <c r="F215" s="7" t="s">
        <v>95</v>
      </c>
      <c r="G215" s="7" t="s">
        <v>95</v>
      </c>
      <c r="H215" s="7" t="s">
        <v>457</v>
      </c>
      <c r="I215" s="13">
        <v>1090000</v>
      </c>
      <c r="J215" s="13">
        <v>0</v>
      </c>
      <c r="K215" s="13">
        <v>0</v>
      </c>
      <c r="L215" s="14">
        <f t="shared" si="9"/>
        <v>1090000</v>
      </c>
      <c r="M215" s="14">
        <f t="shared" si="10"/>
        <v>0</v>
      </c>
      <c r="N215" s="18">
        <f t="shared" si="11"/>
        <v>0</v>
      </c>
      <c r="O215" s="20"/>
    </row>
    <row r="216" spans="1:15">
      <c r="A216" s="7" t="s">
        <v>401</v>
      </c>
      <c r="B216" s="7" t="s">
        <v>403</v>
      </c>
      <c r="C216" s="7" t="s">
        <v>405</v>
      </c>
      <c r="D216" s="7" t="s">
        <v>409</v>
      </c>
      <c r="E216" s="7" t="s">
        <v>72</v>
      </c>
      <c r="F216" s="7" t="s">
        <v>95</v>
      </c>
      <c r="G216" s="7" t="s">
        <v>95</v>
      </c>
      <c r="H216" s="7" t="s">
        <v>458</v>
      </c>
      <c r="I216" s="13">
        <v>1040000</v>
      </c>
      <c r="J216" s="13">
        <v>0</v>
      </c>
      <c r="K216" s="13">
        <v>0</v>
      </c>
      <c r="L216" s="14">
        <f t="shared" si="9"/>
        <v>1040000</v>
      </c>
      <c r="M216" s="14">
        <f t="shared" si="10"/>
        <v>0</v>
      </c>
      <c r="N216" s="18">
        <f t="shared" si="11"/>
        <v>0</v>
      </c>
      <c r="O216" s="20"/>
    </row>
    <row r="217" spans="1:15">
      <c r="A217" s="7" t="s">
        <v>401</v>
      </c>
      <c r="B217" s="7" t="s">
        <v>403</v>
      </c>
      <c r="C217" s="7" t="s">
        <v>405</v>
      </c>
      <c r="D217" s="7" t="s">
        <v>409</v>
      </c>
      <c r="E217" s="7" t="s">
        <v>72</v>
      </c>
      <c r="F217" s="7" t="s">
        <v>95</v>
      </c>
      <c r="G217" s="7" t="s">
        <v>95</v>
      </c>
      <c r="H217" s="7" t="s">
        <v>459</v>
      </c>
      <c r="I217" s="13">
        <v>3003000</v>
      </c>
      <c r="J217" s="13">
        <v>0</v>
      </c>
      <c r="K217" s="13">
        <v>0</v>
      </c>
      <c r="L217" s="14">
        <f t="shared" si="9"/>
        <v>3003000</v>
      </c>
      <c r="M217" s="14">
        <f t="shared" si="10"/>
        <v>0</v>
      </c>
      <c r="N217" s="18">
        <f t="shared" si="11"/>
        <v>0</v>
      </c>
      <c r="O217" s="20"/>
    </row>
    <row r="218" spans="1:15">
      <c r="A218" s="7" t="s">
        <v>401</v>
      </c>
      <c r="B218" s="7" t="s">
        <v>403</v>
      </c>
      <c r="C218" s="7" t="s">
        <v>405</v>
      </c>
      <c r="D218" s="7" t="s">
        <v>460</v>
      </c>
      <c r="E218" s="7" t="s">
        <v>72</v>
      </c>
      <c r="F218" s="7" t="s">
        <v>74</v>
      </c>
      <c r="G218" s="7" t="s">
        <v>79</v>
      </c>
      <c r="H218" s="7" t="s">
        <v>461</v>
      </c>
      <c r="I218" s="13">
        <v>1822000</v>
      </c>
      <c r="J218" s="13">
        <v>1821600</v>
      </c>
      <c r="K218" s="13">
        <v>1821600</v>
      </c>
      <c r="L218" s="14">
        <f t="shared" si="9"/>
        <v>400</v>
      </c>
      <c r="M218" s="14">
        <f t="shared" si="10"/>
        <v>0</v>
      </c>
      <c r="N218" s="18">
        <f t="shared" si="11"/>
        <v>0.99978046103183316</v>
      </c>
      <c r="O218" s="20"/>
    </row>
    <row r="219" spans="1:15">
      <c r="A219" s="7" t="s">
        <v>401</v>
      </c>
      <c r="B219" s="7" t="s">
        <v>403</v>
      </c>
      <c r="C219" s="7" t="s">
        <v>405</v>
      </c>
      <c r="D219" s="7" t="s">
        <v>460</v>
      </c>
      <c r="E219" s="7" t="s">
        <v>72</v>
      </c>
      <c r="F219" s="7" t="s">
        <v>74</v>
      </c>
      <c r="G219" s="7" t="s">
        <v>79</v>
      </c>
      <c r="H219" s="7" t="s">
        <v>462</v>
      </c>
      <c r="I219" s="13">
        <v>2063000</v>
      </c>
      <c r="J219" s="13">
        <v>1578320</v>
      </c>
      <c r="K219" s="13">
        <v>1578320</v>
      </c>
      <c r="L219" s="14">
        <f t="shared" si="9"/>
        <v>484680</v>
      </c>
      <c r="M219" s="14">
        <f t="shared" si="10"/>
        <v>0</v>
      </c>
      <c r="N219" s="18">
        <f t="shared" si="11"/>
        <v>0.76506059137178861</v>
      </c>
      <c r="O219" s="20"/>
    </row>
    <row r="220" spans="1:15">
      <c r="A220" s="7" t="s">
        <v>401</v>
      </c>
      <c r="B220" s="7" t="s">
        <v>403</v>
      </c>
      <c r="C220" s="7" t="s">
        <v>405</v>
      </c>
      <c r="D220" s="7" t="s">
        <v>460</v>
      </c>
      <c r="E220" s="7" t="s">
        <v>72</v>
      </c>
      <c r="F220" s="7" t="s">
        <v>74</v>
      </c>
      <c r="G220" s="7" t="s">
        <v>79</v>
      </c>
      <c r="H220" s="7" t="s">
        <v>463</v>
      </c>
      <c r="I220" s="13">
        <v>3705000</v>
      </c>
      <c r="J220" s="13">
        <v>3576960</v>
      </c>
      <c r="K220" s="13">
        <v>3576960</v>
      </c>
      <c r="L220" s="14">
        <f t="shared" si="9"/>
        <v>128040</v>
      </c>
      <c r="M220" s="14">
        <f t="shared" si="10"/>
        <v>0</v>
      </c>
      <c r="N220" s="18">
        <f t="shared" si="11"/>
        <v>0.96544129554655866</v>
      </c>
      <c r="O220" s="20"/>
    </row>
    <row r="221" spans="1:15">
      <c r="A221" s="7" t="s">
        <v>401</v>
      </c>
      <c r="B221" s="7" t="s">
        <v>403</v>
      </c>
      <c r="C221" s="7" t="s">
        <v>405</v>
      </c>
      <c r="D221" s="7" t="s">
        <v>460</v>
      </c>
      <c r="E221" s="7" t="s">
        <v>72</v>
      </c>
      <c r="F221" s="7" t="s">
        <v>74</v>
      </c>
      <c r="G221" s="7" t="s">
        <v>79</v>
      </c>
      <c r="H221" s="7" t="s">
        <v>464</v>
      </c>
      <c r="I221" s="13">
        <v>1482000</v>
      </c>
      <c r="J221" s="13">
        <v>902520</v>
      </c>
      <c r="K221" s="13">
        <v>902520</v>
      </c>
      <c r="L221" s="14">
        <f t="shared" si="9"/>
        <v>579480</v>
      </c>
      <c r="M221" s="14">
        <f t="shared" si="10"/>
        <v>0</v>
      </c>
      <c r="N221" s="18">
        <f t="shared" si="11"/>
        <v>0.6089878542510121</v>
      </c>
      <c r="O221" s="20"/>
    </row>
    <row r="222" spans="1:15">
      <c r="A222" s="7" t="s">
        <v>401</v>
      </c>
      <c r="B222" s="7" t="s">
        <v>403</v>
      </c>
      <c r="C222" s="7" t="s">
        <v>405</v>
      </c>
      <c r="D222" s="7" t="s">
        <v>460</v>
      </c>
      <c r="E222" s="7" t="s">
        <v>72</v>
      </c>
      <c r="F222" s="7" t="s">
        <v>74</v>
      </c>
      <c r="G222" s="7" t="s">
        <v>79</v>
      </c>
      <c r="H222" s="7" t="s">
        <v>465</v>
      </c>
      <c r="I222" s="13">
        <v>2120000</v>
      </c>
      <c r="J222" s="13">
        <v>2119680</v>
      </c>
      <c r="K222" s="13">
        <v>2119680</v>
      </c>
      <c r="L222" s="14">
        <f t="shared" si="9"/>
        <v>320</v>
      </c>
      <c r="M222" s="14">
        <f t="shared" si="10"/>
        <v>0</v>
      </c>
      <c r="N222" s="18">
        <f t="shared" si="11"/>
        <v>0.99984905660377354</v>
      </c>
      <c r="O222" s="20"/>
    </row>
    <row r="223" spans="1:15">
      <c r="A223" s="7" t="s">
        <v>401</v>
      </c>
      <c r="B223" s="7" t="s">
        <v>403</v>
      </c>
      <c r="C223" s="7" t="s">
        <v>405</v>
      </c>
      <c r="D223" s="7" t="s">
        <v>460</v>
      </c>
      <c r="E223" s="7" t="s">
        <v>72</v>
      </c>
      <c r="F223" s="7" t="s">
        <v>74</v>
      </c>
      <c r="G223" s="7" t="s">
        <v>79</v>
      </c>
      <c r="H223" s="7" t="s">
        <v>466</v>
      </c>
      <c r="I223" s="13">
        <v>0</v>
      </c>
      <c r="J223" s="13">
        <v>0</v>
      </c>
      <c r="K223" s="13">
        <v>0</v>
      </c>
      <c r="L223" s="14">
        <f t="shared" si="9"/>
        <v>0</v>
      </c>
      <c r="M223" s="14">
        <f t="shared" si="10"/>
        <v>0</v>
      </c>
      <c r="N223" s="18">
        <f t="shared" si="11"/>
        <v>0</v>
      </c>
      <c r="O223" s="20"/>
    </row>
    <row r="224" spans="1:15">
      <c r="A224" s="7" t="s">
        <v>401</v>
      </c>
      <c r="B224" s="7" t="s">
        <v>403</v>
      </c>
      <c r="C224" s="7" t="s">
        <v>405</v>
      </c>
      <c r="D224" s="7" t="s">
        <v>460</v>
      </c>
      <c r="E224" s="7" t="s">
        <v>72</v>
      </c>
      <c r="F224" s="7" t="s">
        <v>74</v>
      </c>
      <c r="G224" s="7" t="s">
        <v>79</v>
      </c>
      <c r="H224" s="7" t="s">
        <v>467</v>
      </c>
      <c r="I224" s="13">
        <v>3949000</v>
      </c>
      <c r="J224" s="13">
        <v>1043280</v>
      </c>
      <c r="K224" s="13">
        <v>1043280</v>
      </c>
      <c r="L224" s="14">
        <f t="shared" si="9"/>
        <v>2905720</v>
      </c>
      <c r="M224" s="14">
        <f t="shared" si="10"/>
        <v>0</v>
      </c>
      <c r="N224" s="18">
        <f t="shared" si="11"/>
        <v>0.2641884021271208</v>
      </c>
      <c r="O224" s="20"/>
    </row>
    <row r="225" spans="1:15">
      <c r="A225" s="7" t="s">
        <v>401</v>
      </c>
      <c r="B225" s="7" t="s">
        <v>403</v>
      </c>
      <c r="C225" s="7" t="s">
        <v>405</v>
      </c>
      <c r="D225" s="7" t="s">
        <v>460</v>
      </c>
      <c r="E225" s="7" t="s">
        <v>72</v>
      </c>
      <c r="F225" s="7" t="s">
        <v>74</v>
      </c>
      <c r="G225" s="7" t="s">
        <v>79</v>
      </c>
      <c r="H225" s="7" t="s">
        <v>468</v>
      </c>
      <c r="I225" s="13">
        <v>2600000</v>
      </c>
      <c r="J225" s="13">
        <v>2599920</v>
      </c>
      <c r="K225" s="13">
        <v>2599920</v>
      </c>
      <c r="L225" s="14">
        <f t="shared" si="9"/>
        <v>80</v>
      </c>
      <c r="M225" s="14">
        <f t="shared" si="10"/>
        <v>0</v>
      </c>
      <c r="N225" s="18">
        <f t="shared" si="11"/>
        <v>0.99996923076923072</v>
      </c>
      <c r="O225" s="20"/>
    </row>
    <row r="226" spans="1:15">
      <c r="A226" s="7" t="s">
        <v>401</v>
      </c>
      <c r="B226" s="7" t="s">
        <v>403</v>
      </c>
      <c r="C226" s="7" t="s">
        <v>405</v>
      </c>
      <c r="D226" s="7" t="s">
        <v>460</v>
      </c>
      <c r="E226" s="7" t="s">
        <v>72</v>
      </c>
      <c r="F226" s="7" t="s">
        <v>74</v>
      </c>
      <c r="G226" s="7" t="s">
        <v>79</v>
      </c>
      <c r="H226" s="7" t="s">
        <v>469</v>
      </c>
      <c r="I226" s="13">
        <v>1819000</v>
      </c>
      <c r="J226" s="13">
        <v>1043280</v>
      </c>
      <c r="K226" s="13">
        <v>1043280</v>
      </c>
      <c r="L226" s="14">
        <f t="shared" si="9"/>
        <v>775720</v>
      </c>
      <c r="M226" s="14">
        <f t="shared" si="10"/>
        <v>0</v>
      </c>
      <c r="N226" s="18">
        <f t="shared" si="11"/>
        <v>0.57354590434304564</v>
      </c>
      <c r="O226" s="20"/>
    </row>
    <row r="227" spans="1:15">
      <c r="A227" s="7" t="s">
        <v>401</v>
      </c>
      <c r="B227" s="7" t="s">
        <v>403</v>
      </c>
      <c r="C227" s="7" t="s">
        <v>405</v>
      </c>
      <c r="D227" s="7" t="s">
        <v>460</v>
      </c>
      <c r="E227" s="7" t="s">
        <v>72</v>
      </c>
      <c r="F227" s="7" t="s">
        <v>74</v>
      </c>
      <c r="G227" s="7" t="s">
        <v>79</v>
      </c>
      <c r="H227" s="7" t="s">
        <v>470</v>
      </c>
      <c r="I227" s="13">
        <v>1729000</v>
      </c>
      <c r="J227" s="13">
        <v>1609200</v>
      </c>
      <c r="K227" s="13">
        <v>1609200</v>
      </c>
      <c r="L227" s="14">
        <f t="shared" si="9"/>
        <v>119800</v>
      </c>
      <c r="M227" s="14">
        <f t="shared" si="10"/>
        <v>0</v>
      </c>
      <c r="N227" s="18">
        <f t="shared" si="11"/>
        <v>0.93071139386928858</v>
      </c>
      <c r="O227" s="20"/>
    </row>
    <row r="228" spans="1:15">
      <c r="A228" s="7" t="s">
        <v>401</v>
      </c>
      <c r="B228" s="7" t="s">
        <v>403</v>
      </c>
      <c r="C228" s="7" t="s">
        <v>405</v>
      </c>
      <c r="D228" s="7" t="s">
        <v>460</v>
      </c>
      <c r="E228" s="7" t="s">
        <v>72</v>
      </c>
      <c r="F228" s="7" t="s">
        <v>74</v>
      </c>
      <c r="G228" s="7" t="s">
        <v>79</v>
      </c>
      <c r="H228" s="7" t="s">
        <v>471</v>
      </c>
      <c r="I228" s="13">
        <v>1895000</v>
      </c>
      <c r="J228" s="13">
        <v>1556640</v>
      </c>
      <c r="K228" s="13">
        <v>1556640</v>
      </c>
      <c r="L228" s="14">
        <f t="shared" si="9"/>
        <v>338360</v>
      </c>
      <c r="M228" s="14">
        <f t="shared" si="10"/>
        <v>0</v>
      </c>
      <c r="N228" s="18">
        <f t="shared" si="11"/>
        <v>0.8214459102902375</v>
      </c>
      <c r="O228" s="20"/>
    </row>
    <row r="229" spans="1:15">
      <c r="A229" s="7" t="s">
        <v>401</v>
      </c>
      <c r="B229" s="7" t="s">
        <v>403</v>
      </c>
      <c r="C229" s="7" t="s">
        <v>405</v>
      </c>
      <c r="D229" s="7" t="s">
        <v>460</v>
      </c>
      <c r="E229" s="7" t="s">
        <v>72</v>
      </c>
      <c r="F229" s="7" t="s">
        <v>74</v>
      </c>
      <c r="G229" s="7" t="s">
        <v>79</v>
      </c>
      <c r="H229" s="7" t="s">
        <v>472</v>
      </c>
      <c r="I229" s="13">
        <v>2542000</v>
      </c>
      <c r="J229" s="13">
        <v>2541960</v>
      </c>
      <c r="K229" s="13">
        <v>2541960</v>
      </c>
      <c r="L229" s="14">
        <f t="shared" si="9"/>
        <v>40</v>
      </c>
      <c r="M229" s="14">
        <f t="shared" si="10"/>
        <v>0</v>
      </c>
      <c r="N229" s="18">
        <f t="shared" si="11"/>
        <v>0.99998426435877263</v>
      </c>
      <c r="O229" s="20"/>
    </row>
    <row r="230" spans="1:15">
      <c r="A230" s="7" t="s">
        <v>401</v>
      </c>
      <c r="B230" s="7" t="s">
        <v>403</v>
      </c>
      <c r="C230" s="7" t="s">
        <v>405</v>
      </c>
      <c r="D230" s="7" t="s">
        <v>460</v>
      </c>
      <c r="E230" s="7" t="s">
        <v>72</v>
      </c>
      <c r="F230" s="7" t="s">
        <v>74</v>
      </c>
      <c r="G230" s="7" t="s">
        <v>79</v>
      </c>
      <c r="H230" s="7" t="s">
        <v>473</v>
      </c>
      <c r="I230" s="13">
        <v>3057000</v>
      </c>
      <c r="J230" s="13">
        <v>1726010</v>
      </c>
      <c r="K230" s="13">
        <v>1726010</v>
      </c>
      <c r="L230" s="14">
        <f t="shared" si="9"/>
        <v>1330990</v>
      </c>
      <c r="M230" s="14">
        <f t="shared" si="10"/>
        <v>0</v>
      </c>
      <c r="N230" s="18">
        <f t="shared" si="11"/>
        <v>0.56460909388289171</v>
      </c>
      <c r="O230" s="20"/>
    </row>
    <row r="231" spans="1:15">
      <c r="A231" s="7" t="s">
        <v>401</v>
      </c>
      <c r="B231" s="7" t="s">
        <v>403</v>
      </c>
      <c r="C231" s="7" t="s">
        <v>405</v>
      </c>
      <c r="D231" s="7" t="s">
        <v>460</v>
      </c>
      <c r="E231" s="7" t="s">
        <v>72</v>
      </c>
      <c r="F231" s="7" t="s">
        <v>74</v>
      </c>
      <c r="G231" s="7" t="s">
        <v>79</v>
      </c>
      <c r="H231" s="7" t="s">
        <v>474</v>
      </c>
      <c r="I231" s="13">
        <v>3571000</v>
      </c>
      <c r="J231" s="13">
        <v>3005640</v>
      </c>
      <c r="K231" s="13">
        <v>3005640</v>
      </c>
      <c r="L231" s="14">
        <f t="shared" si="9"/>
        <v>565360</v>
      </c>
      <c r="M231" s="14">
        <f t="shared" si="10"/>
        <v>0</v>
      </c>
      <c r="N231" s="18">
        <f t="shared" si="11"/>
        <v>0.84168020162419488</v>
      </c>
      <c r="O231" s="20"/>
    </row>
    <row r="232" spans="1:15">
      <c r="A232" s="7" t="s">
        <v>401</v>
      </c>
      <c r="B232" s="7" t="s">
        <v>403</v>
      </c>
      <c r="C232" s="7" t="s">
        <v>405</v>
      </c>
      <c r="D232" s="7" t="s">
        <v>460</v>
      </c>
      <c r="E232" s="7" t="s">
        <v>72</v>
      </c>
      <c r="F232" s="7" t="s">
        <v>74</v>
      </c>
      <c r="G232" s="7" t="s">
        <v>79</v>
      </c>
      <c r="H232" s="7" t="s">
        <v>475</v>
      </c>
      <c r="I232" s="13">
        <v>0</v>
      </c>
      <c r="J232" s="13">
        <v>0</v>
      </c>
      <c r="K232" s="13">
        <v>0</v>
      </c>
      <c r="L232" s="14">
        <f t="shared" si="9"/>
        <v>0</v>
      </c>
      <c r="M232" s="14">
        <f t="shared" si="10"/>
        <v>0</v>
      </c>
      <c r="N232" s="18">
        <f t="shared" si="11"/>
        <v>0</v>
      </c>
      <c r="O232" s="20"/>
    </row>
    <row r="233" spans="1:15">
      <c r="A233" s="7" t="s">
        <v>401</v>
      </c>
      <c r="B233" s="7" t="s">
        <v>403</v>
      </c>
      <c r="C233" s="7" t="s">
        <v>405</v>
      </c>
      <c r="D233" s="7" t="s">
        <v>460</v>
      </c>
      <c r="E233" s="7" t="s">
        <v>72</v>
      </c>
      <c r="F233" s="7" t="s">
        <v>74</v>
      </c>
      <c r="G233" s="7" t="s">
        <v>79</v>
      </c>
      <c r="H233" s="7" t="s">
        <v>476</v>
      </c>
      <c r="I233" s="13">
        <v>2425000</v>
      </c>
      <c r="J233" s="13">
        <v>1159200</v>
      </c>
      <c r="K233" s="13">
        <v>1159200</v>
      </c>
      <c r="L233" s="14">
        <f t="shared" si="9"/>
        <v>1265800</v>
      </c>
      <c r="M233" s="14">
        <f t="shared" si="10"/>
        <v>0</v>
      </c>
      <c r="N233" s="18">
        <f t="shared" si="11"/>
        <v>0.47802061855670103</v>
      </c>
      <c r="O233" s="20"/>
    </row>
    <row r="234" spans="1:15">
      <c r="A234" s="7" t="s">
        <v>401</v>
      </c>
      <c r="B234" s="7" t="s">
        <v>403</v>
      </c>
      <c r="C234" s="7" t="s">
        <v>405</v>
      </c>
      <c r="D234" s="7" t="s">
        <v>460</v>
      </c>
      <c r="E234" s="7" t="s">
        <v>72</v>
      </c>
      <c r="F234" s="7" t="s">
        <v>74</v>
      </c>
      <c r="G234" s="7" t="s">
        <v>79</v>
      </c>
      <c r="H234" s="7" t="s">
        <v>477</v>
      </c>
      <c r="I234" s="13">
        <v>1819000</v>
      </c>
      <c r="J234" s="13">
        <v>1343570</v>
      </c>
      <c r="K234" s="13">
        <v>1343570</v>
      </c>
      <c r="L234" s="14">
        <f t="shared" si="9"/>
        <v>475430</v>
      </c>
      <c r="M234" s="14">
        <f t="shared" si="10"/>
        <v>0</v>
      </c>
      <c r="N234" s="18">
        <f t="shared" si="11"/>
        <v>0.73863111599780096</v>
      </c>
      <c r="O234" s="20"/>
    </row>
    <row r="235" spans="1:15">
      <c r="A235" s="7" t="s">
        <v>401</v>
      </c>
      <c r="B235" s="7" t="s">
        <v>403</v>
      </c>
      <c r="C235" s="7" t="s">
        <v>405</v>
      </c>
      <c r="D235" s="7" t="s">
        <v>460</v>
      </c>
      <c r="E235" s="7" t="s">
        <v>72</v>
      </c>
      <c r="F235" s="7" t="s">
        <v>74</v>
      </c>
      <c r="G235" s="7" t="s">
        <v>79</v>
      </c>
      <c r="H235" s="7" t="s">
        <v>478</v>
      </c>
      <c r="I235" s="13">
        <v>0</v>
      </c>
      <c r="J235" s="13">
        <v>0</v>
      </c>
      <c r="K235" s="13">
        <v>0</v>
      </c>
      <c r="L235" s="14">
        <f t="shared" si="9"/>
        <v>0</v>
      </c>
      <c r="M235" s="14">
        <f t="shared" si="10"/>
        <v>0</v>
      </c>
      <c r="N235" s="18">
        <f t="shared" si="11"/>
        <v>0</v>
      </c>
      <c r="O235" s="20"/>
    </row>
    <row r="236" spans="1:15">
      <c r="A236" s="7" t="s">
        <v>401</v>
      </c>
      <c r="B236" s="7" t="s">
        <v>403</v>
      </c>
      <c r="C236" s="7" t="s">
        <v>405</v>
      </c>
      <c r="D236" s="7" t="s">
        <v>460</v>
      </c>
      <c r="E236" s="7" t="s">
        <v>72</v>
      </c>
      <c r="F236" s="7" t="s">
        <v>74</v>
      </c>
      <c r="G236" s="7" t="s">
        <v>79</v>
      </c>
      <c r="H236" s="7" t="s">
        <v>479</v>
      </c>
      <c r="I236" s="13">
        <v>0</v>
      </c>
      <c r="J236" s="13">
        <v>0</v>
      </c>
      <c r="K236" s="13">
        <v>0</v>
      </c>
      <c r="L236" s="14">
        <f t="shared" si="9"/>
        <v>0</v>
      </c>
      <c r="M236" s="14">
        <f t="shared" si="10"/>
        <v>0</v>
      </c>
      <c r="N236" s="18">
        <f t="shared" si="11"/>
        <v>0</v>
      </c>
      <c r="O236" s="20"/>
    </row>
    <row r="237" spans="1:15">
      <c r="A237" s="7" t="s">
        <v>401</v>
      </c>
      <c r="B237" s="7" t="s">
        <v>403</v>
      </c>
      <c r="C237" s="7" t="s">
        <v>405</v>
      </c>
      <c r="D237" s="7" t="s">
        <v>460</v>
      </c>
      <c r="E237" s="7" t="s">
        <v>72</v>
      </c>
      <c r="F237" s="7" t="s">
        <v>74</v>
      </c>
      <c r="G237" s="7" t="s">
        <v>79</v>
      </c>
      <c r="H237" s="7" t="s">
        <v>480</v>
      </c>
      <c r="I237" s="13">
        <v>2619000</v>
      </c>
      <c r="J237" s="13">
        <v>1693230</v>
      </c>
      <c r="K237" s="13">
        <v>1693230</v>
      </c>
      <c r="L237" s="14">
        <f t="shared" si="9"/>
        <v>925770</v>
      </c>
      <c r="M237" s="14">
        <f t="shared" si="10"/>
        <v>0</v>
      </c>
      <c r="N237" s="18">
        <f t="shared" si="11"/>
        <v>0.64651775486827034</v>
      </c>
      <c r="O237" s="20"/>
    </row>
    <row r="238" spans="1:15">
      <c r="A238" s="7" t="s">
        <v>401</v>
      </c>
      <c r="B238" s="7" t="s">
        <v>403</v>
      </c>
      <c r="C238" s="7" t="s">
        <v>405</v>
      </c>
      <c r="D238" s="7" t="s">
        <v>460</v>
      </c>
      <c r="E238" s="7" t="s">
        <v>72</v>
      </c>
      <c r="F238" s="7" t="s">
        <v>74</v>
      </c>
      <c r="G238" s="7" t="s">
        <v>79</v>
      </c>
      <c r="H238" s="7" t="s">
        <v>481</v>
      </c>
      <c r="I238" s="13">
        <v>1937000</v>
      </c>
      <c r="J238" s="13">
        <v>1763640</v>
      </c>
      <c r="K238" s="13">
        <v>1763640</v>
      </c>
      <c r="L238" s="14">
        <f t="shared" si="9"/>
        <v>173360</v>
      </c>
      <c r="M238" s="14">
        <f t="shared" si="10"/>
        <v>0</v>
      </c>
      <c r="N238" s="18">
        <f t="shared" si="11"/>
        <v>0.91050077439339183</v>
      </c>
      <c r="O238" s="20"/>
    </row>
    <row r="239" spans="1:15">
      <c r="A239" s="7" t="s">
        <v>401</v>
      </c>
      <c r="B239" s="7" t="s">
        <v>403</v>
      </c>
      <c r="C239" s="7" t="s">
        <v>405</v>
      </c>
      <c r="D239" s="7" t="s">
        <v>460</v>
      </c>
      <c r="E239" s="7" t="s">
        <v>72</v>
      </c>
      <c r="F239" s="7" t="s">
        <v>74</v>
      </c>
      <c r="G239" s="7" t="s">
        <v>79</v>
      </c>
      <c r="H239" s="7" t="s">
        <v>482</v>
      </c>
      <c r="I239" s="13">
        <v>1946000</v>
      </c>
      <c r="J239" s="13">
        <v>1184040</v>
      </c>
      <c r="K239" s="13">
        <v>1184040</v>
      </c>
      <c r="L239" s="14">
        <f t="shared" si="9"/>
        <v>761960</v>
      </c>
      <c r="M239" s="14">
        <f t="shared" si="10"/>
        <v>0</v>
      </c>
      <c r="N239" s="18">
        <f t="shared" si="11"/>
        <v>0.60844809866392602</v>
      </c>
      <c r="O239" s="20"/>
    </row>
    <row r="240" spans="1:15">
      <c r="A240" s="7" t="s">
        <v>401</v>
      </c>
      <c r="B240" s="7" t="s">
        <v>403</v>
      </c>
      <c r="C240" s="7" t="s">
        <v>405</v>
      </c>
      <c r="D240" s="7" t="s">
        <v>460</v>
      </c>
      <c r="E240" s="7" t="s">
        <v>72</v>
      </c>
      <c r="F240" s="7" t="s">
        <v>74</v>
      </c>
      <c r="G240" s="7" t="s">
        <v>79</v>
      </c>
      <c r="H240" s="7" t="s">
        <v>483</v>
      </c>
      <c r="I240" s="13">
        <v>3537000</v>
      </c>
      <c r="J240" s="13">
        <v>2732400</v>
      </c>
      <c r="K240" s="13">
        <v>2732400</v>
      </c>
      <c r="L240" s="14">
        <f t="shared" si="9"/>
        <v>804600</v>
      </c>
      <c r="M240" s="14">
        <f t="shared" si="10"/>
        <v>0</v>
      </c>
      <c r="N240" s="18">
        <f t="shared" si="11"/>
        <v>0.77251908396946567</v>
      </c>
      <c r="O240" s="20"/>
    </row>
    <row r="241" spans="1:15">
      <c r="A241" s="7" t="s">
        <v>401</v>
      </c>
      <c r="B241" s="7" t="s">
        <v>403</v>
      </c>
      <c r="C241" s="7" t="s">
        <v>405</v>
      </c>
      <c r="D241" s="7" t="s">
        <v>460</v>
      </c>
      <c r="E241" s="7" t="s">
        <v>72</v>
      </c>
      <c r="F241" s="7" t="s">
        <v>74</v>
      </c>
      <c r="G241" s="7" t="s">
        <v>79</v>
      </c>
      <c r="H241" s="7" t="s">
        <v>484</v>
      </c>
      <c r="I241" s="13">
        <v>1988000</v>
      </c>
      <c r="J241" s="13">
        <v>1407600</v>
      </c>
      <c r="K241" s="13">
        <v>1407600</v>
      </c>
      <c r="L241" s="14">
        <f t="shared" si="9"/>
        <v>580400</v>
      </c>
      <c r="M241" s="14">
        <f t="shared" si="10"/>
        <v>0</v>
      </c>
      <c r="N241" s="18">
        <f t="shared" si="11"/>
        <v>0.70804828973843059</v>
      </c>
      <c r="O241" s="20"/>
    </row>
    <row r="242" spans="1:15">
      <c r="A242" s="7" t="s">
        <v>401</v>
      </c>
      <c r="B242" s="7" t="s">
        <v>403</v>
      </c>
      <c r="C242" s="7" t="s">
        <v>405</v>
      </c>
      <c r="D242" s="7" t="s">
        <v>460</v>
      </c>
      <c r="E242" s="7" t="s">
        <v>72</v>
      </c>
      <c r="F242" s="7" t="s">
        <v>74</v>
      </c>
      <c r="G242" s="7" t="s">
        <v>79</v>
      </c>
      <c r="H242" s="7" t="s">
        <v>485</v>
      </c>
      <c r="I242" s="13">
        <v>2543000</v>
      </c>
      <c r="J242" s="13">
        <v>1440720</v>
      </c>
      <c r="K242" s="13">
        <v>1440720</v>
      </c>
      <c r="L242" s="14">
        <f t="shared" si="9"/>
        <v>1102280</v>
      </c>
      <c r="M242" s="14">
        <f t="shared" si="10"/>
        <v>0</v>
      </c>
      <c r="N242" s="18">
        <f t="shared" si="11"/>
        <v>0.56654345261502159</v>
      </c>
      <c r="O242" s="20"/>
    </row>
    <row r="243" spans="1:15">
      <c r="A243" s="7" t="s">
        <v>401</v>
      </c>
      <c r="B243" s="7" t="s">
        <v>403</v>
      </c>
      <c r="C243" s="7" t="s">
        <v>405</v>
      </c>
      <c r="D243" s="7" t="s">
        <v>460</v>
      </c>
      <c r="E243" s="7" t="s">
        <v>72</v>
      </c>
      <c r="F243" s="7" t="s">
        <v>74</v>
      </c>
      <c r="G243" s="7" t="s">
        <v>79</v>
      </c>
      <c r="H243" s="7" t="s">
        <v>486</v>
      </c>
      <c r="I243" s="13">
        <v>3175000</v>
      </c>
      <c r="J243" s="13">
        <v>1985770</v>
      </c>
      <c r="K243" s="13">
        <v>1985770</v>
      </c>
      <c r="L243" s="14">
        <f t="shared" si="9"/>
        <v>1189230</v>
      </c>
      <c r="M243" s="14">
        <f t="shared" si="10"/>
        <v>0</v>
      </c>
      <c r="N243" s="18">
        <f t="shared" si="11"/>
        <v>0.62543937007874018</v>
      </c>
      <c r="O243" s="20"/>
    </row>
    <row r="244" spans="1:15">
      <c r="A244" s="7" t="s">
        <v>401</v>
      </c>
      <c r="B244" s="7" t="s">
        <v>403</v>
      </c>
      <c r="C244" s="7" t="s">
        <v>405</v>
      </c>
      <c r="D244" s="7" t="s">
        <v>460</v>
      </c>
      <c r="E244" s="7" t="s">
        <v>72</v>
      </c>
      <c r="F244" s="7" t="s">
        <v>74</v>
      </c>
      <c r="G244" s="7" t="s">
        <v>79</v>
      </c>
      <c r="H244" s="7" t="s">
        <v>487</v>
      </c>
      <c r="I244" s="13">
        <v>0</v>
      </c>
      <c r="J244" s="13">
        <v>0</v>
      </c>
      <c r="K244" s="13">
        <v>0</v>
      </c>
      <c r="L244" s="14">
        <f t="shared" si="9"/>
        <v>0</v>
      </c>
      <c r="M244" s="14">
        <f t="shared" si="10"/>
        <v>0</v>
      </c>
      <c r="N244" s="18">
        <f t="shared" si="11"/>
        <v>0</v>
      </c>
      <c r="O244" s="20"/>
    </row>
    <row r="245" spans="1:15">
      <c r="A245" s="7" t="s">
        <v>401</v>
      </c>
      <c r="B245" s="7" t="s">
        <v>403</v>
      </c>
      <c r="C245" s="7" t="s">
        <v>405</v>
      </c>
      <c r="D245" s="7" t="s">
        <v>460</v>
      </c>
      <c r="E245" s="7" t="s">
        <v>72</v>
      </c>
      <c r="F245" s="7" t="s">
        <v>74</v>
      </c>
      <c r="G245" s="7" t="s">
        <v>79</v>
      </c>
      <c r="H245" s="7" t="s">
        <v>488</v>
      </c>
      <c r="I245" s="13">
        <v>3705000</v>
      </c>
      <c r="J245" s="13">
        <v>2964540</v>
      </c>
      <c r="K245" s="13">
        <v>2964540</v>
      </c>
      <c r="L245" s="14">
        <f t="shared" si="9"/>
        <v>740460</v>
      </c>
      <c r="M245" s="14">
        <f t="shared" si="10"/>
        <v>0</v>
      </c>
      <c r="N245" s="18">
        <f t="shared" si="11"/>
        <v>0.80014574898785429</v>
      </c>
      <c r="O245" s="20"/>
    </row>
    <row r="246" spans="1:15">
      <c r="A246" s="7" t="s">
        <v>401</v>
      </c>
      <c r="B246" s="7" t="s">
        <v>403</v>
      </c>
      <c r="C246" s="7" t="s">
        <v>405</v>
      </c>
      <c r="D246" s="7" t="s">
        <v>460</v>
      </c>
      <c r="E246" s="7" t="s">
        <v>72</v>
      </c>
      <c r="F246" s="7" t="s">
        <v>74</v>
      </c>
      <c r="G246" s="7" t="s">
        <v>79</v>
      </c>
      <c r="H246" s="7" t="s">
        <v>489</v>
      </c>
      <c r="I246" s="13">
        <v>8778000</v>
      </c>
      <c r="J246" s="13">
        <v>5439340</v>
      </c>
      <c r="K246" s="13">
        <v>5439340</v>
      </c>
      <c r="L246" s="14">
        <f t="shared" si="9"/>
        <v>3338660</v>
      </c>
      <c r="M246" s="14">
        <f t="shared" si="10"/>
        <v>0</v>
      </c>
      <c r="N246" s="18">
        <f t="shared" si="11"/>
        <v>0.61965595807701068</v>
      </c>
      <c r="O246" s="20"/>
    </row>
    <row r="247" spans="1:15">
      <c r="A247" s="7" t="s">
        <v>401</v>
      </c>
      <c r="B247" s="7" t="s">
        <v>403</v>
      </c>
      <c r="C247" s="7" t="s">
        <v>405</v>
      </c>
      <c r="D247" s="7" t="s">
        <v>460</v>
      </c>
      <c r="E247" s="7" t="s">
        <v>72</v>
      </c>
      <c r="F247" s="7" t="s">
        <v>74</v>
      </c>
      <c r="G247" s="7" t="s">
        <v>79</v>
      </c>
      <c r="H247" s="7" t="s">
        <v>490</v>
      </c>
      <c r="I247" s="13">
        <v>2800000</v>
      </c>
      <c r="J247" s="13">
        <v>2484000</v>
      </c>
      <c r="K247" s="13">
        <v>2484000</v>
      </c>
      <c r="L247" s="14">
        <f t="shared" si="9"/>
        <v>316000</v>
      </c>
      <c r="M247" s="14">
        <f t="shared" si="10"/>
        <v>0</v>
      </c>
      <c r="N247" s="18">
        <f t="shared" si="11"/>
        <v>0.88714285714285712</v>
      </c>
      <c r="O247" s="20"/>
    </row>
    <row r="248" spans="1:15">
      <c r="A248" s="7" t="s">
        <v>401</v>
      </c>
      <c r="B248" s="7" t="s">
        <v>403</v>
      </c>
      <c r="C248" s="7" t="s">
        <v>405</v>
      </c>
      <c r="D248" s="7" t="s">
        <v>460</v>
      </c>
      <c r="E248" s="7" t="s">
        <v>72</v>
      </c>
      <c r="F248" s="7" t="s">
        <v>74</v>
      </c>
      <c r="G248" s="7" t="s">
        <v>79</v>
      </c>
      <c r="H248" s="7" t="s">
        <v>491</v>
      </c>
      <c r="I248" s="13">
        <v>1242000</v>
      </c>
      <c r="J248" s="13">
        <v>1242000</v>
      </c>
      <c r="K248" s="13">
        <v>1242000</v>
      </c>
      <c r="L248" s="14">
        <f t="shared" si="9"/>
        <v>0</v>
      </c>
      <c r="M248" s="14">
        <f t="shared" si="10"/>
        <v>0</v>
      </c>
      <c r="N248" s="18">
        <f t="shared" si="11"/>
        <v>1</v>
      </c>
      <c r="O248" s="20"/>
    </row>
    <row r="249" spans="1:15">
      <c r="A249" s="7" t="s">
        <v>401</v>
      </c>
      <c r="B249" s="7" t="s">
        <v>403</v>
      </c>
      <c r="C249" s="7" t="s">
        <v>405</v>
      </c>
      <c r="D249" s="7" t="s">
        <v>460</v>
      </c>
      <c r="E249" s="7" t="s">
        <v>72</v>
      </c>
      <c r="F249" s="7" t="s">
        <v>74</v>
      </c>
      <c r="G249" s="7" t="s">
        <v>79</v>
      </c>
      <c r="H249" s="7" t="s">
        <v>492</v>
      </c>
      <c r="I249" s="13">
        <v>1193000</v>
      </c>
      <c r="J249" s="13">
        <v>1192320</v>
      </c>
      <c r="K249" s="13">
        <v>1192320</v>
      </c>
      <c r="L249" s="14">
        <f t="shared" si="9"/>
        <v>680</v>
      </c>
      <c r="M249" s="14">
        <f t="shared" si="10"/>
        <v>0</v>
      </c>
      <c r="N249" s="18">
        <f t="shared" si="11"/>
        <v>0.99943000838222962</v>
      </c>
      <c r="O249" s="20"/>
    </row>
    <row r="250" spans="1:15">
      <c r="A250" s="7" t="s">
        <v>401</v>
      </c>
      <c r="B250" s="7" t="s">
        <v>403</v>
      </c>
      <c r="C250" s="7" t="s">
        <v>405</v>
      </c>
      <c r="D250" s="7" t="s">
        <v>460</v>
      </c>
      <c r="E250" s="7" t="s">
        <v>72</v>
      </c>
      <c r="F250" s="7" t="s">
        <v>74</v>
      </c>
      <c r="G250" s="7" t="s">
        <v>79</v>
      </c>
      <c r="H250" s="7" t="s">
        <v>493</v>
      </c>
      <c r="I250" s="13">
        <v>2261000</v>
      </c>
      <c r="J250" s="13">
        <v>2260440</v>
      </c>
      <c r="K250" s="13">
        <v>2260440</v>
      </c>
      <c r="L250" s="14">
        <f t="shared" si="9"/>
        <v>560</v>
      </c>
      <c r="M250" s="14">
        <f t="shared" si="10"/>
        <v>0</v>
      </c>
      <c r="N250" s="18">
        <f t="shared" si="11"/>
        <v>0.99975232198142416</v>
      </c>
      <c r="O250" s="20"/>
    </row>
    <row r="251" spans="1:15">
      <c r="A251" s="7" t="s">
        <v>401</v>
      </c>
      <c r="B251" s="7" t="s">
        <v>403</v>
      </c>
      <c r="C251" s="7" t="s">
        <v>405</v>
      </c>
      <c r="D251" s="7" t="s">
        <v>460</v>
      </c>
      <c r="E251" s="7" t="s">
        <v>72</v>
      </c>
      <c r="F251" s="7" t="s">
        <v>74</v>
      </c>
      <c r="G251" s="7" t="s">
        <v>79</v>
      </c>
      <c r="H251" s="7" t="s">
        <v>494</v>
      </c>
      <c r="I251" s="13">
        <v>984000</v>
      </c>
      <c r="J251" s="13">
        <v>983400</v>
      </c>
      <c r="K251" s="13">
        <v>983400</v>
      </c>
      <c r="L251" s="14">
        <f t="shared" si="9"/>
        <v>600</v>
      </c>
      <c r="M251" s="14">
        <f t="shared" si="10"/>
        <v>0</v>
      </c>
      <c r="N251" s="18">
        <f t="shared" si="11"/>
        <v>0.99939024390243902</v>
      </c>
      <c r="O251" s="20"/>
    </row>
    <row r="252" spans="1:15">
      <c r="A252" s="7" t="s">
        <v>401</v>
      </c>
      <c r="B252" s="7" t="s">
        <v>403</v>
      </c>
      <c r="C252" s="7" t="s">
        <v>405</v>
      </c>
      <c r="D252" s="7" t="s">
        <v>460</v>
      </c>
      <c r="E252" s="7" t="s">
        <v>72</v>
      </c>
      <c r="F252" s="7" t="s">
        <v>74</v>
      </c>
      <c r="G252" s="7" t="s">
        <v>79</v>
      </c>
      <c r="H252" s="7" t="s">
        <v>495</v>
      </c>
      <c r="I252" s="13">
        <v>1738000</v>
      </c>
      <c r="J252" s="13">
        <v>507110</v>
      </c>
      <c r="K252" s="13">
        <v>507110</v>
      </c>
      <c r="L252" s="14">
        <f t="shared" si="9"/>
        <v>1230890</v>
      </c>
      <c r="M252" s="14">
        <f t="shared" si="10"/>
        <v>0</v>
      </c>
      <c r="N252" s="18">
        <f t="shared" si="11"/>
        <v>0.29177790563866512</v>
      </c>
      <c r="O252" s="20"/>
    </row>
    <row r="253" spans="1:15">
      <c r="A253" s="7" t="s">
        <v>401</v>
      </c>
      <c r="B253" s="7" t="s">
        <v>403</v>
      </c>
      <c r="C253" s="7" t="s">
        <v>405</v>
      </c>
      <c r="D253" s="7" t="s">
        <v>460</v>
      </c>
      <c r="E253" s="7" t="s">
        <v>72</v>
      </c>
      <c r="F253" s="7" t="s">
        <v>74</v>
      </c>
      <c r="G253" s="7" t="s">
        <v>79</v>
      </c>
      <c r="H253" s="7" t="s">
        <v>496</v>
      </c>
      <c r="I253" s="13">
        <v>2086000</v>
      </c>
      <c r="J253" s="13">
        <v>596160</v>
      </c>
      <c r="K253" s="13">
        <v>596160</v>
      </c>
      <c r="L253" s="14">
        <f t="shared" si="9"/>
        <v>1489840</v>
      </c>
      <c r="M253" s="14">
        <f t="shared" si="10"/>
        <v>0</v>
      </c>
      <c r="N253" s="18">
        <f t="shared" si="11"/>
        <v>0.285790987535954</v>
      </c>
      <c r="O253" s="20"/>
    </row>
    <row r="254" spans="1:15">
      <c r="A254" s="7" t="s">
        <v>401</v>
      </c>
      <c r="B254" s="7" t="s">
        <v>403</v>
      </c>
      <c r="C254" s="7" t="s">
        <v>405</v>
      </c>
      <c r="D254" s="7" t="s">
        <v>460</v>
      </c>
      <c r="E254" s="7" t="s">
        <v>72</v>
      </c>
      <c r="F254" s="7" t="s">
        <v>74</v>
      </c>
      <c r="G254" s="7" t="s">
        <v>79</v>
      </c>
      <c r="H254" s="7" t="s">
        <v>497</v>
      </c>
      <c r="I254" s="13">
        <v>3650000</v>
      </c>
      <c r="J254" s="13">
        <v>1126080</v>
      </c>
      <c r="K254" s="13">
        <v>1126080</v>
      </c>
      <c r="L254" s="14">
        <f t="shared" si="9"/>
        <v>2523920</v>
      </c>
      <c r="M254" s="14">
        <f t="shared" si="10"/>
        <v>0</v>
      </c>
      <c r="N254" s="18">
        <f t="shared" si="11"/>
        <v>0.30851506849315069</v>
      </c>
      <c r="O254" s="20"/>
    </row>
    <row r="255" spans="1:15">
      <c r="A255" s="7" t="s">
        <v>401</v>
      </c>
      <c r="B255" s="7" t="s">
        <v>403</v>
      </c>
      <c r="C255" s="7" t="s">
        <v>405</v>
      </c>
      <c r="D255" s="7" t="s">
        <v>460</v>
      </c>
      <c r="E255" s="7" t="s">
        <v>72</v>
      </c>
      <c r="F255" s="7" t="s">
        <v>74</v>
      </c>
      <c r="G255" s="7" t="s">
        <v>79</v>
      </c>
      <c r="H255" s="7" t="s">
        <v>498</v>
      </c>
      <c r="I255" s="13">
        <v>1043000</v>
      </c>
      <c r="J255" s="13">
        <v>298080</v>
      </c>
      <c r="K255" s="13">
        <v>298080</v>
      </c>
      <c r="L255" s="14">
        <f t="shared" si="9"/>
        <v>744920</v>
      </c>
      <c r="M255" s="14">
        <f t="shared" si="10"/>
        <v>0</v>
      </c>
      <c r="N255" s="18">
        <f t="shared" si="11"/>
        <v>0.285790987535954</v>
      </c>
      <c r="O255" s="20"/>
    </row>
    <row r="256" spans="1:15">
      <c r="A256" s="7" t="s">
        <v>401</v>
      </c>
      <c r="B256" s="7" t="s">
        <v>403</v>
      </c>
      <c r="C256" s="7" t="s">
        <v>405</v>
      </c>
      <c r="D256" s="7" t="s">
        <v>460</v>
      </c>
      <c r="E256" s="7" t="s">
        <v>72</v>
      </c>
      <c r="F256" s="7" t="s">
        <v>74</v>
      </c>
      <c r="G256" s="7" t="s">
        <v>79</v>
      </c>
      <c r="H256" s="7" t="s">
        <v>499</v>
      </c>
      <c r="I256" s="13">
        <v>1773000</v>
      </c>
      <c r="J256" s="13">
        <v>463680</v>
      </c>
      <c r="K256" s="13">
        <v>463680</v>
      </c>
      <c r="L256" s="14">
        <f t="shared" si="9"/>
        <v>1309320</v>
      </c>
      <c r="M256" s="14">
        <f t="shared" si="10"/>
        <v>0</v>
      </c>
      <c r="N256" s="18">
        <f t="shared" si="11"/>
        <v>0.26152284263959391</v>
      </c>
      <c r="O256" s="20"/>
    </row>
    <row r="257" spans="1:15">
      <c r="A257" s="7" t="s">
        <v>401</v>
      </c>
      <c r="B257" s="7" t="s">
        <v>403</v>
      </c>
      <c r="C257" s="7" t="s">
        <v>405</v>
      </c>
      <c r="D257" s="7" t="s">
        <v>460</v>
      </c>
      <c r="E257" s="7" t="s">
        <v>72</v>
      </c>
      <c r="F257" s="7" t="s">
        <v>74</v>
      </c>
      <c r="G257" s="7" t="s">
        <v>79</v>
      </c>
      <c r="H257" s="7" t="s">
        <v>500</v>
      </c>
      <c r="I257" s="13">
        <v>1339000</v>
      </c>
      <c r="J257" s="13">
        <v>397440</v>
      </c>
      <c r="K257" s="13">
        <v>397440</v>
      </c>
      <c r="L257" s="14">
        <f t="shared" si="9"/>
        <v>941560</v>
      </c>
      <c r="M257" s="14">
        <f t="shared" si="10"/>
        <v>0</v>
      </c>
      <c r="N257" s="18">
        <f t="shared" si="11"/>
        <v>0.29681852128454073</v>
      </c>
      <c r="O257" s="20"/>
    </row>
    <row r="258" spans="1:15">
      <c r="A258" s="7" t="s">
        <v>401</v>
      </c>
      <c r="B258" s="7" t="s">
        <v>403</v>
      </c>
      <c r="C258" s="7" t="s">
        <v>405</v>
      </c>
      <c r="D258" s="7" t="s">
        <v>460</v>
      </c>
      <c r="E258" s="7" t="s">
        <v>72</v>
      </c>
      <c r="F258" s="7" t="s">
        <v>74</v>
      </c>
      <c r="G258" s="7" t="s">
        <v>79</v>
      </c>
      <c r="H258" s="7" t="s">
        <v>501</v>
      </c>
      <c r="I258" s="13">
        <v>3164000</v>
      </c>
      <c r="J258" s="13">
        <v>927360</v>
      </c>
      <c r="K258" s="13">
        <v>927360</v>
      </c>
      <c r="L258" s="14">
        <f t="shared" si="9"/>
        <v>2236640</v>
      </c>
      <c r="M258" s="14">
        <f t="shared" si="10"/>
        <v>0</v>
      </c>
      <c r="N258" s="18">
        <f t="shared" si="11"/>
        <v>0.29309734513274338</v>
      </c>
      <c r="O258" s="20"/>
    </row>
    <row r="259" spans="1:15">
      <c r="A259" s="7" t="s">
        <v>401</v>
      </c>
      <c r="B259" s="7" t="s">
        <v>403</v>
      </c>
      <c r="C259" s="7" t="s">
        <v>405</v>
      </c>
      <c r="D259" s="7" t="s">
        <v>460</v>
      </c>
      <c r="E259" s="7" t="s">
        <v>72</v>
      </c>
      <c r="F259" s="7" t="s">
        <v>74</v>
      </c>
      <c r="G259" s="7" t="s">
        <v>79</v>
      </c>
      <c r="H259" s="7" t="s">
        <v>502</v>
      </c>
      <c r="I259" s="13">
        <v>2964000</v>
      </c>
      <c r="J259" s="13">
        <v>828000</v>
      </c>
      <c r="K259" s="13">
        <v>828000</v>
      </c>
      <c r="L259" s="14">
        <f t="shared" si="9"/>
        <v>2136000</v>
      </c>
      <c r="M259" s="14">
        <f t="shared" si="10"/>
        <v>0</v>
      </c>
      <c r="N259" s="18">
        <f t="shared" si="11"/>
        <v>0.2793522267206478</v>
      </c>
      <c r="O259" s="20"/>
    </row>
    <row r="260" spans="1:15">
      <c r="A260" s="7" t="s">
        <v>401</v>
      </c>
      <c r="B260" s="7" t="s">
        <v>403</v>
      </c>
      <c r="C260" s="7" t="s">
        <v>405</v>
      </c>
      <c r="D260" s="7" t="s">
        <v>460</v>
      </c>
      <c r="E260" s="7" t="s">
        <v>72</v>
      </c>
      <c r="F260" s="7" t="s">
        <v>74</v>
      </c>
      <c r="G260" s="7" t="s">
        <v>79</v>
      </c>
      <c r="H260" s="7" t="s">
        <v>503</v>
      </c>
      <c r="I260" s="13">
        <v>1565000</v>
      </c>
      <c r="J260" s="13">
        <v>430560</v>
      </c>
      <c r="K260" s="13">
        <v>430560</v>
      </c>
      <c r="L260" s="14">
        <f t="shared" ref="L260:L323" si="12">I260-J260</f>
        <v>1134440</v>
      </c>
      <c r="M260" s="14">
        <f t="shared" ref="M260:M323" si="13">J260-K260</f>
        <v>0</v>
      </c>
      <c r="N260" s="18">
        <f t="shared" ref="N260:N323" si="14">IFERROR(J260/I260,0)</f>
        <v>0.27511821086261978</v>
      </c>
      <c r="O260" s="20"/>
    </row>
    <row r="261" spans="1:15">
      <c r="A261" s="7" t="s">
        <v>401</v>
      </c>
      <c r="B261" s="7" t="s">
        <v>403</v>
      </c>
      <c r="C261" s="7" t="s">
        <v>405</v>
      </c>
      <c r="D261" s="7" t="s">
        <v>460</v>
      </c>
      <c r="E261" s="7" t="s">
        <v>72</v>
      </c>
      <c r="F261" s="7" t="s">
        <v>74</v>
      </c>
      <c r="G261" s="7" t="s">
        <v>79</v>
      </c>
      <c r="H261" s="7" t="s">
        <v>504</v>
      </c>
      <c r="I261" s="13">
        <v>1651000</v>
      </c>
      <c r="J261" s="13">
        <v>429120</v>
      </c>
      <c r="K261" s="13">
        <v>429120</v>
      </c>
      <c r="L261" s="14">
        <f t="shared" si="12"/>
        <v>1221880</v>
      </c>
      <c r="M261" s="14">
        <f t="shared" si="13"/>
        <v>0</v>
      </c>
      <c r="N261" s="18">
        <f t="shared" si="14"/>
        <v>0.25991520290732889</v>
      </c>
      <c r="O261" s="20"/>
    </row>
    <row r="262" spans="1:15">
      <c r="A262" s="7" t="s">
        <v>401</v>
      </c>
      <c r="B262" s="7" t="s">
        <v>403</v>
      </c>
      <c r="C262" s="7" t="s">
        <v>405</v>
      </c>
      <c r="D262" s="7" t="s">
        <v>460</v>
      </c>
      <c r="E262" s="7" t="s">
        <v>72</v>
      </c>
      <c r="F262" s="7" t="s">
        <v>74</v>
      </c>
      <c r="G262" s="7" t="s">
        <v>79</v>
      </c>
      <c r="H262" s="7" t="s">
        <v>505</v>
      </c>
      <c r="I262" s="13">
        <v>2008000</v>
      </c>
      <c r="J262" s="13">
        <v>397440</v>
      </c>
      <c r="K262" s="13">
        <v>397440</v>
      </c>
      <c r="L262" s="14">
        <f t="shared" si="12"/>
        <v>1610560</v>
      </c>
      <c r="M262" s="14">
        <f t="shared" si="13"/>
        <v>0</v>
      </c>
      <c r="N262" s="18">
        <f t="shared" si="14"/>
        <v>0.19792828685258965</v>
      </c>
      <c r="O262" s="20"/>
    </row>
    <row r="263" spans="1:15">
      <c r="A263" s="7" t="s">
        <v>401</v>
      </c>
      <c r="B263" s="7" t="s">
        <v>403</v>
      </c>
      <c r="C263" s="7" t="s">
        <v>405</v>
      </c>
      <c r="D263" s="7" t="s">
        <v>460</v>
      </c>
      <c r="E263" s="7" t="s">
        <v>72</v>
      </c>
      <c r="F263" s="7" t="s">
        <v>74</v>
      </c>
      <c r="G263" s="7" t="s">
        <v>79</v>
      </c>
      <c r="H263" s="7" t="s">
        <v>506</v>
      </c>
      <c r="I263" s="13">
        <v>3633000</v>
      </c>
      <c r="J263" s="13">
        <v>1192320</v>
      </c>
      <c r="K263" s="13">
        <v>1192320</v>
      </c>
      <c r="L263" s="14">
        <f t="shared" si="12"/>
        <v>2440680</v>
      </c>
      <c r="M263" s="14">
        <f t="shared" si="13"/>
        <v>0</v>
      </c>
      <c r="N263" s="18">
        <f t="shared" si="14"/>
        <v>0.32819157720891823</v>
      </c>
      <c r="O263" s="20"/>
    </row>
    <row r="264" spans="1:15">
      <c r="A264" s="7" t="s">
        <v>401</v>
      </c>
      <c r="B264" s="7" t="s">
        <v>403</v>
      </c>
      <c r="C264" s="7" t="s">
        <v>405</v>
      </c>
      <c r="D264" s="7" t="s">
        <v>460</v>
      </c>
      <c r="E264" s="7" t="s">
        <v>72</v>
      </c>
      <c r="F264" s="7" t="s">
        <v>74</v>
      </c>
      <c r="G264" s="7" t="s">
        <v>79</v>
      </c>
      <c r="H264" s="7" t="s">
        <v>507</v>
      </c>
      <c r="I264" s="13">
        <v>1912000</v>
      </c>
      <c r="J264" s="13">
        <v>656720</v>
      </c>
      <c r="K264" s="13">
        <v>656720</v>
      </c>
      <c r="L264" s="14">
        <f t="shared" si="12"/>
        <v>1255280</v>
      </c>
      <c r="M264" s="14">
        <f t="shared" si="13"/>
        <v>0</v>
      </c>
      <c r="N264" s="18">
        <f t="shared" si="14"/>
        <v>0.34347280334728031</v>
      </c>
      <c r="O264" s="20"/>
    </row>
    <row r="265" spans="1:15">
      <c r="A265" s="7" t="s">
        <v>401</v>
      </c>
      <c r="B265" s="7" t="s">
        <v>403</v>
      </c>
      <c r="C265" s="7" t="s">
        <v>405</v>
      </c>
      <c r="D265" s="7" t="s">
        <v>460</v>
      </c>
      <c r="E265" s="7" t="s">
        <v>72</v>
      </c>
      <c r="F265" s="7" t="s">
        <v>74</v>
      </c>
      <c r="G265" s="7" t="s">
        <v>79</v>
      </c>
      <c r="H265" s="7" t="s">
        <v>508</v>
      </c>
      <c r="I265" s="13">
        <v>4172000</v>
      </c>
      <c r="J265" s="13">
        <v>1192320</v>
      </c>
      <c r="K265" s="13">
        <v>1192320</v>
      </c>
      <c r="L265" s="14">
        <f t="shared" si="12"/>
        <v>2979680</v>
      </c>
      <c r="M265" s="14">
        <f t="shared" si="13"/>
        <v>0</v>
      </c>
      <c r="N265" s="18">
        <f t="shared" si="14"/>
        <v>0.285790987535954</v>
      </c>
      <c r="O265" s="20"/>
    </row>
    <row r="266" spans="1:15">
      <c r="A266" s="7" t="s">
        <v>401</v>
      </c>
      <c r="B266" s="7" t="s">
        <v>403</v>
      </c>
      <c r="C266" s="7" t="s">
        <v>405</v>
      </c>
      <c r="D266" s="7" t="s">
        <v>460</v>
      </c>
      <c r="E266" s="7" t="s">
        <v>72</v>
      </c>
      <c r="F266" s="7" t="s">
        <v>74</v>
      </c>
      <c r="G266" s="7" t="s">
        <v>79</v>
      </c>
      <c r="H266" s="7" t="s">
        <v>509</v>
      </c>
      <c r="I266" s="13">
        <v>1530000</v>
      </c>
      <c r="J266" s="13">
        <v>322920</v>
      </c>
      <c r="K266" s="13">
        <v>322920</v>
      </c>
      <c r="L266" s="14">
        <f t="shared" si="12"/>
        <v>1207080</v>
      </c>
      <c r="M266" s="14">
        <f t="shared" si="13"/>
        <v>0</v>
      </c>
      <c r="N266" s="18">
        <f t="shared" si="14"/>
        <v>0.21105882352941177</v>
      </c>
      <c r="O266" s="20"/>
    </row>
    <row r="267" spans="1:15">
      <c r="A267" s="7" t="s">
        <v>401</v>
      </c>
      <c r="B267" s="7" t="s">
        <v>403</v>
      </c>
      <c r="C267" s="7" t="s">
        <v>405</v>
      </c>
      <c r="D267" s="7" t="s">
        <v>460</v>
      </c>
      <c r="E267" s="7" t="s">
        <v>72</v>
      </c>
      <c r="F267" s="7" t="s">
        <v>74</v>
      </c>
      <c r="G267" s="7" t="s">
        <v>79</v>
      </c>
      <c r="H267" s="7" t="s">
        <v>510</v>
      </c>
      <c r="I267" s="13">
        <v>1721000</v>
      </c>
      <c r="J267" s="13">
        <v>422280</v>
      </c>
      <c r="K267" s="13">
        <v>422280</v>
      </c>
      <c r="L267" s="14">
        <f t="shared" si="12"/>
        <v>1298720</v>
      </c>
      <c r="M267" s="14">
        <f t="shared" si="13"/>
        <v>0</v>
      </c>
      <c r="N267" s="18">
        <f t="shared" si="14"/>
        <v>0.2453689715281813</v>
      </c>
      <c r="O267" s="20"/>
    </row>
    <row r="268" spans="1:15">
      <c r="A268" s="7" t="s">
        <v>401</v>
      </c>
      <c r="B268" s="7" t="s">
        <v>403</v>
      </c>
      <c r="C268" s="7" t="s">
        <v>405</v>
      </c>
      <c r="D268" s="7" t="s">
        <v>460</v>
      </c>
      <c r="E268" s="7" t="s">
        <v>72</v>
      </c>
      <c r="F268" s="7" t="s">
        <v>74</v>
      </c>
      <c r="G268" s="7" t="s">
        <v>79</v>
      </c>
      <c r="H268" s="7" t="s">
        <v>511</v>
      </c>
      <c r="I268" s="13">
        <v>2008000</v>
      </c>
      <c r="J268" s="13">
        <v>563040</v>
      </c>
      <c r="K268" s="13">
        <v>563040</v>
      </c>
      <c r="L268" s="14">
        <f t="shared" si="12"/>
        <v>1444960</v>
      </c>
      <c r="M268" s="14">
        <f t="shared" si="13"/>
        <v>0</v>
      </c>
      <c r="N268" s="18">
        <f t="shared" si="14"/>
        <v>0.28039840637450197</v>
      </c>
      <c r="O268" s="20"/>
    </row>
    <row r="269" spans="1:15">
      <c r="A269" s="7" t="s">
        <v>401</v>
      </c>
      <c r="B269" s="7" t="s">
        <v>403</v>
      </c>
      <c r="C269" s="7" t="s">
        <v>405</v>
      </c>
      <c r="D269" s="7" t="s">
        <v>460</v>
      </c>
      <c r="E269" s="7" t="s">
        <v>72</v>
      </c>
      <c r="F269" s="7" t="s">
        <v>74</v>
      </c>
      <c r="G269" s="7" t="s">
        <v>79</v>
      </c>
      <c r="H269" s="7" t="s">
        <v>512</v>
      </c>
      <c r="I269" s="13">
        <v>2260000</v>
      </c>
      <c r="J269" s="13">
        <v>546480</v>
      </c>
      <c r="K269" s="13">
        <v>546480</v>
      </c>
      <c r="L269" s="14">
        <f t="shared" si="12"/>
        <v>1713520</v>
      </c>
      <c r="M269" s="14">
        <f t="shared" si="13"/>
        <v>0</v>
      </c>
      <c r="N269" s="18">
        <f t="shared" si="14"/>
        <v>0.24180530973451328</v>
      </c>
      <c r="O269" s="20"/>
    </row>
    <row r="270" spans="1:15">
      <c r="A270" s="7" t="s">
        <v>401</v>
      </c>
      <c r="B270" s="7" t="s">
        <v>403</v>
      </c>
      <c r="C270" s="7" t="s">
        <v>405</v>
      </c>
      <c r="D270" s="7" t="s">
        <v>460</v>
      </c>
      <c r="E270" s="7" t="s">
        <v>72</v>
      </c>
      <c r="F270" s="7" t="s">
        <v>74</v>
      </c>
      <c r="G270" s="7" t="s">
        <v>79</v>
      </c>
      <c r="H270" s="7" t="s">
        <v>513</v>
      </c>
      <c r="I270" s="13">
        <v>2364000</v>
      </c>
      <c r="J270" s="13">
        <v>794880</v>
      </c>
      <c r="K270" s="13">
        <v>794880</v>
      </c>
      <c r="L270" s="14">
        <f t="shared" si="12"/>
        <v>1569120</v>
      </c>
      <c r="M270" s="14">
        <f t="shared" si="13"/>
        <v>0</v>
      </c>
      <c r="N270" s="18">
        <f t="shared" si="14"/>
        <v>0.33624365482233504</v>
      </c>
      <c r="O270" s="20"/>
    </row>
    <row r="271" spans="1:15">
      <c r="A271" s="7" t="s">
        <v>401</v>
      </c>
      <c r="B271" s="7" t="s">
        <v>403</v>
      </c>
      <c r="C271" s="7" t="s">
        <v>405</v>
      </c>
      <c r="D271" s="7" t="s">
        <v>460</v>
      </c>
      <c r="E271" s="7" t="s">
        <v>72</v>
      </c>
      <c r="F271" s="7" t="s">
        <v>74</v>
      </c>
      <c r="G271" s="7" t="s">
        <v>79</v>
      </c>
      <c r="H271" s="7" t="s">
        <v>514</v>
      </c>
      <c r="I271" s="13">
        <v>1356000</v>
      </c>
      <c r="J271" s="13">
        <v>331200</v>
      </c>
      <c r="K271" s="13">
        <v>331200</v>
      </c>
      <c r="L271" s="14">
        <f t="shared" si="12"/>
        <v>1024800</v>
      </c>
      <c r="M271" s="14">
        <f t="shared" si="13"/>
        <v>0</v>
      </c>
      <c r="N271" s="18">
        <f t="shared" si="14"/>
        <v>0.24424778761061947</v>
      </c>
      <c r="O271" s="20"/>
    </row>
    <row r="272" spans="1:15">
      <c r="A272" s="7" t="s">
        <v>401</v>
      </c>
      <c r="B272" s="7" t="s">
        <v>403</v>
      </c>
      <c r="C272" s="7" t="s">
        <v>405</v>
      </c>
      <c r="D272" s="7" t="s">
        <v>460</v>
      </c>
      <c r="E272" s="7" t="s">
        <v>72</v>
      </c>
      <c r="F272" s="7" t="s">
        <v>74</v>
      </c>
      <c r="G272" s="7" t="s">
        <v>79</v>
      </c>
      <c r="H272" s="7" t="s">
        <v>515</v>
      </c>
      <c r="I272" s="13">
        <v>3233000</v>
      </c>
      <c r="J272" s="13">
        <v>794880</v>
      </c>
      <c r="K272" s="13">
        <v>794880</v>
      </c>
      <c r="L272" s="14">
        <f t="shared" si="12"/>
        <v>2438120</v>
      </c>
      <c r="M272" s="14">
        <f t="shared" si="13"/>
        <v>0</v>
      </c>
      <c r="N272" s="18">
        <f t="shared" si="14"/>
        <v>0.24586452211568202</v>
      </c>
      <c r="O272" s="20"/>
    </row>
    <row r="273" spans="1:15">
      <c r="A273" s="7" t="s">
        <v>401</v>
      </c>
      <c r="B273" s="7" t="s">
        <v>403</v>
      </c>
      <c r="C273" s="7" t="s">
        <v>405</v>
      </c>
      <c r="D273" s="7" t="s">
        <v>460</v>
      </c>
      <c r="E273" s="7" t="s">
        <v>72</v>
      </c>
      <c r="F273" s="7" t="s">
        <v>74</v>
      </c>
      <c r="G273" s="7" t="s">
        <v>79</v>
      </c>
      <c r="H273" s="7" t="s">
        <v>516</v>
      </c>
      <c r="I273" s="13">
        <v>1591000</v>
      </c>
      <c r="J273" s="13">
        <v>563040</v>
      </c>
      <c r="K273" s="13">
        <v>563040</v>
      </c>
      <c r="L273" s="14">
        <f t="shared" si="12"/>
        <v>1027960</v>
      </c>
      <c r="M273" s="14">
        <f t="shared" si="13"/>
        <v>0</v>
      </c>
      <c r="N273" s="18">
        <f t="shared" si="14"/>
        <v>0.35389063482086736</v>
      </c>
      <c r="O273" s="20"/>
    </row>
    <row r="274" spans="1:15">
      <c r="A274" s="7" t="s">
        <v>401</v>
      </c>
      <c r="B274" s="7" t="s">
        <v>403</v>
      </c>
      <c r="C274" s="7" t="s">
        <v>405</v>
      </c>
      <c r="D274" s="7" t="s">
        <v>460</v>
      </c>
      <c r="E274" s="7" t="s">
        <v>72</v>
      </c>
      <c r="F274" s="7" t="s">
        <v>74</v>
      </c>
      <c r="G274" s="7" t="s">
        <v>79</v>
      </c>
      <c r="H274" s="7" t="s">
        <v>517</v>
      </c>
      <c r="I274" s="13">
        <v>3824000</v>
      </c>
      <c r="J274" s="13">
        <v>1126080</v>
      </c>
      <c r="K274" s="13">
        <v>1126080</v>
      </c>
      <c r="L274" s="14">
        <f t="shared" si="12"/>
        <v>2697920</v>
      </c>
      <c r="M274" s="14">
        <f t="shared" si="13"/>
        <v>0</v>
      </c>
      <c r="N274" s="18">
        <f t="shared" si="14"/>
        <v>0.29447698744769873</v>
      </c>
      <c r="O274" s="20"/>
    </row>
    <row r="275" spans="1:15">
      <c r="A275" s="7" t="s">
        <v>401</v>
      </c>
      <c r="B275" s="7" t="s">
        <v>403</v>
      </c>
      <c r="C275" s="7" t="s">
        <v>405</v>
      </c>
      <c r="D275" s="7" t="s">
        <v>460</v>
      </c>
      <c r="E275" s="7" t="s">
        <v>72</v>
      </c>
      <c r="F275" s="7" t="s">
        <v>74</v>
      </c>
      <c r="G275" s="7" t="s">
        <v>79</v>
      </c>
      <c r="H275" s="7" t="s">
        <v>518</v>
      </c>
      <c r="I275" s="13">
        <v>1721000</v>
      </c>
      <c r="J275" s="13">
        <v>596160</v>
      </c>
      <c r="K275" s="13">
        <v>596160</v>
      </c>
      <c r="L275" s="14">
        <f t="shared" si="12"/>
        <v>1124840</v>
      </c>
      <c r="M275" s="14">
        <f t="shared" si="13"/>
        <v>0</v>
      </c>
      <c r="N275" s="18">
        <f t="shared" si="14"/>
        <v>0.34640325392213828</v>
      </c>
      <c r="O275" s="20"/>
    </row>
    <row r="276" spans="1:15">
      <c r="A276" s="7" t="s">
        <v>401</v>
      </c>
      <c r="B276" s="7" t="s">
        <v>403</v>
      </c>
      <c r="C276" s="7" t="s">
        <v>405</v>
      </c>
      <c r="D276" s="7" t="s">
        <v>460</v>
      </c>
      <c r="E276" s="7" t="s">
        <v>72</v>
      </c>
      <c r="F276" s="7" t="s">
        <v>74</v>
      </c>
      <c r="G276" s="7" t="s">
        <v>79</v>
      </c>
      <c r="H276" s="7" t="s">
        <v>519</v>
      </c>
      <c r="I276" s="13">
        <v>1504000</v>
      </c>
      <c r="J276" s="13">
        <v>463680</v>
      </c>
      <c r="K276" s="13">
        <v>463680</v>
      </c>
      <c r="L276" s="14">
        <f t="shared" si="12"/>
        <v>1040320</v>
      </c>
      <c r="M276" s="14">
        <f t="shared" si="13"/>
        <v>0</v>
      </c>
      <c r="N276" s="18">
        <f t="shared" si="14"/>
        <v>0.30829787234042555</v>
      </c>
      <c r="O276" s="20"/>
    </row>
    <row r="277" spans="1:15">
      <c r="A277" s="7" t="s">
        <v>401</v>
      </c>
      <c r="B277" s="7" t="s">
        <v>403</v>
      </c>
      <c r="C277" s="7" t="s">
        <v>405</v>
      </c>
      <c r="D277" s="7" t="s">
        <v>460</v>
      </c>
      <c r="E277" s="7" t="s">
        <v>72</v>
      </c>
      <c r="F277" s="7" t="s">
        <v>74</v>
      </c>
      <c r="G277" s="7" t="s">
        <v>79</v>
      </c>
      <c r="H277" s="7" t="s">
        <v>520</v>
      </c>
      <c r="I277" s="13">
        <v>2773000</v>
      </c>
      <c r="J277" s="13">
        <v>654120</v>
      </c>
      <c r="K277" s="13">
        <v>654120</v>
      </c>
      <c r="L277" s="14">
        <f t="shared" si="12"/>
        <v>2118880</v>
      </c>
      <c r="M277" s="14">
        <f t="shared" si="13"/>
        <v>0</v>
      </c>
      <c r="N277" s="18">
        <f t="shared" si="14"/>
        <v>0.23588892895780744</v>
      </c>
      <c r="O277" s="20"/>
    </row>
    <row r="278" spans="1:15">
      <c r="A278" s="7" t="s">
        <v>401</v>
      </c>
      <c r="B278" s="7" t="s">
        <v>403</v>
      </c>
      <c r="C278" s="7" t="s">
        <v>405</v>
      </c>
      <c r="D278" s="7" t="s">
        <v>460</v>
      </c>
      <c r="E278" s="7" t="s">
        <v>72</v>
      </c>
      <c r="F278" s="7" t="s">
        <v>74</v>
      </c>
      <c r="G278" s="7" t="s">
        <v>79</v>
      </c>
      <c r="H278" s="7" t="s">
        <v>521</v>
      </c>
      <c r="I278" s="13">
        <v>7270000</v>
      </c>
      <c r="J278" s="13">
        <v>1949700</v>
      </c>
      <c r="K278" s="13">
        <v>1949700</v>
      </c>
      <c r="L278" s="14">
        <f t="shared" si="12"/>
        <v>5320300</v>
      </c>
      <c r="M278" s="14">
        <f t="shared" si="13"/>
        <v>0</v>
      </c>
      <c r="N278" s="18">
        <f t="shared" si="14"/>
        <v>0.26818431911966989</v>
      </c>
      <c r="O278" s="20"/>
    </row>
    <row r="279" spans="1:15">
      <c r="A279" s="7" t="s">
        <v>401</v>
      </c>
      <c r="B279" s="7" t="s">
        <v>403</v>
      </c>
      <c r="C279" s="7" t="s">
        <v>405</v>
      </c>
      <c r="D279" s="7" t="s">
        <v>460</v>
      </c>
      <c r="E279" s="7" t="s">
        <v>72</v>
      </c>
      <c r="F279" s="7" t="s">
        <v>74</v>
      </c>
      <c r="G279" s="7" t="s">
        <v>79</v>
      </c>
      <c r="H279" s="7" t="s">
        <v>522</v>
      </c>
      <c r="I279" s="13">
        <v>3729000</v>
      </c>
      <c r="J279" s="13">
        <v>1225440</v>
      </c>
      <c r="K279" s="13">
        <v>1225440</v>
      </c>
      <c r="L279" s="14">
        <f t="shared" si="12"/>
        <v>2503560</v>
      </c>
      <c r="M279" s="14">
        <f t="shared" si="13"/>
        <v>0</v>
      </c>
      <c r="N279" s="18">
        <f t="shared" si="14"/>
        <v>0.32862429605792437</v>
      </c>
      <c r="O279" s="20"/>
    </row>
    <row r="280" spans="1:15">
      <c r="A280" s="7" t="s">
        <v>401</v>
      </c>
      <c r="B280" s="7" t="s">
        <v>403</v>
      </c>
      <c r="C280" s="7" t="s">
        <v>405</v>
      </c>
      <c r="D280" s="7" t="s">
        <v>460</v>
      </c>
      <c r="E280" s="7" t="s">
        <v>72</v>
      </c>
      <c r="F280" s="7" t="s">
        <v>74</v>
      </c>
      <c r="G280" s="7" t="s">
        <v>79</v>
      </c>
      <c r="H280" s="7" t="s">
        <v>523</v>
      </c>
      <c r="I280" s="13">
        <v>1548000</v>
      </c>
      <c r="J280" s="13">
        <v>429120</v>
      </c>
      <c r="K280" s="13">
        <v>429120</v>
      </c>
      <c r="L280" s="14">
        <f t="shared" si="12"/>
        <v>1118880</v>
      </c>
      <c r="M280" s="14">
        <f t="shared" si="13"/>
        <v>0</v>
      </c>
      <c r="N280" s="18">
        <f t="shared" si="14"/>
        <v>0.27720930232558139</v>
      </c>
      <c r="O280" s="20"/>
    </row>
    <row r="281" spans="1:15">
      <c r="A281" s="7" t="s">
        <v>401</v>
      </c>
      <c r="B281" s="7" t="s">
        <v>403</v>
      </c>
      <c r="C281" s="7" t="s">
        <v>405</v>
      </c>
      <c r="D281" s="7" t="s">
        <v>524</v>
      </c>
      <c r="E281" s="7" t="s">
        <v>72</v>
      </c>
      <c r="F281" s="7" t="s">
        <v>74</v>
      </c>
      <c r="G281" s="7" t="s">
        <v>76</v>
      </c>
      <c r="H281" s="7" t="s">
        <v>525</v>
      </c>
      <c r="I281" s="13">
        <v>87000</v>
      </c>
      <c r="J281" s="13">
        <v>0</v>
      </c>
      <c r="K281" s="13">
        <v>0</v>
      </c>
      <c r="L281" s="14">
        <f t="shared" si="12"/>
        <v>87000</v>
      </c>
      <c r="M281" s="14">
        <f t="shared" si="13"/>
        <v>0</v>
      </c>
      <c r="N281" s="18">
        <f t="shared" si="14"/>
        <v>0</v>
      </c>
      <c r="O281" s="20"/>
    </row>
    <row r="282" spans="1:15">
      <c r="A282" s="7" t="s">
        <v>401</v>
      </c>
      <c r="B282" s="7" t="s">
        <v>403</v>
      </c>
      <c r="C282" s="7" t="s">
        <v>405</v>
      </c>
      <c r="D282" s="7" t="s">
        <v>524</v>
      </c>
      <c r="E282" s="7" t="s">
        <v>72</v>
      </c>
      <c r="F282" s="7" t="s">
        <v>74</v>
      </c>
      <c r="G282" s="7" t="s">
        <v>76</v>
      </c>
      <c r="H282" s="7" t="s">
        <v>526</v>
      </c>
      <c r="I282" s="13">
        <v>104000</v>
      </c>
      <c r="J282" s="13">
        <v>0</v>
      </c>
      <c r="K282" s="13">
        <v>0</v>
      </c>
      <c r="L282" s="14">
        <f t="shared" si="12"/>
        <v>104000</v>
      </c>
      <c r="M282" s="14">
        <f t="shared" si="13"/>
        <v>0</v>
      </c>
      <c r="N282" s="18">
        <f t="shared" si="14"/>
        <v>0</v>
      </c>
      <c r="O282" s="20"/>
    </row>
    <row r="283" spans="1:15">
      <c r="A283" s="7" t="s">
        <v>401</v>
      </c>
      <c r="B283" s="7" t="s">
        <v>403</v>
      </c>
      <c r="C283" s="7" t="s">
        <v>405</v>
      </c>
      <c r="D283" s="7" t="s">
        <v>524</v>
      </c>
      <c r="E283" s="7" t="s">
        <v>72</v>
      </c>
      <c r="F283" s="7" t="s">
        <v>74</v>
      </c>
      <c r="G283" s="7" t="s">
        <v>76</v>
      </c>
      <c r="H283" s="7" t="s">
        <v>527</v>
      </c>
      <c r="I283" s="13">
        <v>183000</v>
      </c>
      <c r="J283" s="13">
        <v>0</v>
      </c>
      <c r="K283" s="13">
        <v>0</v>
      </c>
      <c r="L283" s="14">
        <f t="shared" si="12"/>
        <v>183000</v>
      </c>
      <c r="M283" s="14">
        <f t="shared" si="13"/>
        <v>0</v>
      </c>
      <c r="N283" s="18">
        <f t="shared" si="14"/>
        <v>0</v>
      </c>
      <c r="O283" s="20"/>
    </row>
    <row r="284" spans="1:15">
      <c r="A284" s="7" t="s">
        <v>401</v>
      </c>
      <c r="B284" s="7" t="s">
        <v>403</v>
      </c>
      <c r="C284" s="7" t="s">
        <v>405</v>
      </c>
      <c r="D284" s="7" t="s">
        <v>524</v>
      </c>
      <c r="E284" s="7" t="s">
        <v>72</v>
      </c>
      <c r="F284" s="7" t="s">
        <v>74</v>
      </c>
      <c r="G284" s="7" t="s">
        <v>76</v>
      </c>
      <c r="H284" s="7" t="s">
        <v>528</v>
      </c>
      <c r="I284" s="13">
        <v>52000</v>
      </c>
      <c r="J284" s="13">
        <v>0</v>
      </c>
      <c r="K284" s="13">
        <v>0</v>
      </c>
      <c r="L284" s="14">
        <f t="shared" si="12"/>
        <v>52000</v>
      </c>
      <c r="M284" s="14">
        <f t="shared" si="13"/>
        <v>0</v>
      </c>
      <c r="N284" s="18">
        <f t="shared" si="14"/>
        <v>0</v>
      </c>
      <c r="O284" s="20"/>
    </row>
    <row r="285" spans="1:15">
      <c r="A285" s="7" t="s">
        <v>401</v>
      </c>
      <c r="B285" s="7" t="s">
        <v>403</v>
      </c>
      <c r="C285" s="7" t="s">
        <v>405</v>
      </c>
      <c r="D285" s="7" t="s">
        <v>524</v>
      </c>
      <c r="E285" s="7" t="s">
        <v>72</v>
      </c>
      <c r="F285" s="7" t="s">
        <v>74</v>
      </c>
      <c r="G285" s="7" t="s">
        <v>76</v>
      </c>
      <c r="H285" s="7" t="s">
        <v>529</v>
      </c>
      <c r="I285" s="13">
        <v>89000</v>
      </c>
      <c r="J285" s="13">
        <v>0</v>
      </c>
      <c r="K285" s="13">
        <v>0</v>
      </c>
      <c r="L285" s="14">
        <f t="shared" si="12"/>
        <v>89000</v>
      </c>
      <c r="M285" s="14">
        <f t="shared" si="13"/>
        <v>0</v>
      </c>
      <c r="N285" s="18">
        <f t="shared" si="14"/>
        <v>0</v>
      </c>
      <c r="O285" s="20"/>
    </row>
    <row r="286" spans="1:15">
      <c r="A286" s="7" t="s">
        <v>401</v>
      </c>
      <c r="B286" s="7" t="s">
        <v>403</v>
      </c>
      <c r="C286" s="7" t="s">
        <v>405</v>
      </c>
      <c r="D286" s="7" t="s">
        <v>524</v>
      </c>
      <c r="E286" s="7" t="s">
        <v>72</v>
      </c>
      <c r="F286" s="7" t="s">
        <v>74</v>
      </c>
      <c r="G286" s="7" t="s">
        <v>76</v>
      </c>
      <c r="H286" s="7" t="s">
        <v>530</v>
      </c>
      <c r="I286" s="13">
        <v>67000</v>
      </c>
      <c r="J286" s="13">
        <v>0</v>
      </c>
      <c r="K286" s="13">
        <v>0</v>
      </c>
      <c r="L286" s="14">
        <f t="shared" si="12"/>
        <v>67000</v>
      </c>
      <c r="M286" s="14">
        <f t="shared" si="13"/>
        <v>0</v>
      </c>
      <c r="N286" s="18">
        <f t="shared" si="14"/>
        <v>0</v>
      </c>
      <c r="O286" s="20"/>
    </row>
    <row r="287" spans="1:15">
      <c r="A287" s="7" t="s">
        <v>401</v>
      </c>
      <c r="B287" s="7" t="s">
        <v>403</v>
      </c>
      <c r="C287" s="7" t="s">
        <v>405</v>
      </c>
      <c r="D287" s="7" t="s">
        <v>524</v>
      </c>
      <c r="E287" s="7" t="s">
        <v>72</v>
      </c>
      <c r="F287" s="7" t="s">
        <v>74</v>
      </c>
      <c r="G287" s="7" t="s">
        <v>76</v>
      </c>
      <c r="H287" s="7" t="s">
        <v>531</v>
      </c>
      <c r="I287" s="13">
        <v>158000</v>
      </c>
      <c r="J287" s="13">
        <v>0</v>
      </c>
      <c r="K287" s="13">
        <v>0</v>
      </c>
      <c r="L287" s="14">
        <f t="shared" si="12"/>
        <v>158000</v>
      </c>
      <c r="M287" s="14">
        <f t="shared" si="13"/>
        <v>0</v>
      </c>
      <c r="N287" s="18">
        <f t="shared" si="14"/>
        <v>0</v>
      </c>
      <c r="O287" s="20"/>
    </row>
    <row r="288" spans="1:15">
      <c r="A288" s="7" t="s">
        <v>401</v>
      </c>
      <c r="B288" s="7" t="s">
        <v>403</v>
      </c>
      <c r="C288" s="7" t="s">
        <v>405</v>
      </c>
      <c r="D288" s="7" t="s">
        <v>524</v>
      </c>
      <c r="E288" s="7" t="s">
        <v>72</v>
      </c>
      <c r="F288" s="7" t="s">
        <v>74</v>
      </c>
      <c r="G288" s="7" t="s">
        <v>76</v>
      </c>
      <c r="H288" s="7" t="s">
        <v>532</v>
      </c>
      <c r="I288" s="13">
        <v>148000</v>
      </c>
      <c r="J288" s="13">
        <v>0</v>
      </c>
      <c r="K288" s="13">
        <v>0</v>
      </c>
      <c r="L288" s="14">
        <f t="shared" si="12"/>
        <v>148000</v>
      </c>
      <c r="M288" s="14">
        <f t="shared" si="13"/>
        <v>0</v>
      </c>
      <c r="N288" s="18">
        <f t="shared" si="14"/>
        <v>0</v>
      </c>
      <c r="O288" s="20"/>
    </row>
    <row r="289" spans="1:15">
      <c r="A289" s="7" t="s">
        <v>401</v>
      </c>
      <c r="B289" s="7" t="s">
        <v>403</v>
      </c>
      <c r="C289" s="7" t="s">
        <v>405</v>
      </c>
      <c r="D289" s="7" t="s">
        <v>524</v>
      </c>
      <c r="E289" s="7" t="s">
        <v>72</v>
      </c>
      <c r="F289" s="7" t="s">
        <v>74</v>
      </c>
      <c r="G289" s="7" t="s">
        <v>76</v>
      </c>
      <c r="H289" s="7" t="s">
        <v>533</v>
      </c>
      <c r="I289" s="13">
        <v>78000</v>
      </c>
      <c r="J289" s="13">
        <v>0</v>
      </c>
      <c r="K289" s="13">
        <v>0</v>
      </c>
      <c r="L289" s="14">
        <f t="shared" si="12"/>
        <v>78000</v>
      </c>
      <c r="M289" s="14">
        <f t="shared" si="13"/>
        <v>0</v>
      </c>
      <c r="N289" s="18">
        <f t="shared" si="14"/>
        <v>0</v>
      </c>
      <c r="O289" s="20"/>
    </row>
    <row r="290" spans="1:15">
      <c r="A290" s="7" t="s">
        <v>401</v>
      </c>
      <c r="B290" s="7" t="s">
        <v>403</v>
      </c>
      <c r="C290" s="7" t="s">
        <v>405</v>
      </c>
      <c r="D290" s="7" t="s">
        <v>524</v>
      </c>
      <c r="E290" s="7" t="s">
        <v>72</v>
      </c>
      <c r="F290" s="7" t="s">
        <v>74</v>
      </c>
      <c r="G290" s="7" t="s">
        <v>76</v>
      </c>
      <c r="H290" s="7" t="s">
        <v>534</v>
      </c>
      <c r="I290" s="13">
        <v>83000</v>
      </c>
      <c r="J290" s="13">
        <v>0</v>
      </c>
      <c r="K290" s="13">
        <v>0</v>
      </c>
      <c r="L290" s="14">
        <f t="shared" si="12"/>
        <v>83000</v>
      </c>
      <c r="M290" s="14">
        <f t="shared" si="13"/>
        <v>0</v>
      </c>
      <c r="N290" s="18">
        <f t="shared" si="14"/>
        <v>0</v>
      </c>
      <c r="O290" s="20"/>
    </row>
    <row r="291" spans="1:15">
      <c r="A291" s="7" t="s">
        <v>401</v>
      </c>
      <c r="B291" s="7" t="s">
        <v>403</v>
      </c>
      <c r="C291" s="7" t="s">
        <v>405</v>
      </c>
      <c r="D291" s="7" t="s">
        <v>524</v>
      </c>
      <c r="E291" s="7" t="s">
        <v>72</v>
      </c>
      <c r="F291" s="7" t="s">
        <v>74</v>
      </c>
      <c r="G291" s="7" t="s">
        <v>76</v>
      </c>
      <c r="H291" s="7" t="s">
        <v>535</v>
      </c>
      <c r="I291" s="13">
        <v>100000</v>
      </c>
      <c r="J291" s="13">
        <v>0</v>
      </c>
      <c r="K291" s="13">
        <v>0</v>
      </c>
      <c r="L291" s="14">
        <f t="shared" si="12"/>
        <v>100000</v>
      </c>
      <c r="M291" s="14">
        <f t="shared" si="13"/>
        <v>0</v>
      </c>
      <c r="N291" s="18">
        <f t="shared" si="14"/>
        <v>0</v>
      </c>
      <c r="O291" s="20"/>
    </row>
    <row r="292" spans="1:15">
      <c r="A292" s="7" t="s">
        <v>401</v>
      </c>
      <c r="B292" s="7" t="s">
        <v>403</v>
      </c>
      <c r="C292" s="7" t="s">
        <v>405</v>
      </c>
      <c r="D292" s="7" t="s">
        <v>524</v>
      </c>
      <c r="E292" s="7" t="s">
        <v>72</v>
      </c>
      <c r="F292" s="7" t="s">
        <v>74</v>
      </c>
      <c r="G292" s="7" t="s">
        <v>76</v>
      </c>
      <c r="H292" s="7" t="s">
        <v>536</v>
      </c>
      <c r="I292" s="13">
        <v>182000</v>
      </c>
      <c r="J292" s="13">
        <v>0</v>
      </c>
      <c r="K292" s="13">
        <v>0</v>
      </c>
      <c r="L292" s="14">
        <f t="shared" si="12"/>
        <v>182000</v>
      </c>
      <c r="M292" s="14">
        <f t="shared" si="13"/>
        <v>0</v>
      </c>
      <c r="N292" s="18">
        <f t="shared" si="14"/>
        <v>0</v>
      </c>
      <c r="O292" s="20"/>
    </row>
    <row r="293" spans="1:15">
      <c r="A293" s="7" t="s">
        <v>401</v>
      </c>
      <c r="B293" s="7" t="s">
        <v>403</v>
      </c>
      <c r="C293" s="7" t="s">
        <v>405</v>
      </c>
      <c r="D293" s="7" t="s">
        <v>524</v>
      </c>
      <c r="E293" s="7" t="s">
        <v>72</v>
      </c>
      <c r="F293" s="7" t="s">
        <v>74</v>
      </c>
      <c r="G293" s="7" t="s">
        <v>76</v>
      </c>
      <c r="H293" s="7" t="s">
        <v>537</v>
      </c>
      <c r="I293" s="13">
        <v>96000</v>
      </c>
      <c r="J293" s="13">
        <v>0</v>
      </c>
      <c r="K293" s="13">
        <v>0</v>
      </c>
      <c r="L293" s="14">
        <f t="shared" si="12"/>
        <v>96000</v>
      </c>
      <c r="M293" s="14">
        <f t="shared" si="13"/>
        <v>0</v>
      </c>
      <c r="N293" s="18">
        <f t="shared" si="14"/>
        <v>0</v>
      </c>
      <c r="O293" s="20"/>
    </row>
    <row r="294" spans="1:15">
      <c r="A294" s="7" t="s">
        <v>401</v>
      </c>
      <c r="B294" s="7" t="s">
        <v>403</v>
      </c>
      <c r="C294" s="7" t="s">
        <v>405</v>
      </c>
      <c r="D294" s="7" t="s">
        <v>524</v>
      </c>
      <c r="E294" s="7" t="s">
        <v>72</v>
      </c>
      <c r="F294" s="7" t="s">
        <v>74</v>
      </c>
      <c r="G294" s="7" t="s">
        <v>76</v>
      </c>
      <c r="H294" s="7" t="s">
        <v>538</v>
      </c>
      <c r="I294" s="13">
        <v>209000</v>
      </c>
      <c r="J294" s="13">
        <v>0</v>
      </c>
      <c r="K294" s="13">
        <v>0</v>
      </c>
      <c r="L294" s="14">
        <f t="shared" si="12"/>
        <v>209000</v>
      </c>
      <c r="M294" s="14">
        <f t="shared" si="13"/>
        <v>0</v>
      </c>
      <c r="N294" s="18">
        <f t="shared" si="14"/>
        <v>0</v>
      </c>
      <c r="O294" s="20"/>
    </row>
    <row r="295" spans="1:15">
      <c r="A295" s="7" t="s">
        <v>401</v>
      </c>
      <c r="B295" s="7" t="s">
        <v>403</v>
      </c>
      <c r="C295" s="7" t="s">
        <v>405</v>
      </c>
      <c r="D295" s="7" t="s">
        <v>524</v>
      </c>
      <c r="E295" s="7" t="s">
        <v>72</v>
      </c>
      <c r="F295" s="7" t="s">
        <v>74</v>
      </c>
      <c r="G295" s="7" t="s">
        <v>76</v>
      </c>
      <c r="H295" s="7" t="s">
        <v>539</v>
      </c>
      <c r="I295" s="13">
        <v>77000</v>
      </c>
      <c r="J295" s="13">
        <v>0</v>
      </c>
      <c r="K295" s="13">
        <v>0</v>
      </c>
      <c r="L295" s="14">
        <f t="shared" si="12"/>
        <v>77000</v>
      </c>
      <c r="M295" s="14">
        <f t="shared" si="13"/>
        <v>0</v>
      </c>
      <c r="N295" s="18">
        <f t="shared" si="14"/>
        <v>0</v>
      </c>
      <c r="O295" s="20"/>
    </row>
    <row r="296" spans="1:15">
      <c r="A296" s="7" t="s">
        <v>401</v>
      </c>
      <c r="B296" s="7" t="s">
        <v>403</v>
      </c>
      <c r="C296" s="7" t="s">
        <v>405</v>
      </c>
      <c r="D296" s="7" t="s">
        <v>524</v>
      </c>
      <c r="E296" s="7" t="s">
        <v>72</v>
      </c>
      <c r="F296" s="7" t="s">
        <v>74</v>
      </c>
      <c r="G296" s="7" t="s">
        <v>76</v>
      </c>
      <c r="H296" s="7" t="s">
        <v>540</v>
      </c>
      <c r="I296" s="13">
        <v>86000</v>
      </c>
      <c r="J296" s="13">
        <v>0</v>
      </c>
      <c r="K296" s="13">
        <v>0</v>
      </c>
      <c r="L296" s="14">
        <f t="shared" si="12"/>
        <v>86000</v>
      </c>
      <c r="M296" s="14">
        <f t="shared" si="13"/>
        <v>0</v>
      </c>
      <c r="N296" s="18">
        <f t="shared" si="14"/>
        <v>0</v>
      </c>
      <c r="O296" s="20"/>
    </row>
    <row r="297" spans="1:15">
      <c r="A297" s="7" t="s">
        <v>401</v>
      </c>
      <c r="B297" s="7" t="s">
        <v>403</v>
      </c>
      <c r="C297" s="7" t="s">
        <v>405</v>
      </c>
      <c r="D297" s="7" t="s">
        <v>524</v>
      </c>
      <c r="E297" s="7" t="s">
        <v>72</v>
      </c>
      <c r="F297" s="7" t="s">
        <v>74</v>
      </c>
      <c r="G297" s="7" t="s">
        <v>76</v>
      </c>
      <c r="H297" s="7" t="s">
        <v>541</v>
      </c>
      <c r="I297" s="13">
        <v>100000</v>
      </c>
      <c r="J297" s="13">
        <v>0</v>
      </c>
      <c r="K297" s="13">
        <v>0</v>
      </c>
      <c r="L297" s="14">
        <f t="shared" si="12"/>
        <v>100000</v>
      </c>
      <c r="M297" s="14">
        <f t="shared" si="13"/>
        <v>0</v>
      </c>
      <c r="N297" s="18">
        <f t="shared" si="14"/>
        <v>0</v>
      </c>
      <c r="O297" s="20"/>
    </row>
    <row r="298" spans="1:15">
      <c r="A298" s="7" t="s">
        <v>401</v>
      </c>
      <c r="B298" s="7" t="s">
        <v>403</v>
      </c>
      <c r="C298" s="7" t="s">
        <v>405</v>
      </c>
      <c r="D298" s="7" t="s">
        <v>524</v>
      </c>
      <c r="E298" s="7" t="s">
        <v>72</v>
      </c>
      <c r="F298" s="7" t="s">
        <v>74</v>
      </c>
      <c r="G298" s="7" t="s">
        <v>76</v>
      </c>
      <c r="H298" s="7" t="s">
        <v>542</v>
      </c>
      <c r="I298" s="13">
        <v>113000</v>
      </c>
      <c r="J298" s="13">
        <v>0</v>
      </c>
      <c r="K298" s="13">
        <v>0</v>
      </c>
      <c r="L298" s="14">
        <f t="shared" si="12"/>
        <v>113000</v>
      </c>
      <c r="M298" s="14">
        <f t="shared" si="13"/>
        <v>0</v>
      </c>
      <c r="N298" s="18">
        <f t="shared" si="14"/>
        <v>0</v>
      </c>
      <c r="O298" s="20"/>
    </row>
    <row r="299" spans="1:15">
      <c r="A299" s="7" t="s">
        <v>401</v>
      </c>
      <c r="B299" s="7" t="s">
        <v>403</v>
      </c>
      <c r="C299" s="7" t="s">
        <v>405</v>
      </c>
      <c r="D299" s="7" t="s">
        <v>524</v>
      </c>
      <c r="E299" s="7" t="s">
        <v>72</v>
      </c>
      <c r="F299" s="7" t="s">
        <v>74</v>
      </c>
      <c r="G299" s="7" t="s">
        <v>76</v>
      </c>
      <c r="H299" s="7" t="s">
        <v>543</v>
      </c>
      <c r="I299" s="13">
        <v>118000</v>
      </c>
      <c r="J299" s="13">
        <v>0</v>
      </c>
      <c r="K299" s="13">
        <v>0</v>
      </c>
      <c r="L299" s="14">
        <f t="shared" si="12"/>
        <v>118000</v>
      </c>
      <c r="M299" s="14">
        <f t="shared" si="13"/>
        <v>0</v>
      </c>
      <c r="N299" s="18">
        <f t="shared" si="14"/>
        <v>0</v>
      </c>
      <c r="O299" s="20"/>
    </row>
    <row r="300" spans="1:15">
      <c r="A300" s="7" t="s">
        <v>401</v>
      </c>
      <c r="B300" s="7" t="s">
        <v>403</v>
      </c>
      <c r="C300" s="7" t="s">
        <v>405</v>
      </c>
      <c r="D300" s="7" t="s">
        <v>524</v>
      </c>
      <c r="E300" s="7" t="s">
        <v>72</v>
      </c>
      <c r="F300" s="7" t="s">
        <v>74</v>
      </c>
      <c r="G300" s="7" t="s">
        <v>76</v>
      </c>
      <c r="H300" s="7" t="s">
        <v>544</v>
      </c>
      <c r="I300" s="13">
        <v>68000</v>
      </c>
      <c r="J300" s="13">
        <v>0</v>
      </c>
      <c r="K300" s="13">
        <v>0</v>
      </c>
      <c r="L300" s="14">
        <f t="shared" si="12"/>
        <v>68000</v>
      </c>
      <c r="M300" s="14">
        <f t="shared" si="13"/>
        <v>0</v>
      </c>
      <c r="N300" s="18">
        <f t="shared" si="14"/>
        <v>0</v>
      </c>
      <c r="O300" s="20"/>
    </row>
    <row r="301" spans="1:15">
      <c r="A301" s="7" t="s">
        <v>401</v>
      </c>
      <c r="B301" s="7" t="s">
        <v>403</v>
      </c>
      <c r="C301" s="7" t="s">
        <v>405</v>
      </c>
      <c r="D301" s="7" t="s">
        <v>524</v>
      </c>
      <c r="E301" s="7" t="s">
        <v>72</v>
      </c>
      <c r="F301" s="7" t="s">
        <v>74</v>
      </c>
      <c r="G301" s="7" t="s">
        <v>76</v>
      </c>
      <c r="H301" s="7" t="s">
        <v>545</v>
      </c>
      <c r="I301" s="13">
        <v>162000</v>
      </c>
      <c r="J301" s="13">
        <v>0</v>
      </c>
      <c r="K301" s="13">
        <v>0</v>
      </c>
      <c r="L301" s="14">
        <f t="shared" si="12"/>
        <v>162000</v>
      </c>
      <c r="M301" s="14">
        <f t="shared" si="13"/>
        <v>0</v>
      </c>
      <c r="N301" s="18">
        <f t="shared" si="14"/>
        <v>0</v>
      </c>
      <c r="O301" s="20"/>
    </row>
    <row r="302" spans="1:15">
      <c r="A302" s="7" t="s">
        <v>401</v>
      </c>
      <c r="B302" s="7" t="s">
        <v>403</v>
      </c>
      <c r="C302" s="7" t="s">
        <v>405</v>
      </c>
      <c r="D302" s="7" t="s">
        <v>524</v>
      </c>
      <c r="E302" s="7" t="s">
        <v>72</v>
      </c>
      <c r="F302" s="7" t="s">
        <v>74</v>
      </c>
      <c r="G302" s="7" t="s">
        <v>76</v>
      </c>
      <c r="H302" s="7" t="s">
        <v>546</v>
      </c>
      <c r="I302" s="13">
        <v>80000</v>
      </c>
      <c r="J302" s="13">
        <v>0</v>
      </c>
      <c r="K302" s="13">
        <v>0</v>
      </c>
      <c r="L302" s="14">
        <f t="shared" si="12"/>
        <v>80000</v>
      </c>
      <c r="M302" s="14">
        <f t="shared" si="13"/>
        <v>0</v>
      </c>
      <c r="N302" s="18">
        <f t="shared" si="14"/>
        <v>0</v>
      </c>
      <c r="O302" s="20"/>
    </row>
    <row r="303" spans="1:15">
      <c r="A303" s="7" t="s">
        <v>401</v>
      </c>
      <c r="B303" s="7" t="s">
        <v>403</v>
      </c>
      <c r="C303" s="7" t="s">
        <v>405</v>
      </c>
      <c r="D303" s="7" t="s">
        <v>524</v>
      </c>
      <c r="E303" s="7" t="s">
        <v>72</v>
      </c>
      <c r="F303" s="7" t="s">
        <v>74</v>
      </c>
      <c r="G303" s="7" t="s">
        <v>76</v>
      </c>
      <c r="H303" s="7" t="s">
        <v>547</v>
      </c>
      <c r="I303" s="13">
        <v>191000</v>
      </c>
      <c r="J303" s="13">
        <v>0</v>
      </c>
      <c r="K303" s="13">
        <v>0</v>
      </c>
      <c r="L303" s="14">
        <f t="shared" si="12"/>
        <v>191000</v>
      </c>
      <c r="M303" s="14">
        <f t="shared" si="13"/>
        <v>0</v>
      </c>
      <c r="N303" s="18">
        <f t="shared" si="14"/>
        <v>0</v>
      </c>
      <c r="O303" s="20"/>
    </row>
    <row r="304" spans="1:15">
      <c r="A304" s="7" t="s">
        <v>401</v>
      </c>
      <c r="B304" s="7" t="s">
        <v>403</v>
      </c>
      <c r="C304" s="7" t="s">
        <v>405</v>
      </c>
      <c r="D304" s="7" t="s">
        <v>524</v>
      </c>
      <c r="E304" s="7" t="s">
        <v>72</v>
      </c>
      <c r="F304" s="7" t="s">
        <v>74</v>
      </c>
      <c r="G304" s="7" t="s">
        <v>76</v>
      </c>
      <c r="H304" s="7" t="s">
        <v>548</v>
      </c>
      <c r="I304" s="13">
        <v>86000</v>
      </c>
      <c r="J304" s="13">
        <v>0</v>
      </c>
      <c r="K304" s="13">
        <v>0</v>
      </c>
      <c r="L304" s="14">
        <f t="shared" si="12"/>
        <v>86000</v>
      </c>
      <c r="M304" s="14">
        <f t="shared" si="13"/>
        <v>0</v>
      </c>
      <c r="N304" s="18">
        <f t="shared" si="14"/>
        <v>0</v>
      </c>
      <c r="O304" s="20"/>
    </row>
    <row r="305" spans="1:15">
      <c r="A305" s="7" t="s">
        <v>401</v>
      </c>
      <c r="B305" s="7" t="s">
        <v>403</v>
      </c>
      <c r="C305" s="7" t="s">
        <v>405</v>
      </c>
      <c r="D305" s="7" t="s">
        <v>524</v>
      </c>
      <c r="E305" s="7" t="s">
        <v>72</v>
      </c>
      <c r="F305" s="7" t="s">
        <v>74</v>
      </c>
      <c r="G305" s="7" t="s">
        <v>76</v>
      </c>
      <c r="H305" s="7" t="s">
        <v>549</v>
      </c>
      <c r="I305" s="13">
        <v>75000</v>
      </c>
      <c r="J305" s="13">
        <v>0</v>
      </c>
      <c r="K305" s="13">
        <v>0</v>
      </c>
      <c r="L305" s="14">
        <f t="shared" si="12"/>
        <v>75000</v>
      </c>
      <c r="M305" s="14">
        <f t="shared" si="13"/>
        <v>0</v>
      </c>
      <c r="N305" s="18">
        <f t="shared" si="14"/>
        <v>0</v>
      </c>
      <c r="O305" s="20"/>
    </row>
    <row r="306" spans="1:15">
      <c r="A306" s="7" t="s">
        <v>401</v>
      </c>
      <c r="B306" s="7" t="s">
        <v>403</v>
      </c>
      <c r="C306" s="7" t="s">
        <v>405</v>
      </c>
      <c r="D306" s="7" t="s">
        <v>524</v>
      </c>
      <c r="E306" s="7" t="s">
        <v>72</v>
      </c>
      <c r="F306" s="7" t="s">
        <v>74</v>
      </c>
      <c r="G306" s="7" t="s">
        <v>76</v>
      </c>
      <c r="H306" s="7" t="s">
        <v>550</v>
      </c>
      <c r="I306" s="13">
        <v>139000</v>
      </c>
      <c r="J306" s="13">
        <v>0</v>
      </c>
      <c r="K306" s="13">
        <v>0</v>
      </c>
      <c r="L306" s="14">
        <f t="shared" si="12"/>
        <v>139000</v>
      </c>
      <c r="M306" s="14">
        <f t="shared" si="13"/>
        <v>0</v>
      </c>
      <c r="N306" s="18">
        <f t="shared" si="14"/>
        <v>0</v>
      </c>
      <c r="O306" s="20"/>
    </row>
    <row r="307" spans="1:15">
      <c r="A307" s="7" t="s">
        <v>401</v>
      </c>
      <c r="B307" s="7" t="s">
        <v>403</v>
      </c>
      <c r="C307" s="7" t="s">
        <v>405</v>
      </c>
      <c r="D307" s="7" t="s">
        <v>524</v>
      </c>
      <c r="E307" s="7" t="s">
        <v>72</v>
      </c>
      <c r="F307" s="7" t="s">
        <v>74</v>
      </c>
      <c r="G307" s="7" t="s">
        <v>76</v>
      </c>
      <c r="H307" s="7" t="s">
        <v>551</v>
      </c>
      <c r="I307" s="13">
        <v>364000</v>
      </c>
      <c r="J307" s="13">
        <v>0</v>
      </c>
      <c r="K307" s="13">
        <v>0</v>
      </c>
      <c r="L307" s="14">
        <f t="shared" si="12"/>
        <v>364000</v>
      </c>
      <c r="M307" s="14">
        <f t="shared" si="13"/>
        <v>0</v>
      </c>
      <c r="N307" s="18">
        <f t="shared" si="14"/>
        <v>0</v>
      </c>
      <c r="O307" s="20"/>
    </row>
    <row r="308" spans="1:15">
      <c r="A308" s="7" t="s">
        <v>401</v>
      </c>
      <c r="B308" s="7" t="s">
        <v>403</v>
      </c>
      <c r="C308" s="7" t="s">
        <v>405</v>
      </c>
      <c r="D308" s="7" t="s">
        <v>524</v>
      </c>
      <c r="E308" s="7" t="s">
        <v>72</v>
      </c>
      <c r="F308" s="7" t="s">
        <v>74</v>
      </c>
      <c r="G308" s="7" t="s">
        <v>76</v>
      </c>
      <c r="H308" s="7" t="s">
        <v>552</v>
      </c>
      <c r="I308" s="13">
        <v>186000</v>
      </c>
      <c r="J308" s="13">
        <v>0</v>
      </c>
      <c r="K308" s="13">
        <v>0</v>
      </c>
      <c r="L308" s="14">
        <f t="shared" si="12"/>
        <v>186000</v>
      </c>
      <c r="M308" s="14">
        <f t="shared" si="13"/>
        <v>0</v>
      </c>
      <c r="N308" s="18">
        <f t="shared" si="14"/>
        <v>0</v>
      </c>
      <c r="O308" s="20"/>
    </row>
    <row r="309" spans="1:15">
      <c r="A309" s="7" t="s">
        <v>401</v>
      </c>
      <c r="B309" s="7" t="s">
        <v>403</v>
      </c>
      <c r="C309" s="7" t="s">
        <v>405</v>
      </c>
      <c r="D309" s="7" t="s">
        <v>524</v>
      </c>
      <c r="E309" s="7" t="s">
        <v>72</v>
      </c>
      <c r="F309" s="7" t="s">
        <v>74</v>
      </c>
      <c r="G309" s="7" t="s">
        <v>76</v>
      </c>
      <c r="H309" s="7" t="s">
        <v>553</v>
      </c>
      <c r="I309" s="13">
        <v>77000</v>
      </c>
      <c r="J309" s="13">
        <v>0</v>
      </c>
      <c r="K309" s="13">
        <v>0</v>
      </c>
      <c r="L309" s="14">
        <f t="shared" si="12"/>
        <v>77000</v>
      </c>
      <c r="M309" s="14">
        <f t="shared" si="13"/>
        <v>0</v>
      </c>
      <c r="N309" s="18">
        <f t="shared" si="14"/>
        <v>0</v>
      </c>
      <c r="O309" s="20"/>
    </row>
    <row r="310" spans="1:15">
      <c r="A310" s="7" t="s">
        <v>401</v>
      </c>
      <c r="B310" s="7" t="s">
        <v>403</v>
      </c>
      <c r="C310" s="7" t="s">
        <v>405</v>
      </c>
      <c r="D310" s="7" t="s">
        <v>524</v>
      </c>
      <c r="E310" s="7" t="s">
        <v>72</v>
      </c>
      <c r="F310" s="7" t="s">
        <v>74</v>
      </c>
      <c r="G310" s="7" t="s">
        <v>79</v>
      </c>
      <c r="H310" s="7" t="s">
        <v>554</v>
      </c>
      <c r="I310" s="13">
        <v>103000</v>
      </c>
      <c r="J310" s="13">
        <v>79130</v>
      </c>
      <c r="K310" s="13">
        <v>79130</v>
      </c>
      <c r="L310" s="14">
        <f t="shared" si="12"/>
        <v>23870</v>
      </c>
      <c r="M310" s="14">
        <f t="shared" si="13"/>
        <v>0</v>
      </c>
      <c r="N310" s="18">
        <f t="shared" si="14"/>
        <v>0.76825242718446607</v>
      </c>
      <c r="O310" s="20"/>
    </row>
    <row r="311" spans="1:15">
      <c r="A311" s="7" t="s">
        <v>401</v>
      </c>
      <c r="B311" s="7" t="s">
        <v>403</v>
      </c>
      <c r="C311" s="7" t="s">
        <v>405</v>
      </c>
      <c r="D311" s="7" t="s">
        <v>524</v>
      </c>
      <c r="E311" s="7" t="s">
        <v>72</v>
      </c>
      <c r="F311" s="7" t="s">
        <v>74</v>
      </c>
      <c r="G311" s="7" t="s">
        <v>79</v>
      </c>
      <c r="H311" s="7" t="s">
        <v>555</v>
      </c>
      <c r="I311" s="13">
        <v>185000</v>
      </c>
      <c r="J311" s="13">
        <v>177120</v>
      </c>
      <c r="K311" s="13">
        <v>177120</v>
      </c>
      <c r="L311" s="14">
        <f t="shared" si="12"/>
        <v>7880</v>
      </c>
      <c r="M311" s="14">
        <f t="shared" si="13"/>
        <v>0</v>
      </c>
      <c r="N311" s="18">
        <f t="shared" si="14"/>
        <v>0.95740540540540542</v>
      </c>
      <c r="O311" s="20"/>
    </row>
    <row r="312" spans="1:15">
      <c r="A312" s="7" t="s">
        <v>401</v>
      </c>
      <c r="B312" s="7" t="s">
        <v>403</v>
      </c>
      <c r="C312" s="7" t="s">
        <v>405</v>
      </c>
      <c r="D312" s="7" t="s">
        <v>524</v>
      </c>
      <c r="E312" s="7" t="s">
        <v>72</v>
      </c>
      <c r="F312" s="7" t="s">
        <v>74</v>
      </c>
      <c r="G312" s="7" t="s">
        <v>79</v>
      </c>
      <c r="H312" s="7" t="s">
        <v>556</v>
      </c>
      <c r="I312" s="13">
        <v>74000</v>
      </c>
      <c r="J312" s="13">
        <v>44690</v>
      </c>
      <c r="K312" s="13">
        <v>44690</v>
      </c>
      <c r="L312" s="14">
        <f t="shared" si="12"/>
        <v>29310</v>
      </c>
      <c r="M312" s="14">
        <f t="shared" si="13"/>
        <v>0</v>
      </c>
      <c r="N312" s="18">
        <f t="shared" si="14"/>
        <v>0.60391891891891891</v>
      </c>
      <c r="O312" s="20"/>
    </row>
    <row r="313" spans="1:15">
      <c r="A313" s="7" t="s">
        <v>401</v>
      </c>
      <c r="B313" s="7" t="s">
        <v>403</v>
      </c>
      <c r="C313" s="7" t="s">
        <v>405</v>
      </c>
      <c r="D313" s="7" t="s">
        <v>524</v>
      </c>
      <c r="E313" s="7" t="s">
        <v>72</v>
      </c>
      <c r="F313" s="7" t="s">
        <v>74</v>
      </c>
      <c r="G313" s="7" t="s">
        <v>79</v>
      </c>
      <c r="H313" s="7" t="s">
        <v>557</v>
      </c>
      <c r="I313" s="13">
        <v>105000</v>
      </c>
      <c r="J313" s="13">
        <v>104960</v>
      </c>
      <c r="K313" s="13">
        <v>104960</v>
      </c>
      <c r="L313" s="14">
        <f t="shared" si="12"/>
        <v>40</v>
      </c>
      <c r="M313" s="14">
        <f t="shared" si="13"/>
        <v>0</v>
      </c>
      <c r="N313" s="18">
        <f t="shared" si="14"/>
        <v>0.99961904761904763</v>
      </c>
      <c r="O313" s="20"/>
    </row>
    <row r="314" spans="1:15">
      <c r="A314" s="7" t="s">
        <v>401</v>
      </c>
      <c r="B314" s="7" t="s">
        <v>403</v>
      </c>
      <c r="C314" s="7" t="s">
        <v>405</v>
      </c>
      <c r="D314" s="7" t="s">
        <v>524</v>
      </c>
      <c r="E314" s="7" t="s">
        <v>72</v>
      </c>
      <c r="F314" s="7" t="s">
        <v>74</v>
      </c>
      <c r="G314" s="7" t="s">
        <v>79</v>
      </c>
      <c r="H314" s="7" t="s">
        <v>558</v>
      </c>
      <c r="I314" s="13">
        <v>0</v>
      </c>
      <c r="J314" s="13">
        <v>0</v>
      </c>
      <c r="K314" s="13">
        <v>0</v>
      </c>
      <c r="L314" s="14">
        <f t="shared" si="12"/>
        <v>0</v>
      </c>
      <c r="M314" s="14">
        <f t="shared" si="13"/>
        <v>0</v>
      </c>
      <c r="N314" s="18">
        <f t="shared" si="14"/>
        <v>0</v>
      </c>
      <c r="O314" s="20"/>
    </row>
    <row r="315" spans="1:15">
      <c r="A315" s="7" t="s">
        <v>401</v>
      </c>
      <c r="B315" s="7" t="s">
        <v>403</v>
      </c>
      <c r="C315" s="7" t="s">
        <v>405</v>
      </c>
      <c r="D315" s="7" t="s">
        <v>524</v>
      </c>
      <c r="E315" s="7" t="s">
        <v>72</v>
      </c>
      <c r="F315" s="7" t="s">
        <v>74</v>
      </c>
      <c r="G315" s="7" t="s">
        <v>79</v>
      </c>
      <c r="H315" s="7" t="s">
        <v>559</v>
      </c>
      <c r="I315" s="13">
        <v>197000</v>
      </c>
      <c r="J315" s="13">
        <v>51660</v>
      </c>
      <c r="K315" s="13">
        <v>51660</v>
      </c>
      <c r="L315" s="14">
        <f t="shared" si="12"/>
        <v>145340</v>
      </c>
      <c r="M315" s="14">
        <f t="shared" si="13"/>
        <v>0</v>
      </c>
      <c r="N315" s="18">
        <f t="shared" si="14"/>
        <v>0.26223350253807104</v>
      </c>
      <c r="O315" s="20"/>
    </row>
    <row r="316" spans="1:15">
      <c r="A316" s="7" t="s">
        <v>401</v>
      </c>
      <c r="B316" s="7" t="s">
        <v>403</v>
      </c>
      <c r="C316" s="7" t="s">
        <v>405</v>
      </c>
      <c r="D316" s="7" t="s">
        <v>524</v>
      </c>
      <c r="E316" s="7" t="s">
        <v>72</v>
      </c>
      <c r="F316" s="7" t="s">
        <v>74</v>
      </c>
      <c r="G316" s="7" t="s">
        <v>79</v>
      </c>
      <c r="H316" s="7" t="s">
        <v>560</v>
      </c>
      <c r="I316" s="13">
        <v>129000</v>
      </c>
      <c r="J316" s="13">
        <v>128740</v>
      </c>
      <c r="K316" s="13">
        <v>128740</v>
      </c>
      <c r="L316" s="14">
        <f t="shared" si="12"/>
        <v>260</v>
      </c>
      <c r="M316" s="14">
        <f t="shared" si="13"/>
        <v>0</v>
      </c>
      <c r="N316" s="18">
        <f t="shared" si="14"/>
        <v>0.99798449612403106</v>
      </c>
      <c r="O316" s="20"/>
    </row>
    <row r="317" spans="1:15">
      <c r="A317" s="7" t="s">
        <v>401</v>
      </c>
      <c r="B317" s="7" t="s">
        <v>403</v>
      </c>
      <c r="C317" s="7" t="s">
        <v>405</v>
      </c>
      <c r="D317" s="7" t="s">
        <v>524</v>
      </c>
      <c r="E317" s="7" t="s">
        <v>72</v>
      </c>
      <c r="F317" s="7" t="s">
        <v>74</v>
      </c>
      <c r="G317" s="7" t="s">
        <v>79</v>
      </c>
      <c r="H317" s="7" t="s">
        <v>561</v>
      </c>
      <c r="I317" s="13">
        <v>91000</v>
      </c>
      <c r="J317" s="13">
        <v>51660</v>
      </c>
      <c r="K317" s="13">
        <v>51660</v>
      </c>
      <c r="L317" s="14">
        <f t="shared" si="12"/>
        <v>39340</v>
      </c>
      <c r="M317" s="14">
        <f t="shared" si="13"/>
        <v>0</v>
      </c>
      <c r="N317" s="18">
        <f t="shared" si="14"/>
        <v>0.56769230769230772</v>
      </c>
      <c r="O317" s="20"/>
    </row>
    <row r="318" spans="1:15">
      <c r="A318" s="7" t="s">
        <v>401</v>
      </c>
      <c r="B318" s="7" t="s">
        <v>403</v>
      </c>
      <c r="C318" s="7" t="s">
        <v>405</v>
      </c>
      <c r="D318" s="7" t="s">
        <v>524</v>
      </c>
      <c r="E318" s="7" t="s">
        <v>72</v>
      </c>
      <c r="F318" s="7" t="s">
        <v>74</v>
      </c>
      <c r="G318" s="7" t="s">
        <v>79</v>
      </c>
      <c r="H318" s="7" t="s">
        <v>562</v>
      </c>
      <c r="I318" s="13">
        <v>86000</v>
      </c>
      <c r="J318" s="13">
        <v>79200</v>
      </c>
      <c r="K318" s="13">
        <v>79200</v>
      </c>
      <c r="L318" s="14">
        <f t="shared" si="12"/>
        <v>6800</v>
      </c>
      <c r="M318" s="14">
        <f t="shared" si="13"/>
        <v>0</v>
      </c>
      <c r="N318" s="18">
        <f t="shared" si="14"/>
        <v>0.92093023255813955</v>
      </c>
      <c r="O318" s="20"/>
    </row>
    <row r="319" spans="1:15">
      <c r="A319" s="7" t="s">
        <v>401</v>
      </c>
      <c r="B319" s="7" t="s">
        <v>403</v>
      </c>
      <c r="C319" s="7" t="s">
        <v>405</v>
      </c>
      <c r="D319" s="7" t="s">
        <v>524</v>
      </c>
      <c r="E319" s="7" t="s">
        <v>72</v>
      </c>
      <c r="F319" s="7" t="s">
        <v>74</v>
      </c>
      <c r="G319" s="7" t="s">
        <v>79</v>
      </c>
      <c r="H319" s="7" t="s">
        <v>563</v>
      </c>
      <c r="I319" s="13">
        <v>95000</v>
      </c>
      <c r="J319" s="13">
        <v>77080</v>
      </c>
      <c r="K319" s="13">
        <v>77080</v>
      </c>
      <c r="L319" s="14">
        <f t="shared" si="12"/>
        <v>17920</v>
      </c>
      <c r="M319" s="14">
        <f t="shared" si="13"/>
        <v>0</v>
      </c>
      <c r="N319" s="18">
        <f t="shared" si="14"/>
        <v>0.81136842105263163</v>
      </c>
      <c r="O319" s="20"/>
    </row>
    <row r="320" spans="1:15">
      <c r="A320" s="7" t="s">
        <v>401</v>
      </c>
      <c r="B320" s="7" t="s">
        <v>403</v>
      </c>
      <c r="C320" s="7" t="s">
        <v>405</v>
      </c>
      <c r="D320" s="7" t="s">
        <v>524</v>
      </c>
      <c r="E320" s="7" t="s">
        <v>72</v>
      </c>
      <c r="F320" s="7" t="s">
        <v>74</v>
      </c>
      <c r="G320" s="7" t="s">
        <v>79</v>
      </c>
      <c r="H320" s="7" t="s">
        <v>564</v>
      </c>
      <c r="I320" s="13">
        <v>126000</v>
      </c>
      <c r="J320" s="13">
        <v>125870</v>
      </c>
      <c r="K320" s="13">
        <v>125870</v>
      </c>
      <c r="L320" s="14">
        <f t="shared" si="12"/>
        <v>130</v>
      </c>
      <c r="M320" s="14">
        <f t="shared" si="13"/>
        <v>0</v>
      </c>
      <c r="N320" s="18">
        <f t="shared" si="14"/>
        <v>0.99896825396825395</v>
      </c>
      <c r="O320" s="20"/>
    </row>
    <row r="321" spans="1:15">
      <c r="A321" s="7" t="s">
        <v>401</v>
      </c>
      <c r="B321" s="7" t="s">
        <v>403</v>
      </c>
      <c r="C321" s="7" t="s">
        <v>405</v>
      </c>
      <c r="D321" s="7" t="s">
        <v>524</v>
      </c>
      <c r="E321" s="7" t="s">
        <v>72</v>
      </c>
      <c r="F321" s="7" t="s">
        <v>74</v>
      </c>
      <c r="G321" s="7" t="s">
        <v>79</v>
      </c>
      <c r="H321" s="7" t="s">
        <v>565</v>
      </c>
      <c r="I321" s="13">
        <v>153000</v>
      </c>
      <c r="J321" s="13">
        <v>90200</v>
      </c>
      <c r="K321" s="13">
        <v>90200</v>
      </c>
      <c r="L321" s="14">
        <f t="shared" si="12"/>
        <v>62800</v>
      </c>
      <c r="M321" s="14">
        <f t="shared" si="13"/>
        <v>0</v>
      </c>
      <c r="N321" s="18">
        <f t="shared" si="14"/>
        <v>0.58954248366013073</v>
      </c>
      <c r="O321" s="20"/>
    </row>
    <row r="322" spans="1:15">
      <c r="A322" s="7" t="s">
        <v>401</v>
      </c>
      <c r="B322" s="7" t="s">
        <v>403</v>
      </c>
      <c r="C322" s="7" t="s">
        <v>405</v>
      </c>
      <c r="D322" s="7" t="s">
        <v>524</v>
      </c>
      <c r="E322" s="7" t="s">
        <v>72</v>
      </c>
      <c r="F322" s="7" t="s">
        <v>74</v>
      </c>
      <c r="G322" s="7" t="s">
        <v>79</v>
      </c>
      <c r="H322" s="7" t="s">
        <v>566</v>
      </c>
      <c r="I322" s="13">
        <v>179000</v>
      </c>
      <c r="J322" s="13">
        <v>148830</v>
      </c>
      <c r="K322" s="13">
        <v>148830</v>
      </c>
      <c r="L322" s="14">
        <f t="shared" si="12"/>
        <v>30170</v>
      </c>
      <c r="M322" s="14">
        <f t="shared" si="13"/>
        <v>0</v>
      </c>
      <c r="N322" s="18">
        <f t="shared" si="14"/>
        <v>0.83145251396648046</v>
      </c>
      <c r="O322" s="20"/>
    </row>
    <row r="323" spans="1:15">
      <c r="A323" s="7" t="s">
        <v>401</v>
      </c>
      <c r="B323" s="7" t="s">
        <v>403</v>
      </c>
      <c r="C323" s="7" t="s">
        <v>405</v>
      </c>
      <c r="D323" s="7" t="s">
        <v>524</v>
      </c>
      <c r="E323" s="7" t="s">
        <v>72</v>
      </c>
      <c r="F323" s="7" t="s">
        <v>74</v>
      </c>
      <c r="G323" s="7" t="s">
        <v>79</v>
      </c>
      <c r="H323" s="7" t="s">
        <v>567</v>
      </c>
      <c r="I323" s="13">
        <v>0</v>
      </c>
      <c r="J323" s="13">
        <v>0</v>
      </c>
      <c r="K323" s="13">
        <v>0</v>
      </c>
      <c r="L323" s="14">
        <f t="shared" si="12"/>
        <v>0</v>
      </c>
      <c r="M323" s="14">
        <f t="shared" si="13"/>
        <v>0</v>
      </c>
      <c r="N323" s="18">
        <f t="shared" si="14"/>
        <v>0</v>
      </c>
      <c r="O323" s="20"/>
    </row>
    <row r="324" spans="1:15">
      <c r="A324" s="7" t="s">
        <v>401</v>
      </c>
      <c r="B324" s="7" t="s">
        <v>403</v>
      </c>
      <c r="C324" s="7" t="s">
        <v>405</v>
      </c>
      <c r="D324" s="7" t="s">
        <v>524</v>
      </c>
      <c r="E324" s="7" t="s">
        <v>72</v>
      </c>
      <c r="F324" s="7" t="s">
        <v>74</v>
      </c>
      <c r="G324" s="7" t="s">
        <v>79</v>
      </c>
      <c r="H324" s="7" t="s">
        <v>568</v>
      </c>
      <c r="I324" s="13">
        <v>121000</v>
      </c>
      <c r="J324" s="13">
        <v>57400</v>
      </c>
      <c r="K324" s="13">
        <v>57400</v>
      </c>
      <c r="L324" s="14">
        <f t="shared" ref="L324:L387" si="15">I324-J324</f>
        <v>63600</v>
      </c>
      <c r="M324" s="14">
        <f t="shared" ref="M324:M387" si="16">J324-K324</f>
        <v>0</v>
      </c>
      <c r="N324" s="18">
        <f t="shared" ref="N324:N387" si="17">IFERROR(J324/I324,0)</f>
        <v>0.47438016528925619</v>
      </c>
      <c r="O324" s="20"/>
    </row>
    <row r="325" spans="1:15">
      <c r="A325" s="7" t="s">
        <v>401</v>
      </c>
      <c r="B325" s="7" t="s">
        <v>403</v>
      </c>
      <c r="C325" s="7" t="s">
        <v>405</v>
      </c>
      <c r="D325" s="7" t="s">
        <v>524</v>
      </c>
      <c r="E325" s="7" t="s">
        <v>72</v>
      </c>
      <c r="F325" s="7" t="s">
        <v>74</v>
      </c>
      <c r="G325" s="7" t="s">
        <v>79</v>
      </c>
      <c r="H325" s="7" t="s">
        <v>569</v>
      </c>
      <c r="I325" s="13">
        <v>91000</v>
      </c>
      <c r="J325" s="13">
        <v>66540</v>
      </c>
      <c r="K325" s="13">
        <v>66540</v>
      </c>
      <c r="L325" s="14">
        <f t="shared" si="15"/>
        <v>24460</v>
      </c>
      <c r="M325" s="14">
        <f t="shared" si="16"/>
        <v>0</v>
      </c>
      <c r="N325" s="18">
        <f t="shared" si="17"/>
        <v>0.73120879120879123</v>
      </c>
      <c r="O325" s="20"/>
    </row>
    <row r="326" spans="1:15">
      <c r="A326" s="7" t="s">
        <v>401</v>
      </c>
      <c r="B326" s="7" t="s">
        <v>403</v>
      </c>
      <c r="C326" s="7" t="s">
        <v>405</v>
      </c>
      <c r="D326" s="7" t="s">
        <v>524</v>
      </c>
      <c r="E326" s="7" t="s">
        <v>72</v>
      </c>
      <c r="F326" s="7" t="s">
        <v>74</v>
      </c>
      <c r="G326" s="7" t="s">
        <v>79</v>
      </c>
      <c r="H326" s="7" t="s">
        <v>570</v>
      </c>
      <c r="I326" s="13">
        <v>0</v>
      </c>
      <c r="J326" s="13">
        <v>0</v>
      </c>
      <c r="K326" s="13">
        <v>0</v>
      </c>
      <c r="L326" s="14">
        <f t="shared" si="15"/>
        <v>0</v>
      </c>
      <c r="M326" s="14">
        <f t="shared" si="16"/>
        <v>0</v>
      </c>
      <c r="N326" s="18">
        <f t="shared" si="17"/>
        <v>0</v>
      </c>
      <c r="O326" s="20"/>
    </row>
    <row r="327" spans="1:15">
      <c r="A327" s="7" t="s">
        <v>401</v>
      </c>
      <c r="B327" s="7" t="s">
        <v>403</v>
      </c>
      <c r="C327" s="7" t="s">
        <v>405</v>
      </c>
      <c r="D327" s="7" t="s">
        <v>524</v>
      </c>
      <c r="E327" s="7" t="s">
        <v>72</v>
      </c>
      <c r="F327" s="7" t="s">
        <v>74</v>
      </c>
      <c r="G327" s="7" t="s">
        <v>79</v>
      </c>
      <c r="H327" s="7" t="s">
        <v>571</v>
      </c>
      <c r="I327" s="13">
        <v>0</v>
      </c>
      <c r="J327" s="13">
        <v>0</v>
      </c>
      <c r="K327" s="13">
        <v>0</v>
      </c>
      <c r="L327" s="14">
        <f t="shared" si="15"/>
        <v>0</v>
      </c>
      <c r="M327" s="14">
        <f t="shared" si="16"/>
        <v>0</v>
      </c>
      <c r="N327" s="18">
        <f t="shared" si="17"/>
        <v>0</v>
      </c>
      <c r="O327" s="20"/>
    </row>
    <row r="328" spans="1:15">
      <c r="A328" s="7" t="s">
        <v>401</v>
      </c>
      <c r="B328" s="7" t="s">
        <v>403</v>
      </c>
      <c r="C328" s="7" t="s">
        <v>405</v>
      </c>
      <c r="D328" s="7" t="s">
        <v>524</v>
      </c>
      <c r="E328" s="7" t="s">
        <v>72</v>
      </c>
      <c r="F328" s="7" t="s">
        <v>74</v>
      </c>
      <c r="G328" s="7" t="s">
        <v>79</v>
      </c>
      <c r="H328" s="7" t="s">
        <v>572</v>
      </c>
      <c r="I328" s="13">
        <v>131000</v>
      </c>
      <c r="J328" s="13">
        <v>86920</v>
      </c>
      <c r="K328" s="13">
        <v>86920</v>
      </c>
      <c r="L328" s="14">
        <f t="shared" si="15"/>
        <v>44080</v>
      </c>
      <c r="M328" s="14">
        <f t="shared" si="16"/>
        <v>0</v>
      </c>
      <c r="N328" s="18">
        <f t="shared" si="17"/>
        <v>0.66351145038167936</v>
      </c>
      <c r="O328" s="20"/>
    </row>
    <row r="329" spans="1:15">
      <c r="A329" s="7" t="s">
        <v>401</v>
      </c>
      <c r="B329" s="7" t="s">
        <v>403</v>
      </c>
      <c r="C329" s="7" t="s">
        <v>405</v>
      </c>
      <c r="D329" s="7" t="s">
        <v>524</v>
      </c>
      <c r="E329" s="7" t="s">
        <v>72</v>
      </c>
      <c r="F329" s="7" t="s">
        <v>74</v>
      </c>
      <c r="G329" s="7" t="s">
        <v>79</v>
      </c>
      <c r="H329" s="7" t="s">
        <v>573</v>
      </c>
      <c r="I329" s="13">
        <v>97000</v>
      </c>
      <c r="J329" s="13">
        <v>87330</v>
      </c>
      <c r="K329" s="13">
        <v>87330</v>
      </c>
      <c r="L329" s="14">
        <f t="shared" si="15"/>
        <v>9670</v>
      </c>
      <c r="M329" s="14">
        <f t="shared" si="16"/>
        <v>0</v>
      </c>
      <c r="N329" s="18">
        <f t="shared" si="17"/>
        <v>0.90030927835051544</v>
      </c>
      <c r="O329" s="20"/>
    </row>
    <row r="330" spans="1:15">
      <c r="A330" s="7" t="s">
        <v>401</v>
      </c>
      <c r="B330" s="7" t="s">
        <v>403</v>
      </c>
      <c r="C330" s="7" t="s">
        <v>405</v>
      </c>
      <c r="D330" s="7" t="s">
        <v>524</v>
      </c>
      <c r="E330" s="7" t="s">
        <v>72</v>
      </c>
      <c r="F330" s="7" t="s">
        <v>74</v>
      </c>
      <c r="G330" s="7" t="s">
        <v>79</v>
      </c>
      <c r="H330" s="7" t="s">
        <v>574</v>
      </c>
      <c r="I330" s="13">
        <v>97000</v>
      </c>
      <c r="J330" s="13">
        <v>58630</v>
      </c>
      <c r="K330" s="13">
        <v>58630</v>
      </c>
      <c r="L330" s="14">
        <f t="shared" si="15"/>
        <v>38370</v>
      </c>
      <c r="M330" s="14">
        <f t="shared" si="16"/>
        <v>0</v>
      </c>
      <c r="N330" s="18">
        <f t="shared" si="17"/>
        <v>0.60443298969072168</v>
      </c>
      <c r="O330" s="20"/>
    </row>
    <row r="331" spans="1:15">
      <c r="A331" s="7" t="s">
        <v>401</v>
      </c>
      <c r="B331" s="7" t="s">
        <v>403</v>
      </c>
      <c r="C331" s="7" t="s">
        <v>405</v>
      </c>
      <c r="D331" s="7" t="s">
        <v>524</v>
      </c>
      <c r="E331" s="7" t="s">
        <v>72</v>
      </c>
      <c r="F331" s="7" t="s">
        <v>74</v>
      </c>
      <c r="G331" s="7" t="s">
        <v>79</v>
      </c>
      <c r="H331" s="7" t="s">
        <v>575</v>
      </c>
      <c r="I331" s="13">
        <v>177000</v>
      </c>
      <c r="J331" s="13">
        <v>135300</v>
      </c>
      <c r="K331" s="13">
        <v>135300</v>
      </c>
      <c r="L331" s="14">
        <f t="shared" si="15"/>
        <v>41700</v>
      </c>
      <c r="M331" s="14">
        <f t="shared" si="16"/>
        <v>0</v>
      </c>
      <c r="N331" s="18">
        <f t="shared" si="17"/>
        <v>0.764406779661017</v>
      </c>
      <c r="O331" s="20"/>
    </row>
    <row r="332" spans="1:15">
      <c r="A332" s="7" t="s">
        <v>401</v>
      </c>
      <c r="B332" s="7" t="s">
        <v>403</v>
      </c>
      <c r="C332" s="7" t="s">
        <v>405</v>
      </c>
      <c r="D332" s="7" t="s">
        <v>524</v>
      </c>
      <c r="E332" s="7" t="s">
        <v>72</v>
      </c>
      <c r="F332" s="7" t="s">
        <v>74</v>
      </c>
      <c r="G332" s="7" t="s">
        <v>79</v>
      </c>
      <c r="H332" s="7" t="s">
        <v>576</v>
      </c>
      <c r="I332" s="13">
        <v>99000</v>
      </c>
      <c r="J332" s="13">
        <v>69700</v>
      </c>
      <c r="K332" s="13">
        <v>69700</v>
      </c>
      <c r="L332" s="14">
        <f t="shared" si="15"/>
        <v>29300</v>
      </c>
      <c r="M332" s="14">
        <f t="shared" si="16"/>
        <v>0</v>
      </c>
      <c r="N332" s="18">
        <f t="shared" si="17"/>
        <v>0.70404040404040402</v>
      </c>
      <c r="O332" s="20"/>
    </row>
    <row r="333" spans="1:15">
      <c r="A333" s="7" t="s">
        <v>401</v>
      </c>
      <c r="B333" s="7" t="s">
        <v>403</v>
      </c>
      <c r="C333" s="7" t="s">
        <v>405</v>
      </c>
      <c r="D333" s="7" t="s">
        <v>524</v>
      </c>
      <c r="E333" s="7" t="s">
        <v>72</v>
      </c>
      <c r="F333" s="7" t="s">
        <v>74</v>
      </c>
      <c r="G333" s="7" t="s">
        <v>79</v>
      </c>
      <c r="H333" s="7" t="s">
        <v>577</v>
      </c>
      <c r="I333" s="13">
        <v>127000</v>
      </c>
      <c r="J333" s="13">
        <v>71340</v>
      </c>
      <c r="K333" s="13">
        <v>71340</v>
      </c>
      <c r="L333" s="14">
        <f t="shared" si="15"/>
        <v>55660</v>
      </c>
      <c r="M333" s="14">
        <f t="shared" si="16"/>
        <v>0</v>
      </c>
      <c r="N333" s="18">
        <f t="shared" si="17"/>
        <v>0.56173228346456694</v>
      </c>
      <c r="O333" s="20"/>
    </row>
    <row r="334" spans="1:15">
      <c r="A334" s="7" t="s">
        <v>401</v>
      </c>
      <c r="B334" s="7" t="s">
        <v>403</v>
      </c>
      <c r="C334" s="7" t="s">
        <v>405</v>
      </c>
      <c r="D334" s="7" t="s">
        <v>524</v>
      </c>
      <c r="E334" s="7" t="s">
        <v>72</v>
      </c>
      <c r="F334" s="7" t="s">
        <v>74</v>
      </c>
      <c r="G334" s="7" t="s">
        <v>79</v>
      </c>
      <c r="H334" s="7" t="s">
        <v>578</v>
      </c>
      <c r="I334" s="13">
        <v>159000</v>
      </c>
      <c r="J334" s="13">
        <v>98480</v>
      </c>
      <c r="K334" s="13">
        <v>98480</v>
      </c>
      <c r="L334" s="14">
        <f t="shared" si="15"/>
        <v>60520</v>
      </c>
      <c r="M334" s="14">
        <f t="shared" si="16"/>
        <v>0</v>
      </c>
      <c r="N334" s="18">
        <f t="shared" si="17"/>
        <v>0.61937106918238993</v>
      </c>
      <c r="O334" s="20"/>
    </row>
    <row r="335" spans="1:15">
      <c r="A335" s="7" t="s">
        <v>401</v>
      </c>
      <c r="B335" s="7" t="s">
        <v>403</v>
      </c>
      <c r="C335" s="7" t="s">
        <v>405</v>
      </c>
      <c r="D335" s="7" t="s">
        <v>524</v>
      </c>
      <c r="E335" s="7" t="s">
        <v>72</v>
      </c>
      <c r="F335" s="7" t="s">
        <v>74</v>
      </c>
      <c r="G335" s="7" t="s">
        <v>79</v>
      </c>
      <c r="H335" s="7" t="s">
        <v>579</v>
      </c>
      <c r="I335" s="13">
        <v>0</v>
      </c>
      <c r="J335" s="13">
        <v>0</v>
      </c>
      <c r="K335" s="13">
        <v>0</v>
      </c>
      <c r="L335" s="14">
        <f t="shared" si="15"/>
        <v>0</v>
      </c>
      <c r="M335" s="14">
        <f t="shared" si="16"/>
        <v>0</v>
      </c>
      <c r="N335" s="18">
        <f t="shared" si="17"/>
        <v>0</v>
      </c>
      <c r="O335" s="20"/>
    </row>
    <row r="336" spans="1:15">
      <c r="A336" s="7" t="s">
        <v>401</v>
      </c>
      <c r="B336" s="7" t="s">
        <v>403</v>
      </c>
      <c r="C336" s="7" t="s">
        <v>405</v>
      </c>
      <c r="D336" s="7" t="s">
        <v>524</v>
      </c>
      <c r="E336" s="7" t="s">
        <v>72</v>
      </c>
      <c r="F336" s="7" t="s">
        <v>74</v>
      </c>
      <c r="G336" s="7" t="s">
        <v>79</v>
      </c>
      <c r="H336" s="7" t="s">
        <v>580</v>
      </c>
      <c r="I336" s="13">
        <v>185000</v>
      </c>
      <c r="J336" s="13">
        <v>146800</v>
      </c>
      <c r="K336" s="13">
        <v>146800</v>
      </c>
      <c r="L336" s="14">
        <f t="shared" si="15"/>
        <v>38200</v>
      </c>
      <c r="M336" s="14">
        <f t="shared" si="16"/>
        <v>0</v>
      </c>
      <c r="N336" s="18">
        <f t="shared" si="17"/>
        <v>0.79351351351351351</v>
      </c>
      <c r="O336" s="20"/>
    </row>
    <row r="337" spans="1:15">
      <c r="A337" s="7" t="s">
        <v>401</v>
      </c>
      <c r="B337" s="7" t="s">
        <v>403</v>
      </c>
      <c r="C337" s="7" t="s">
        <v>405</v>
      </c>
      <c r="D337" s="7" t="s">
        <v>524</v>
      </c>
      <c r="E337" s="7" t="s">
        <v>72</v>
      </c>
      <c r="F337" s="7" t="s">
        <v>74</v>
      </c>
      <c r="G337" s="7" t="s">
        <v>79</v>
      </c>
      <c r="H337" s="7" t="s">
        <v>581</v>
      </c>
      <c r="I337" s="13">
        <v>439000</v>
      </c>
      <c r="J337" s="13">
        <v>278820</v>
      </c>
      <c r="K337" s="13">
        <v>278820</v>
      </c>
      <c r="L337" s="14">
        <f t="shared" si="15"/>
        <v>160180</v>
      </c>
      <c r="M337" s="14">
        <f t="shared" si="16"/>
        <v>0</v>
      </c>
      <c r="N337" s="18">
        <f t="shared" si="17"/>
        <v>0.63512528473804097</v>
      </c>
      <c r="O337" s="20"/>
    </row>
    <row r="338" spans="1:15">
      <c r="A338" s="7" t="s">
        <v>401</v>
      </c>
      <c r="B338" s="7" t="s">
        <v>403</v>
      </c>
      <c r="C338" s="7" t="s">
        <v>405</v>
      </c>
      <c r="D338" s="7" t="s">
        <v>524</v>
      </c>
      <c r="E338" s="7" t="s">
        <v>72</v>
      </c>
      <c r="F338" s="7" t="s">
        <v>74</v>
      </c>
      <c r="G338" s="7" t="s">
        <v>79</v>
      </c>
      <c r="H338" s="7" t="s">
        <v>582</v>
      </c>
      <c r="I338" s="13">
        <v>91000</v>
      </c>
      <c r="J338" s="13">
        <v>90200</v>
      </c>
      <c r="K338" s="13">
        <v>90200</v>
      </c>
      <c r="L338" s="14">
        <f t="shared" si="15"/>
        <v>800</v>
      </c>
      <c r="M338" s="14">
        <f t="shared" si="16"/>
        <v>0</v>
      </c>
      <c r="N338" s="18">
        <f t="shared" si="17"/>
        <v>0.99120879120879124</v>
      </c>
      <c r="O338" s="20"/>
    </row>
    <row r="339" spans="1:15">
      <c r="A339" s="7" t="s">
        <v>401</v>
      </c>
      <c r="B339" s="7" t="s">
        <v>403</v>
      </c>
      <c r="C339" s="7" t="s">
        <v>405</v>
      </c>
      <c r="D339" s="7" t="s">
        <v>524</v>
      </c>
      <c r="E339" s="7" t="s">
        <v>72</v>
      </c>
      <c r="F339" s="7" t="s">
        <v>74</v>
      </c>
      <c r="G339" s="7" t="s">
        <v>79</v>
      </c>
      <c r="H339" s="7" t="s">
        <v>583</v>
      </c>
      <c r="I339" s="13">
        <v>200000</v>
      </c>
      <c r="J339" s="13">
        <v>123000</v>
      </c>
      <c r="K339" s="13">
        <v>123000</v>
      </c>
      <c r="L339" s="14">
        <f t="shared" si="15"/>
        <v>77000</v>
      </c>
      <c r="M339" s="14">
        <f t="shared" si="16"/>
        <v>0</v>
      </c>
      <c r="N339" s="18">
        <f t="shared" si="17"/>
        <v>0.61499999999999999</v>
      </c>
      <c r="O339" s="20"/>
    </row>
    <row r="340" spans="1:15">
      <c r="A340" s="7" t="s">
        <v>401</v>
      </c>
      <c r="B340" s="7" t="s">
        <v>403</v>
      </c>
      <c r="C340" s="7" t="s">
        <v>405</v>
      </c>
      <c r="D340" s="7" t="s">
        <v>524</v>
      </c>
      <c r="E340" s="7" t="s">
        <v>72</v>
      </c>
      <c r="F340" s="7" t="s">
        <v>74</v>
      </c>
      <c r="G340" s="7" t="s">
        <v>79</v>
      </c>
      <c r="H340" s="7" t="s">
        <v>584</v>
      </c>
      <c r="I340" s="13">
        <v>200000</v>
      </c>
      <c r="J340" s="13">
        <v>61500</v>
      </c>
      <c r="K340" s="13">
        <v>61500</v>
      </c>
      <c r="L340" s="14">
        <f t="shared" si="15"/>
        <v>138500</v>
      </c>
      <c r="M340" s="14">
        <f t="shared" si="16"/>
        <v>0</v>
      </c>
      <c r="N340" s="18">
        <f t="shared" si="17"/>
        <v>0.3075</v>
      </c>
      <c r="O340" s="20"/>
    </row>
    <row r="341" spans="1:15">
      <c r="A341" s="7" t="s">
        <v>401</v>
      </c>
      <c r="B341" s="7" t="s">
        <v>403</v>
      </c>
      <c r="C341" s="7" t="s">
        <v>405</v>
      </c>
      <c r="D341" s="7" t="s">
        <v>524</v>
      </c>
      <c r="E341" s="7" t="s">
        <v>72</v>
      </c>
      <c r="F341" s="7" t="s">
        <v>74</v>
      </c>
      <c r="G341" s="7" t="s">
        <v>79</v>
      </c>
      <c r="H341" s="7" t="s">
        <v>585</v>
      </c>
      <c r="I341" s="13">
        <v>200000</v>
      </c>
      <c r="J341" s="13">
        <v>59040</v>
      </c>
      <c r="K341" s="13">
        <v>59040</v>
      </c>
      <c r="L341" s="14">
        <f t="shared" si="15"/>
        <v>140960</v>
      </c>
      <c r="M341" s="14">
        <f t="shared" si="16"/>
        <v>0</v>
      </c>
      <c r="N341" s="18">
        <f t="shared" si="17"/>
        <v>0.29520000000000002</v>
      </c>
      <c r="O341" s="20"/>
    </row>
    <row r="342" spans="1:15">
      <c r="A342" s="7" t="s">
        <v>401</v>
      </c>
      <c r="B342" s="7" t="s">
        <v>403</v>
      </c>
      <c r="C342" s="7" t="s">
        <v>405</v>
      </c>
      <c r="D342" s="7" t="s">
        <v>524</v>
      </c>
      <c r="E342" s="7" t="s">
        <v>72</v>
      </c>
      <c r="F342" s="7" t="s">
        <v>74</v>
      </c>
      <c r="G342" s="7" t="s">
        <v>79</v>
      </c>
      <c r="H342" s="7" t="s">
        <v>586</v>
      </c>
      <c r="I342" s="13">
        <v>200000</v>
      </c>
      <c r="J342" s="13">
        <v>111930</v>
      </c>
      <c r="K342" s="13">
        <v>111930</v>
      </c>
      <c r="L342" s="14">
        <f t="shared" si="15"/>
        <v>88070</v>
      </c>
      <c r="M342" s="14">
        <f t="shared" si="16"/>
        <v>0</v>
      </c>
      <c r="N342" s="18">
        <f t="shared" si="17"/>
        <v>0.55964999999999998</v>
      </c>
      <c r="O342" s="20"/>
    </row>
    <row r="343" spans="1:15">
      <c r="A343" s="7" t="s">
        <v>401</v>
      </c>
      <c r="B343" s="7" t="s">
        <v>403</v>
      </c>
      <c r="C343" s="7" t="s">
        <v>405</v>
      </c>
      <c r="D343" s="7" t="s">
        <v>524</v>
      </c>
      <c r="E343" s="7" t="s">
        <v>72</v>
      </c>
      <c r="F343" s="7" t="s">
        <v>74</v>
      </c>
      <c r="G343" s="7" t="s">
        <v>79</v>
      </c>
      <c r="H343" s="7" t="s">
        <v>587</v>
      </c>
      <c r="I343" s="13">
        <v>200000</v>
      </c>
      <c r="J343" s="13">
        <v>48400</v>
      </c>
      <c r="K343" s="13">
        <v>48400</v>
      </c>
      <c r="L343" s="14">
        <f t="shared" si="15"/>
        <v>151600</v>
      </c>
      <c r="M343" s="14">
        <f t="shared" si="16"/>
        <v>0</v>
      </c>
      <c r="N343" s="18">
        <f t="shared" si="17"/>
        <v>0.24199999999999999</v>
      </c>
      <c r="O343" s="20"/>
    </row>
    <row r="344" spans="1:15">
      <c r="A344" s="7" t="s">
        <v>401</v>
      </c>
      <c r="B344" s="7" t="s">
        <v>403</v>
      </c>
      <c r="C344" s="7" t="s">
        <v>405</v>
      </c>
      <c r="D344" s="7" t="s">
        <v>589</v>
      </c>
      <c r="E344" s="7" t="s">
        <v>72</v>
      </c>
      <c r="F344" s="7" t="s">
        <v>95</v>
      </c>
      <c r="G344" s="7" t="s">
        <v>95</v>
      </c>
      <c r="H344" s="7" t="s">
        <v>589</v>
      </c>
      <c r="I344" s="13">
        <v>36000000</v>
      </c>
      <c r="J344" s="13">
        <v>18847340</v>
      </c>
      <c r="K344" s="13">
        <v>18847340</v>
      </c>
      <c r="L344" s="14">
        <f t="shared" si="15"/>
        <v>17152660</v>
      </c>
      <c r="M344" s="14">
        <f t="shared" si="16"/>
        <v>0</v>
      </c>
      <c r="N344" s="18">
        <f t="shared" si="17"/>
        <v>0.52353722222222221</v>
      </c>
      <c r="O344" s="20"/>
    </row>
    <row r="345" spans="1:15">
      <c r="A345" s="7" t="s">
        <v>401</v>
      </c>
      <c r="B345" s="7" t="s">
        <v>403</v>
      </c>
      <c r="C345" s="7" t="s">
        <v>405</v>
      </c>
      <c r="D345" s="7" t="s">
        <v>591</v>
      </c>
      <c r="E345" s="7" t="s">
        <v>72</v>
      </c>
      <c r="F345" s="7" t="s">
        <v>95</v>
      </c>
      <c r="G345" s="7" t="s">
        <v>95</v>
      </c>
      <c r="H345" s="7" t="s">
        <v>591</v>
      </c>
      <c r="I345" s="13">
        <v>4540000</v>
      </c>
      <c r="J345" s="13">
        <v>1469230</v>
      </c>
      <c r="K345" s="13">
        <v>1469230</v>
      </c>
      <c r="L345" s="14">
        <f t="shared" si="15"/>
        <v>3070770</v>
      </c>
      <c r="M345" s="14">
        <f t="shared" si="16"/>
        <v>0</v>
      </c>
      <c r="N345" s="18">
        <f t="shared" si="17"/>
        <v>0.32361894273127756</v>
      </c>
      <c r="O345" s="20"/>
    </row>
    <row r="346" spans="1:15">
      <c r="A346" s="7" t="s">
        <v>401</v>
      </c>
      <c r="B346" s="7" t="s">
        <v>403</v>
      </c>
      <c r="C346" s="7" t="s">
        <v>593</v>
      </c>
      <c r="D346" s="7" t="s">
        <v>594</v>
      </c>
      <c r="E346" s="7" t="s">
        <v>72</v>
      </c>
      <c r="F346" s="7" t="s">
        <v>74</v>
      </c>
      <c r="G346" s="7" t="s">
        <v>76</v>
      </c>
      <c r="H346" s="7" t="s">
        <v>595</v>
      </c>
      <c r="I346" s="13">
        <v>6950000</v>
      </c>
      <c r="J346" s="13">
        <v>0</v>
      </c>
      <c r="K346" s="13">
        <v>0</v>
      </c>
      <c r="L346" s="14">
        <f t="shared" si="15"/>
        <v>6950000</v>
      </c>
      <c r="M346" s="14">
        <f t="shared" si="16"/>
        <v>0</v>
      </c>
      <c r="N346" s="18">
        <f t="shared" si="17"/>
        <v>0</v>
      </c>
      <c r="O346" s="20"/>
    </row>
    <row r="347" spans="1:15">
      <c r="A347" s="7" t="s">
        <v>401</v>
      </c>
      <c r="B347" s="7" t="s">
        <v>403</v>
      </c>
      <c r="C347" s="7" t="s">
        <v>593</v>
      </c>
      <c r="D347" s="7" t="s">
        <v>594</v>
      </c>
      <c r="E347" s="7" t="s">
        <v>72</v>
      </c>
      <c r="F347" s="7" t="s">
        <v>74</v>
      </c>
      <c r="G347" s="7" t="s">
        <v>76</v>
      </c>
      <c r="H347" s="7" t="s">
        <v>596</v>
      </c>
      <c r="I347" s="13">
        <v>1600000</v>
      </c>
      <c r="J347" s="13">
        <v>366020</v>
      </c>
      <c r="K347" s="13">
        <v>366020</v>
      </c>
      <c r="L347" s="14">
        <f t="shared" si="15"/>
        <v>1233980</v>
      </c>
      <c r="M347" s="14">
        <f t="shared" si="16"/>
        <v>0</v>
      </c>
      <c r="N347" s="18">
        <f t="shared" si="17"/>
        <v>0.22876250000000001</v>
      </c>
      <c r="O347" s="20"/>
    </row>
    <row r="348" spans="1:15">
      <c r="A348" s="7" t="s">
        <v>401</v>
      </c>
      <c r="B348" s="7" t="s">
        <v>403</v>
      </c>
      <c r="C348" s="7" t="s">
        <v>593</v>
      </c>
      <c r="D348" s="7" t="s">
        <v>594</v>
      </c>
      <c r="E348" s="7" t="s">
        <v>72</v>
      </c>
      <c r="F348" s="7" t="s">
        <v>74</v>
      </c>
      <c r="G348" s="7" t="s">
        <v>79</v>
      </c>
      <c r="H348" s="7" t="s">
        <v>597</v>
      </c>
      <c r="I348" s="13">
        <v>2500000</v>
      </c>
      <c r="J348" s="13">
        <v>880000</v>
      </c>
      <c r="K348" s="13">
        <v>880000</v>
      </c>
      <c r="L348" s="14">
        <f t="shared" si="15"/>
        <v>1620000</v>
      </c>
      <c r="M348" s="14">
        <f t="shared" si="16"/>
        <v>0</v>
      </c>
      <c r="N348" s="18">
        <f t="shared" si="17"/>
        <v>0.35199999999999998</v>
      </c>
      <c r="O348" s="20"/>
    </row>
    <row r="349" spans="1:15">
      <c r="A349" s="7" t="s">
        <v>401</v>
      </c>
      <c r="B349" s="7" t="s">
        <v>403</v>
      </c>
      <c r="C349" s="7" t="s">
        <v>593</v>
      </c>
      <c r="D349" s="7" t="s">
        <v>594</v>
      </c>
      <c r="E349" s="7" t="s">
        <v>72</v>
      </c>
      <c r="F349" s="7" t="s">
        <v>74</v>
      </c>
      <c r="G349" s="7" t="s">
        <v>79</v>
      </c>
      <c r="H349" s="7" t="s">
        <v>598</v>
      </c>
      <c r="I349" s="13">
        <v>960000</v>
      </c>
      <c r="J349" s="13">
        <v>0</v>
      </c>
      <c r="K349" s="13">
        <v>0</v>
      </c>
      <c r="L349" s="14">
        <f t="shared" si="15"/>
        <v>960000</v>
      </c>
      <c r="M349" s="14">
        <f t="shared" si="16"/>
        <v>0</v>
      </c>
      <c r="N349" s="18">
        <f t="shared" si="17"/>
        <v>0</v>
      </c>
      <c r="O349" s="20"/>
    </row>
    <row r="350" spans="1:15">
      <c r="A350" s="7" t="s">
        <v>401</v>
      </c>
      <c r="B350" s="7" t="s">
        <v>403</v>
      </c>
      <c r="C350" s="7" t="s">
        <v>593</v>
      </c>
      <c r="D350" s="7" t="s">
        <v>594</v>
      </c>
      <c r="E350" s="7" t="s">
        <v>72</v>
      </c>
      <c r="F350" s="7" t="s">
        <v>95</v>
      </c>
      <c r="G350" s="7" t="s">
        <v>95</v>
      </c>
      <c r="H350" s="7" t="s">
        <v>599</v>
      </c>
      <c r="I350" s="13">
        <v>7450000</v>
      </c>
      <c r="J350" s="13">
        <v>3427380</v>
      </c>
      <c r="K350" s="13">
        <v>3114480</v>
      </c>
      <c r="L350" s="14">
        <f t="shared" si="15"/>
        <v>4022620</v>
      </c>
      <c r="M350" s="14">
        <f t="shared" si="16"/>
        <v>312900</v>
      </c>
      <c r="N350" s="18">
        <f t="shared" si="17"/>
        <v>0.46005100671140942</v>
      </c>
      <c r="O350" s="20"/>
    </row>
    <row r="351" spans="1:15">
      <c r="A351" s="7" t="s">
        <v>401</v>
      </c>
      <c r="B351" s="7" t="s">
        <v>403</v>
      </c>
      <c r="C351" s="7" t="s">
        <v>593</v>
      </c>
      <c r="D351" s="7" t="s">
        <v>600</v>
      </c>
      <c r="E351" s="7" t="s">
        <v>72</v>
      </c>
      <c r="F351" s="7" t="s">
        <v>74</v>
      </c>
      <c r="G351" s="7" t="s">
        <v>76</v>
      </c>
      <c r="H351" s="7" t="s">
        <v>595</v>
      </c>
      <c r="I351" s="13">
        <v>5000000</v>
      </c>
      <c r="J351" s="13">
        <v>1782000</v>
      </c>
      <c r="K351" s="13">
        <v>1782000</v>
      </c>
      <c r="L351" s="14">
        <f t="shared" si="15"/>
        <v>3218000</v>
      </c>
      <c r="M351" s="14">
        <f t="shared" si="16"/>
        <v>0</v>
      </c>
      <c r="N351" s="18">
        <f t="shared" si="17"/>
        <v>0.35639999999999999</v>
      </c>
      <c r="O351" s="20"/>
    </row>
    <row r="352" spans="1:15">
      <c r="A352" s="7" t="s">
        <v>401</v>
      </c>
      <c r="B352" s="7" t="s">
        <v>403</v>
      </c>
      <c r="C352" s="7" t="s">
        <v>593</v>
      </c>
      <c r="D352" s="7" t="s">
        <v>601</v>
      </c>
      <c r="E352" s="7" t="s">
        <v>72</v>
      </c>
      <c r="F352" s="7" t="s">
        <v>74</v>
      </c>
      <c r="G352" s="7" t="s">
        <v>76</v>
      </c>
      <c r="H352" s="7" t="s">
        <v>595</v>
      </c>
      <c r="I352" s="13">
        <v>7200000</v>
      </c>
      <c r="J352" s="13">
        <v>2160000</v>
      </c>
      <c r="K352" s="13">
        <v>2160000</v>
      </c>
      <c r="L352" s="14">
        <f t="shared" si="15"/>
        <v>5040000</v>
      </c>
      <c r="M352" s="14">
        <f t="shared" si="16"/>
        <v>0</v>
      </c>
      <c r="N352" s="18">
        <f t="shared" si="17"/>
        <v>0.3</v>
      </c>
      <c r="O352" s="20"/>
    </row>
    <row r="353" spans="1:15">
      <c r="A353" s="7" t="s">
        <v>401</v>
      </c>
      <c r="B353" s="7" t="s">
        <v>403</v>
      </c>
      <c r="C353" s="7" t="s">
        <v>593</v>
      </c>
      <c r="D353" s="7" t="s">
        <v>601</v>
      </c>
      <c r="E353" s="7" t="s">
        <v>72</v>
      </c>
      <c r="F353" s="7" t="s">
        <v>74</v>
      </c>
      <c r="G353" s="7" t="s">
        <v>76</v>
      </c>
      <c r="H353" s="7" t="s">
        <v>601</v>
      </c>
      <c r="I353" s="13">
        <v>800000</v>
      </c>
      <c r="J353" s="13">
        <v>736240</v>
      </c>
      <c r="K353" s="13">
        <v>736240</v>
      </c>
      <c r="L353" s="14">
        <f t="shared" si="15"/>
        <v>63760</v>
      </c>
      <c r="M353" s="14">
        <f t="shared" si="16"/>
        <v>0</v>
      </c>
      <c r="N353" s="18">
        <f t="shared" si="17"/>
        <v>0.92030000000000001</v>
      </c>
      <c r="O353" s="20"/>
    </row>
    <row r="354" spans="1:15">
      <c r="A354" s="7" t="s">
        <v>401</v>
      </c>
      <c r="B354" s="7" t="s">
        <v>403</v>
      </c>
      <c r="C354" s="7" t="s">
        <v>593</v>
      </c>
      <c r="D354" s="7" t="s">
        <v>602</v>
      </c>
      <c r="E354" s="7" t="s">
        <v>72</v>
      </c>
      <c r="F354" s="7" t="s">
        <v>74</v>
      </c>
      <c r="G354" s="7" t="s">
        <v>76</v>
      </c>
      <c r="H354" s="7" t="s">
        <v>603</v>
      </c>
      <c r="I354" s="13">
        <v>800000</v>
      </c>
      <c r="J354" s="13">
        <v>528000</v>
      </c>
      <c r="K354" s="13">
        <v>528000</v>
      </c>
      <c r="L354" s="14">
        <f t="shared" si="15"/>
        <v>272000</v>
      </c>
      <c r="M354" s="14">
        <f t="shared" si="16"/>
        <v>0</v>
      </c>
      <c r="N354" s="18">
        <f t="shared" si="17"/>
        <v>0.66</v>
      </c>
      <c r="O354" s="20"/>
    </row>
    <row r="355" spans="1:15">
      <c r="A355" s="7" t="s">
        <v>401</v>
      </c>
      <c r="B355" s="7" t="s">
        <v>403</v>
      </c>
      <c r="C355" s="7" t="s">
        <v>593</v>
      </c>
      <c r="D355" s="7" t="s">
        <v>605</v>
      </c>
      <c r="E355" s="7" t="s">
        <v>72</v>
      </c>
      <c r="F355" s="7" t="s">
        <v>95</v>
      </c>
      <c r="G355" s="7" t="s">
        <v>95</v>
      </c>
      <c r="H355" s="7" t="s">
        <v>606</v>
      </c>
      <c r="I355" s="13">
        <v>34800000</v>
      </c>
      <c r="J355" s="13">
        <v>14425000</v>
      </c>
      <c r="K355" s="13">
        <v>14425000</v>
      </c>
      <c r="L355" s="14">
        <f t="shared" si="15"/>
        <v>20375000</v>
      </c>
      <c r="M355" s="14">
        <f t="shared" si="16"/>
        <v>0</v>
      </c>
      <c r="N355" s="18">
        <f t="shared" si="17"/>
        <v>0.41451149425287354</v>
      </c>
      <c r="O355" s="20"/>
    </row>
    <row r="356" spans="1:15">
      <c r="A356" s="7" t="s">
        <v>401</v>
      </c>
      <c r="B356" s="7" t="s">
        <v>403</v>
      </c>
      <c r="C356" s="7" t="s">
        <v>593</v>
      </c>
      <c r="D356" s="7" t="s">
        <v>608</v>
      </c>
      <c r="E356" s="7" t="s">
        <v>192</v>
      </c>
      <c r="F356" s="7" t="s">
        <v>192</v>
      </c>
      <c r="G356" s="7" t="s">
        <v>192</v>
      </c>
      <c r="H356" s="7" t="s">
        <v>609</v>
      </c>
      <c r="I356" s="13">
        <v>3000000</v>
      </c>
      <c r="J356" s="13">
        <v>1024000</v>
      </c>
      <c r="K356" s="13">
        <v>1024000</v>
      </c>
      <c r="L356" s="14">
        <f t="shared" si="15"/>
        <v>1976000</v>
      </c>
      <c r="M356" s="14">
        <f t="shared" si="16"/>
        <v>0</v>
      </c>
      <c r="N356" s="18">
        <f t="shared" si="17"/>
        <v>0.34133333333333332</v>
      </c>
      <c r="O356" s="20"/>
    </row>
    <row r="357" spans="1:15">
      <c r="A357" s="7" t="s">
        <v>401</v>
      </c>
      <c r="B357" s="7" t="s">
        <v>403</v>
      </c>
      <c r="C357" s="7" t="s">
        <v>593</v>
      </c>
      <c r="D357" s="7" t="s">
        <v>611</v>
      </c>
      <c r="E357" s="7" t="s">
        <v>72</v>
      </c>
      <c r="F357" s="7" t="s">
        <v>95</v>
      </c>
      <c r="G357" s="7" t="s">
        <v>95</v>
      </c>
      <c r="H357" s="7" t="s">
        <v>612</v>
      </c>
      <c r="I357" s="13">
        <v>8314000</v>
      </c>
      <c r="J357" s="13">
        <v>8066500</v>
      </c>
      <c r="K357" s="13">
        <v>0</v>
      </c>
      <c r="L357" s="14">
        <f t="shared" si="15"/>
        <v>247500</v>
      </c>
      <c r="M357" s="14">
        <f t="shared" si="16"/>
        <v>8066500</v>
      </c>
      <c r="N357" s="18">
        <f t="shared" si="17"/>
        <v>0.97023093577098873</v>
      </c>
      <c r="O357" s="20"/>
    </row>
    <row r="358" spans="1:15">
      <c r="A358" s="7" t="s">
        <v>401</v>
      </c>
      <c r="B358" s="7" t="s">
        <v>403</v>
      </c>
      <c r="C358" s="7" t="s">
        <v>593</v>
      </c>
      <c r="D358" s="7" t="s">
        <v>614</v>
      </c>
      <c r="E358" s="7" t="s">
        <v>72</v>
      </c>
      <c r="F358" s="7" t="s">
        <v>74</v>
      </c>
      <c r="G358" s="7" t="s">
        <v>76</v>
      </c>
      <c r="H358" s="7" t="s">
        <v>615</v>
      </c>
      <c r="I358" s="13">
        <v>13800000</v>
      </c>
      <c r="J358" s="13">
        <v>4598000</v>
      </c>
      <c r="K358" s="13">
        <v>4598000</v>
      </c>
      <c r="L358" s="14">
        <f t="shared" si="15"/>
        <v>9202000</v>
      </c>
      <c r="M358" s="14">
        <f t="shared" si="16"/>
        <v>0</v>
      </c>
      <c r="N358" s="18">
        <f t="shared" si="17"/>
        <v>0.33318840579710146</v>
      </c>
      <c r="O358" s="20"/>
    </row>
    <row r="359" spans="1:15">
      <c r="A359" s="7" t="s">
        <v>401</v>
      </c>
      <c r="B359" s="7" t="s">
        <v>403</v>
      </c>
      <c r="C359" s="7" t="s">
        <v>593</v>
      </c>
      <c r="D359" s="7" t="s">
        <v>614</v>
      </c>
      <c r="E359" s="7" t="s">
        <v>72</v>
      </c>
      <c r="F359" s="7" t="s">
        <v>74</v>
      </c>
      <c r="G359" s="7" t="s">
        <v>76</v>
      </c>
      <c r="H359" s="7" t="s">
        <v>616</v>
      </c>
      <c r="I359" s="13">
        <v>600000</v>
      </c>
      <c r="J359" s="13">
        <v>0</v>
      </c>
      <c r="K359" s="13">
        <v>0</v>
      </c>
      <c r="L359" s="14">
        <f t="shared" si="15"/>
        <v>600000</v>
      </c>
      <c r="M359" s="14">
        <f t="shared" si="16"/>
        <v>0</v>
      </c>
      <c r="N359" s="18">
        <f t="shared" si="17"/>
        <v>0</v>
      </c>
      <c r="O359" s="20"/>
    </row>
    <row r="360" spans="1:15">
      <c r="A360" s="7" t="s">
        <v>401</v>
      </c>
      <c r="B360" s="7" t="s">
        <v>403</v>
      </c>
      <c r="C360" s="7" t="s">
        <v>593</v>
      </c>
      <c r="D360" s="7" t="s">
        <v>614</v>
      </c>
      <c r="E360" s="7" t="s">
        <v>72</v>
      </c>
      <c r="F360" s="7" t="s">
        <v>74</v>
      </c>
      <c r="G360" s="7" t="s">
        <v>76</v>
      </c>
      <c r="H360" s="7" t="s">
        <v>617</v>
      </c>
      <c r="I360" s="13">
        <v>600000</v>
      </c>
      <c r="J360" s="13">
        <v>402320</v>
      </c>
      <c r="K360" s="13">
        <v>353490</v>
      </c>
      <c r="L360" s="14">
        <f t="shared" si="15"/>
        <v>197680</v>
      </c>
      <c r="M360" s="14">
        <f t="shared" si="16"/>
        <v>48830</v>
      </c>
      <c r="N360" s="18">
        <f t="shared" si="17"/>
        <v>0.67053333333333331</v>
      </c>
      <c r="O360" s="20"/>
    </row>
    <row r="361" spans="1:15">
      <c r="A361" s="7" t="s">
        <v>401</v>
      </c>
      <c r="B361" s="7" t="s">
        <v>403</v>
      </c>
      <c r="C361" s="7" t="s">
        <v>593</v>
      </c>
      <c r="D361" s="7" t="s">
        <v>614</v>
      </c>
      <c r="E361" s="7" t="s">
        <v>72</v>
      </c>
      <c r="F361" s="7" t="s">
        <v>95</v>
      </c>
      <c r="G361" s="7" t="s">
        <v>95</v>
      </c>
      <c r="H361" s="7" t="s">
        <v>618</v>
      </c>
      <c r="I361" s="13">
        <v>38400000</v>
      </c>
      <c r="J361" s="13">
        <v>25877240</v>
      </c>
      <c r="K361" s="13">
        <v>20037240</v>
      </c>
      <c r="L361" s="14">
        <f t="shared" si="15"/>
        <v>12522760</v>
      </c>
      <c r="M361" s="14">
        <f t="shared" si="16"/>
        <v>5840000</v>
      </c>
      <c r="N361" s="18">
        <f t="shared" si="17"/>
        <v>0.67388645833333338</v>
      </c>
      <c r="O361" s="20"/>
    </row>
    <row r="362" spans="1:15">
      <c r="A362" s="7" t="s">
        <v>401</v>
      </c>
      <c r="B362" s="7" t="s">
        <v>403</v>
      </c>
      <c r="C362" s="7" t="s">
        <v>593</v>
      </c>
      <c r="D362" s="7" t="s">
        <v>614</v>
      </c>
      <c r="E362" s="7" t="s">
        <v>72</v>
      </c>
      <c r="F362" s="7" t="s">
        <v>95</v>
      </c>
      <c r="G362" s="7" t="s">
        <v>95</v>
      </c>
      <c r="H362" s="7" t="s">
        <v>619</v>
      </c>
      <c r="I362" s="13">
        <v>3600000</v>
      </c>
      <c r="J362" s="13">
        <v>3588000</v>
      </c>
      <c r="K362" s="13">
        <v>3090000</v>
      </c>
      <c r="L362" s="14">
        <f t="shared" si="15"/>
        <v>12000</v>
      </c>
      <c r="M362" s="14">
        <f t="shared" si="16"/>
        <v>498000</v>
      </c>
      <c r="N362" s="18">
        <f t="shared" si="17"/>
        <v>0.9966666666666667</v>
      </c>
      <c r="O362" s="20"/>
    </row>
    <row r="363" spans="1:15">
      <c r="A363" s="7" t="s">
        <v>401</v>
      </c>
      <c r="B363" s="7" t="s">
        <v>403</v>
      </c>
      <c r="C363" s="7" t="s">
        <v>593</v>
      </c>
      <c r="D363" s="7" t="s">
        <v>614</v>
      </c>
      <c r="E363" s="7" t="s">
        <v>72</v>
      </c>
      <c r="F363" s="7" t="s">
        <v>95</v>
      </c>
      <c r="G363" s="7" t="s">
        <v>95</v>
      </c>
      <c r="H363" s="7" t="s">
        <v>620</v>
      </c>
      <c r="I363" s="13">
        <v>3600000</v>
      </c>
      <c r="J363" s="13">
        <v>1097860</v>
      </c>
      <c r="K363" s="13">
        <v>1097860</v>
      </c>
      <c r="L363" s="14">
        <f t="shared" si="15"/>
        <v>2502140</v>
      </c>
      <c r="M363" s="14">
        <f t="shared" si="16"/>
        <v>0</v>
      </c>
      <c r="N363" s="18">
        <f t="shared" si="17"/>
        <v>0.30496111111111113</v>
      </c>
      <c r="O363" s="20"/>
    </row>
    <row r="364" spans="1:15">
      <c r="A364" s="7" t="s">
        <v>401</v>
      </c>
      <c r="B364" s="7" t="s">
        <v>403</v>
      </c>
      <c r="C364" s="7" t="s">
        <v>593</v>
      </c>
      <c r="D364" s="7" t="s">
        <v>614</v>
      </c>
      <c r="E364" s="7" t="s">
        <v>72</v>
      </c>
      <c r="F364" s="7" t="s">
        <v>95</v>
      </c>
      <c r="G364" s="7" t="s">
        <v>95</v>
      </c>
      <c r="H364" s="7" t="s">
        <v>621</v>
      </c>
      <c r="I364" s="13">
        <v>9367000</v>
      </c>
      <c r="J364" s="13">
        <v>2398440</v>
      </c>
      <c r="K364" s="13">
        <v>1706400</v>
      </c>
      <c r="L364" s="14">
        <f t="shared" si="15"/>
        <v>6968560</v>
      </c>
      <c r="M364" s="14">
        <f t="shared" si="16"/>
        <v>692040</v>
      </c>
      <c r="N364" s="18">
        <f t="shared" si="17"/>
        <v>0.25605209779011423</v>
      </c>
      <c r="O364" s="20"/>
    </row>
    <row r="365" spans="1:15">
      <c r="A365" s="7" t="s">
        <v>401</v>
      </c>
      <c r="B365" s="7" t="s">
        <v>403</v>
      </c>
      <c r="C365" s="7" t="s">
        <v>593</v>
      </c>
      <c r="D365" s="7" t="s">
        <v>614</v>
      </c>
      <c r="E365" s="7" t="s">
        <v>72</v>
      </c>
      <c r="F365" s="7" t="s">
        <v>124</v>
      </c>
      <c r="G365" s="7" t="s">
        <v>138</v>
      </c>
      <c r="H365" s="7" t="s">
        <v>622</v>
      </c>
      <c r="I365" s="13">
        <v>120000</v>
      </c>
      <c r="J365" s="13">
        <v>9670</v>
      </c>
      <c r="K365" s="13">
        <v>9670</v>
      </c>
      <c r="L365" s="14">
        <f t="shared" si="15"/>
        <v>110330</v>
      </c>
      <c r="M365" s="14">
        <f t="shared" si="16"/>
        <v>0</v>
      </c>
      <c r="N365" s="18">
        <f t="shared" si="17"/>
        <v>8.058333333333334E-2</v>
      </c>
      <c r="O365" s="20"/>
    </row>
    <row r="366" spans="1:15">
      <c r="A366" s="7" t="s">
        <v>401</v>
      </c>
      <c r="B366" s="7" t="s">
        <v>403</v>
      </c>
      <c r="C366" s="7" t="s">
        <v>593</v>
      </c>
      <c r="D366" s="7" t="s">
        <v>614</v>
      </c>
      <c r="E366" s="7" t="s">
        <v>87</v>
      </c>
      <c r="F366" s="7" t="s">
        <v>89</v>
      </c>
      <c r="G366" s="7" t="s">
        <v>106</v>
      </c>
      <c r="H366" s="7" t="s">
        <v>623</v>
      </c>
      <c r="I366" s="13">
        <v>240000</v>
      </c>
      <c r="J366" s="13">
        <v>0</v>
      </c>
      <c r="K366" s="13">
        <v>0</v>
      </c>
      <c r="L366" s="14">
        <f t="shared" si="15"/>
        <v>240000</v>
      </c>
      <c r="M366" s="14">
        <f t="shared" si="16"/>
        <v>0</v>
      </c>
      <c r="N366" s="18">
        <f t="shared" si="17"/>
        <v>0</v>
      </c>
      <c r="O366" s="20"/>
    </row>
    <row r="367" spans="1:15">
      <c r="A367" s="7" t="s">
        <v>401</v>
      </c>
      <c r="B367" s="7" t="s">
        <v>403</v>
      </c>
      <c r="C367" s="7" t="s">
        <v>593</v>
      </c>
      <c r="D367" s="7" t="s">
        <v>625</v>
      </c>
      <c r="E367" s="7" t="s">
        <v>72</v>
      </c>
      <c r="F367" s="7" t="s">
        <v>74</v>
      </c>
      <c r="G367" s="7" t="s">
        <v>76</v>
      </c>
      <c r="H367" s="7" t="s">
        <v>626</v>
      </c>
      <c r="I367" s="13">
        <v>1000000</v>
      </c>
      <c r="J367" s="13">
        <v>1000000</v>
      </c>
      <c r="K367" s="13">
        <v>1000000</v>
      </c>
      <c r="L367" s="14">
        <f t="shared" si="15"/>
        <v>0</v>
      </c>
      <c r="M367" s="14">
        <f t="shared" si="16"/>
        <v>0</v>
      </c>
      <c r="N367" s="18">
        <f t="shared" si="17"/>
        <v>1</v>
      </c>
      <c r="O367" s="20"/>
    </row>
    <row r="368" spans="1:15">
      <c r="A368" s="7" t="s">
        <v>401</v>
      </c>
      <c r="B368" s="7" t="s">
        <v>403</v>
      </c>
      <c r="C368" s="7" t="s">
        <v>593</v>
      </c>
      <c r="D368" s="7" t="s">
        <v>628</v>
      </c>
      <c r="E368" s="7" t="s">
        <v>72</v>
      </c>
      <c r="F368" s="7" t="s">
        <v>74</v>
      </c>
      <c r="G368" s="7" t="s">
        <v>76</v>
      </c>
      <c r="H368" s="7" t="s">
        <v>629</v>
      </c>
      <c r="I368" s="13">
        <v>200000</v>
      </c>
      <c r="J368" s="13">
        <v>0</v>
      </c>
      <c r="K368" s="13">
        <v>0</v>
      </c>
      <c r="L368" s="14">
        <f t="shared" si="15"/>
        <v>200000</v>
      </c>
      <c r="M368" s="14">
        <f t="shared" si="16"/>
        <v>0</v>
      </c>
      <c r="N368" s="18">
        <f t="shared" si="17"/>
        <v>0</v>
      </c>
      <c r="O368" s="20"/>
    </row>
    <row r="369" spans="1:15">
      <c r="A369" s="7" t="s">
        <v>401</v>
      </c>
      <c r="B369" s="7" t="s">
        <v>403</v>
      </c>
      <c r="C369" s="7" t="s">
        <v>593</v>
      </c>
      <c r="D369" s="7" t="s">
        <v>628</v>
      </c>
      <c r="E369" s="7" t="s">
        <v>72</v>
      </c>
      <c r="F369" s="7" t="s">
        <v>74</v>
      </c>
      <c r="G369" s="7" t="s">
        <v>76</v>
      </c>
      <c r="H369" s="7" t="s">
        <v>630</v>
      </c>
      <c r="I369" s="13">
        <v>480000</v>
      </c>
      <c r="J369" s="13">
        <v>0</v>
      </c>
      <c r="K369" s="13">
        <v>0</v>
      </c>
      <c r="L369" s="14">
        <f t="shared" si="15"/>
        <v>480000</v>
      </c>
      <c r="M369" s="14">
        <f t="shared" si="16"/>
        <v>0</v>
      </c>
      <c r="N369" s="18">
        <f t="shared" si="17"/>
        <v>0</v>
      </c>
      <c r="O369" s="20"/>
    </row>
    <row r="370" spans="1:15">
      <c r="A370" s="7" t="s">
        <v>401</v>
      </c>
      <c r="B370" s="7" t="s">
        <v>403</v>
      </c>
      <c r="C370" s="7" t="s">
        <v>593</v>
      </c>
      <c r="D370" s="7" t="s">
        <v>628</v>
      </c>
      <c r="E370" s="7" t="s">
        <v>72</v>
      </c>
      <c r="F370" s="7" t="s">
        <v>74</v>
      </c>
      <c r="G370" s="7" t="s">
        <v>79</v>
      </c>
      <c r="H370" s="7" t="s">
        <v>631</v>
      </c>
      <c r="I370" s="13">
        <v>3440000</v>
      </c>
      <c r="J370" s="13">
        <v>1120000</v>
      </c>
      <c r="K370" s="13">
        <v>1120000</v>
      </c>
      <c r="L370" s="14">
        <f t="shared" si="15"/>
        <v>2320000</v>
      </c>
      <c r="M370" s="14">
        <f t="shared" si="16"/>
        <v>0</v>
      </c>
      <c r="N370" s="18">
        <f t="shared" si="17"/>
        <v>0.32558139534883723</v>
      </c>
      <c r="O370" s="20"/>
    </row>
    <row r="371" spans="1:15">
      <c r="A371" s="7" t="s">
        <v>401</v>
      </c>
      <c r="B371" s="7" t="s">
        <v>403</v>
      </c>
      <c r="C371" s="7" t="s">
        <v>593</v>
      </c>
      <c r="D371" s="7" t="s">
        <v>628</v>
      </c>
      <c r="E371" s="7" t="s">
        <v>72</v>
      </c>
      <c r="F371" s="7" t="s">
        <v>74</v>
      </c>
      <c r="G371" s="7" t="s">
        <v>79</v>
      </c>
      <c r="H371" s="7" t="s">
        <v>632</v>
      </c>
      <c r="I371" s="13">
        <v>1200000</v>
      </c>
      <c r="J371" s="13">
        <v>163580</v>
      </c>
      <c r="K371" s="13">
        <v>163580</v>
      </c>
      <c r="L371" s="14">
        <f t="shared" si="15"/>
        <v>1036420</v>
      </c>
      <c r="M371" s="14">
        <f t="shared" si="16"/>
        <v>0</v>
      </c>
      <c r="N371" s="18">
        <f t="shared" si="17"/>
        <v>0.13631666666666667</v>
      </c>
      <c r="O371" s="20"/>
    </row>
    <row r="372" spans="1:15">
      <c r="A372" s="7" t="s">
        <v>401</v>
      </c>
      <c r="B372" s="7" t="s">
        <v>403</v>
      </c>
      <c r="C372" s="7" t="s">
        <v>593</v>
      </c>
      <c r="D372" s="7" t="s">
        <v>628</v>
      </c>
      <c r="E372" s="7" t="s">
        <v>72</v>
      </c>
      <c r="F372" s="7" t="s">
        <v>74</v>
      </c>
      <c r="G372" s="7" t="s">
        <v>79</v>
      </c>
      <c r="H372" s="7" t="s">
        <v>633</v>
      </c>
      <c r="I372" s="13">
        <v>1080000</v>
      </c>
      <c r="J372" s="13">
        <v>0</v>
      </c>
      <c r="K372" s="13">
        <v>0</v>
      </c>
      <c r="L372" s="14">
        <f t="shared" si="15"/>
        <v>1080000</v>
      </c>
      <c r="M372" s="14">
        <f t="shared" si="16"/>
        <v>0</v>
      </c>
      <c r="N372" s="18">
        <f t="shared" si="17"/>
        <v>0</v>
      </c>
      <c r="O372" s="20"/>
    </row>
    <row r="373" spans="1:15">
      <c r="A373" s="7" t="s">
        <v>401</v>
      </c>
      <c r="B373" s="7" t="s">
        <v>403</v>
      </c>
      <c r="C373" s="7" t="s">
        <v>593</v>
      </c>
      <c r="D373" s="7" t="s">
        <v>628</v>
      </c>
      <c r="E373" s="7" t="s">
        <v>72</v>
      </c>
      <c r="F373" s="7" t="s">
        <v>74</v>
      </c>
      <c r="G373" s="7" t="s">
        <v>79</v>
      </c>
      <c r="H373" s="7" t="s">
        <v>634</v>
      </c>
      <c r="I373" s="13">
        <v>240000</v>
      </c>
      <c r="J373" s="13">
        <v>0</v>
      </c>
      <c r="K373" s="13">
        <v>0</v>
      </c>
      <c r="L373" s="14">
        <f t="shared" si="15"/>
        <v>240000</v>
      </c>
      <c r="M373" s="14">
        <f t="shared" si="16"/>
        <v>0</v>
      </c>
      <c r="N373" s="18">
        <f t="shared" si="17"/>
        <v>0</v>
      </c>
      <c r="O373" s="20"/>
    </row>
    <row r="374" spans="1:15">
      <c r="A374" s="7" t="s">
        <v>401</v>
      </c>
      <c r="B374" s="7" t="s">
        <v>403</v>
      </c>
      <c r="C374" s="7" t="s">
        <v>593</v>
      </c>
      <c r="D374" s="7" t="s">
        <v>628</v>
      </c>
      <c r="E374" s="7" t="s">
        <v>72</v>
      </c>
      <c r="F374" s="7" t="s">
        <v>95</v>
      </c>
      <c r="G374" s="7" t="s">
        <v>95</v>
      </c>
      <c r="H374" s="7" t="s">
        <v>635</v>
      </c>
      <c r="I374" s="13">
        <v>1000000</v>
      </c>
      <c r="J374" s="13">
        <v>0</v>
      </c>
      <c r="K374" s="13">
        <v>0</v>
      </c>
      <c r="L374" s="14">
        <f t="shared" si="15"/>
        <v>1000000</v>
      </c>
      <c r="M374" s="14">
        <f t="shared" si="16"/>
        <v>0</v>
      </c>
      <c r="N374" s="18">
        <f t="shared" si="17"/>
        <v>0</v>
      </c>
      <c r="O374" s="20"/>
    </row>
    <row r="375" spans="1:15">
      <c r="A375" s="7" t="s">
        <v>401</v>
      </c>
      <c r="B375" s="7" t="s">
        <v>403</v>
      </c>
      <c r="C375" s="7" t="s">
        <v>593</v>
      </c>
      <c r="D375" s="7" t="s">
        <v>628</v>
      </c>
      <c r="E375" s="7" t="s">
        <v>72</v>
      </c>
      <c r="F375" s="7" t="s">
        <v>95</v>
      </c>
      <c r="G375" s="7" t="s">
        <v>95</v>
      </c>
      <c r="H375" s="7" t="s">
        <v>636</v>
      </c>
      <c r="I375" s="13">
        <v>0</v>
      </c>
      <c r="J375" s="13">
        <v>0</v>
      </c>
      <c r="K375" s="13">
        <v>0</v>
      </c>
      <c r="L375" s="14">
        <f t="shared" si="15"/>
        <v>0</v>
      </c>
      <c r="M375" s="14">
        <f t="shared" si="16"/>
        <v>0</v>
      </c>
      <c r="N375" s="18">
        <f t="shared" si="17"/>
        <v>0</v>
      </c>
      <c r="O375" s="20"/>
    </row>
    <row r="376" spans="1:15">
      <c r="A376" s="7" t="s">
        <v>401</v>
      </c>
      <c r="B376" s="7" t="s">
        <v>403</v>
      </c>
      <c r="C376" s="7" t="s">
        <v>593</v>
      </c>
      <c r="D376" s="7" t="s">
        <v>628</v>
      </c>
      <c r="E376" s="7" t="s">
        <v>72</v>
      </c>
      <c r="F376" s="7" t="s">
        <v>95</v>
      </c>
      <c r="G376" s="7" t="s">
        <v>95</v>
      </c>
      <c r="H376" s="7" t="s">
        <v>637</v>
      </c>
      <c r="I376" s="13">
        <v>1000000</v>
      </c>
      <c r="J376" s="13">
        <v>0</v>
      </c>
      <c r="K376" s="13">
        <v>0</v>
      </c>
      <c r="L376" s="14">
        <f t="shared" si="15"/>
        <v>1000000</v>
      </c>
      <c r="M376" s="14">
        <f t="shared" si="16"/>
        <v>0</v>
      </c>
      <c r="N376" s="18">
        <f t="shared" si="17"/>
        <v>0</v>
      </c>
      <c r="O376" s="20"/>
    </row>
    <row r="377" spans="1:15">
      <c r="A377" s="7" t="s">
        <v>401</v>
      </c>
      <c r="B377" s="7" t="s">
        <v>403</v>
      </c>
      <c r="C377" s="7" t="s">
        <v>593</v>
      </c>
      <c r="D377" s="7" t="s">
        <v>628</v>
      </c>
      <c r="E377" s="7" t="s">
        <v>72</v>
      </c>
      <c r="F377" s="7" t="s">
        <v>124</v>
      </c>
      <c r="G377" s="7" t="s">
        <v>138</v>
      </c>
      <c r="H377" s="7" t="s">
        <v>638</v>
      </c>
      <c r="I377" s="13">
        <v>90000</v>
      </c>
      <c r="J377" s="13">
        <v>0</v>
      </c>
      <c r="K377" s="13">
        <v>0</v>
      </c>
      <c r="L377" s="14">
        <f t="shared" si="15"/>
        <v>90000</v>
      </c>
      <c r="M377" s="14">
        <f t="shared" si="16"/>
        <v>0</v>
      </c>
      <c r="N377" s="18">
        <f t="shared" si="17"/>
        <v>0</v>
      </c>
      <c r="O377" s="20"/>
    </row>
    <row r="378" spans="1:15">
      <c r="A378" s="7" t="s">
        <v>401</v>
      </c>
      <c r="B378" s="7" t="s">
        <v>403</v>
      </c>
      <c r="C378" s="7" t="s">
        <v>593</v>
      </c>
      <c r="D378" s="7" t="s">
        <v>628</v>
      </c>
      <c r="E378" s="7" t="s">
        <v>87</v>
      </c>
      <c r="F378" s="7" t="s">
        <v>89</v>
      </c>
      <c r="G378" s="7" t="s">
        <v>106</v>
      </c>
      <c r="H378" s="7" t="s">
        <v>107</v>
      </c>
      <c r="I378" s="13">
        <v>270000</v>
      </c>
      <c r="J378" s="13">
        <v>0</v>
      </c>
      <c r="K378" s="13">
        <v>0</v>
      </c>
      <c r="L378" s="14">
        <f t="shared" si="15"/>
        <v>270000</v>
      </c>
      <c r="M378" s="14">
        <f t="shared" si="16"/>
        <v>0</v>
      </c>
      <c r="N378" s="18">
        <f t="shared" si="17"/>
        <v>0</v>
      </c>
      <c r="O378" s="20"/>
    </row>
    <row r="379" spans="1:15">
      <c r="A379" s="7" t="s">
        <v>401</v>
      </c>
      <c r="B379" s="7" t="s">
        <v>403</v>
      </c>
      <c r="C379" s="7" t="s">
        <v>593</v>
      </c>
      <c r="D379" s="7" t="s">
        <v>640</v>
      </c>
      <c r="E379" s="7" t="s">
        <v>72</v>
      </c>
      <c r="F379" s="7" t="s">
        <v>74</v>
      </c>
      <c r="G379" s="7" t="s">
        <v>76</v>
      </c>
      <c r="H379" s="7" t="s">
        <v>641</v>
      </c>
      <c r="I379" s="13">
        <v>2560000</v>
      </c>
      <c r="J379" s="13">
        <v>0</v>
      </c>
      <c r="K379" s="13">
        <v>0</v>
      </c>
      <c r="L379" s="14">
        <f t="shared" si="15"/>
        <v>2560000</v>
      </c>
      <c r="M379" s="14">
        <f t="shared" si="16"/>
        <v>0</v>
      </c>
      <c r="N379" s="18">
        <f t="shared" si="17"/>
        <v>0</v>
      </c>
      <c r="O379" s="20"/>
    </row>
    <row r="380" spans="1:15">
      <c r="A380" s="7" t="s">
        <v>401</v>
      </c>
      <c r="B380" s="7" t="s">
        <v>403</v>
      </c>
      <c r="C380" s="7" t="s">
        <v>593</v>
      </c>
      <c r="D380" s="7" t="s">
        <v>640</v>
      </c>
      <c r="E380" s="7" t="s">
        <v>72</v>
      </c>
      <c r="F380" s="7" t="s">
        <v>74</v>
      </c>
      <c r="G380" s="7" t="s">
        <v>76</v>
      </c>
      <c r="H380" s="7" t="s">
        <v>642</v>
      </c>
      <c r="I380" s="13">
        <v>440000</v>
      </c>
      <c r="J380" s="13">
        <v>90790</v>
      </c>
      <c r="K380" s="13">
        <v>90790</v>
      </c>
      <c r="L380" s="14">
        <f t="shared" si="15"/>
        <v>349210</v>
      </c>
      <c r="M380" s="14">
        <f t="shared" si="16"/>
        <v>0</v>
      </c>
      <c r="N380" s="18">
        <f t="shared" si="17"/>
        <v>0.2063409090909091</v>
      </c>
      <c r="O380" s="20"/>
    </row>
    <row r="381" spans="1:15">
      <c r="A381" s="7" t="s">
        <v>401</v>
      </c>
      <c r="B381" s="7" t="s">
        <v>403</v>
      </c>
      <c r="C381" s="7" t="s">
        <v>593</v>
      </c>
      <c r="D381" s="7" t="s">
        <v>640</v>
      </c>
      <c r="E381" s="7" t="s">
        <v>72</v>
      </c>
      <c r="F381" s="7" t="s">
        <v>74</v>
      </c>
      <c r="G381" s="7" t="s">
        <v>79</v>
      </c>
      <c r="H381" s="7" t="s">
        <v>330</v>
      </c>
      <c r="I381" s="13">
        <v>150000</v>
      </c>
      <c r="J381" s="13">
        <v>0</v>
      </c>
      <c r="K381" s="13">
        <v>0</v>
      </c>
      <c r="L381" s="14">
        <f t="shared" si="15"/>
        <v>150000</v>
      </c>
      <c r="M381" s="14">
        <f t="shared" si="16"/>
        <v>0</v>
      </c>
      <c r="N381" s="18">
        <f t="shared" si="17"/>
        <v>0</v>
      </c>
      <c r="O381" s="20"/>
    </row>
    <row r="382" spans="1:15">
      <c r="A382" s="7" t="s">
        <v>401</v>
      </c>
      <c r="B382" s="7" t="s">
        <v>403</v>
      </c>
      <c r="C382" s="7" t="s">
        <v>593</v>
      </c>
      <c r="D382" s="7" t="s">
        <v>640</v>
      </c>
      <c r="E382" s="7" t="s">
        <v>72</v>
      </c>
      <c r="F382" s="7" t="s">
        <v>74</v>
      </c>
      <c r="G382" s="7" t="s">
        <v>79</v>
      </c>
      <c r="H382" s="7" t="s">
        <v>643</v>
      </c>
      <c r="I382" s="13">
        <v>50000</v>
      </c>
      <c r="J382" s="13">
        <v>0</v>
      </c>
      <c r="K382" s="13">
        <v>0</v>
      </c>
      <c r="L382" s="14">
        <f t="shared" si="15"/>
        <v>50000</v>
      </c>
      <c r="M382" s="14">
        <f t="shared" si="16"/>
        <v>0</v>
      </c>
      <c r="N382" s="18">
        <f t="shared" si="17"/>
        <v>0</v>
      </c>
      <c r="O382" s="20"/>
    </row>
    <row r="383" spans="1:15">
      <c r="A383" s="7" t="s">
        <v>401</v>
      </c>
      <c r="B383" s="7" t="s">
        <v>403</v>
      </c>
      <c r="C383" s="7" t="s">
        <v>593</v>
      </c>
      <c r="D383" s="7" t="s">
        <v>640</v>
      </c>
      <c r="E383" s="7" t="s">
        <v>87</v>
      </c>
      <c r="F383" s="7" t="s">
        <v>89</v>
      </c>
      <c r="G383" s="7" t="s">
        <v>106</v>
      </c>
      <c r="H383" s="7" t="s">
        <v>107</v>
      </c>
      <c r="I383" s="13">
        <v>800000</v>
      </c>
      <c r="J383" s="13">
        <v>122060</v>
      </c>
      <c r="K383" s="13">
        <v>122060</v>
      </c>
      <c r="L383" s="14">
        <f t="shared" si="15"/>
        <v>677940</v>
      </c>
      <c r="M383" s="14">
        <f t="shared" si="16"/>
        <v>0</v>
      </c>
      <c r="N383" s="18">
        <f t="shared" si="17"/>
        <v>0.15257499999999999</v>
      </c>
      <c r="O383" s="20"/>
    </row>
    <row r="384" spans="1:15">
      <c r="A384" s="7" t="s">
        <v>401</v>
      </c>
      <c r="B384" s="7" t="s">
        <v>645</v>
      </c>
      <c r="C384" s="7" t="s">
        <v>647</v>
      </c>
      <c r="D384" s="7" t="s">
        <v>648</v>
      </c>
      <c r="E384" s="7" t="s">
        <v>72</v>
      </c>
      <c r="F384" s="7" t="s">
        <v>95</v>
      </c>
      <c r="G384" s="7" t="s">
        <v>95</v>
      </c>
      <c r="H384" s="7" t="s">
        <v>649</v>
      </c>
      <c r="I384" s="13">
        <v>2000000</v>
      </c>
      <c r="J384" s="13">
        <v>0</v>
      </c>
      <c r="K384" s="13">
        <v>0</v>
      </c>
      <c r="L384" s="14">
        <f t="shared" si="15"/>
        <v>2000000</v>
      </c>
      <c r="M384" s="14">
        <f t="shared" si="16"/>
        <v>0</v>
      </c>
      <c r="N384" s="18">
        <f t="shared" si="17"/>
        <v>0</v>
      </c>
      <c r="O384" s="20"/>
    </row>
    <row r="385" spans="1:15">
      <c r="A385" s="7" t="s">
        <v>401</v>
      </c>
      <c r="B385" s="7" t="s">
        <v>645</v>
      </c>
      <c r="C385" s="7" t="s">
        <v>647</v>
      </c>
      <c r="D385" s="7" t="s">
        <v>648</v>
      </c>
      <c r="E385" s="7" t="s">
        <v>72</v>
      </c>
      <c r="F385" s="7" t="s">
        <v>95</v>
      </c>
      <c r="G385" s="7" t="s">
        <v>95</v>
      </c>
      <c r="H385" s="7" t="s">
        <v>650</v>
      </c>
      <c r="I385" s="13">
        <v>500000</v>
      </c>
      <c r="J385" s="13">
        <v>0</v>
      </c>
      <c r="K385" s="13">
        <v>0</v>
      </c>
      <c r="L385" s="14">
        <f t="shared" si="15"/>
        <v>500000</v>
      </c>
      <c r="M385" s="14">
        <f t="shared" si="16"/>
        <v>0</v>
      </c>
      <c r="N385" s="18">
        <f t="shared" si="17"/>
        <v>0</v>
      </c>
      <c r="O385" s="20"/>
    </row>
    <row r="386" spans="1:15">
      <c r="A386" s="7" t="s">
        <v>401</v>
      </c>
      <c r="B386" s="7" t="s">
        <v>645</v>
      </c>
      <c r="C386" s="7" t="s">
        <v>647</v>
      </c>
      <c r="D386" s="7" t="s">
        <v>651</v>
      </c>
      <c r="E386" s="7" t="s">
        <v>131</v>
      </c>
      <c r="F386" s="7" t="s">
        <v>133</v>
      </c>
      <c r="G386" s="7" t="s">
        <v>135</v>
      </c>
      <c r="H386" s="7" t="s">
        <v>651</v>
      </c>
      <c r="I386" s="13">
        <v>48546000</v>
      </c>
      <c r="J386" s="13">
        <v>17273590</v>
      </c>
      <c r="K386" s="13">
        <v>17273590</v>
      </c>
      <c r="L386" s="14">
        <f t="shared" si="15"/>
        <v>31272410</v>
      </c>
      <c r="M386" s="14">
        <f t="shared" si="16"/>
        <v>0</v>
      </c>
      <c r="N386" s="18">
        <f t="shared" si="17"/>
        <v>0.35581901701479007</v>
      </c>
      <c r="O386" s="20"/>
    </row>
    <row r="387" spans="1:15">
      <c r="A387" s="7" t="s">
        <v>401</v>
      </c>
      <c r="B387" s="7" t="s">
        <v>645</v>
      </c>
      <c r="C387" s="7" t="s">
        <v>647</v>
      </c>
      <c r="D387" s="7" t="s">
        <v>652</v>
      </c>
      <c r="E387" s="7" t="s">
        <v>72</v>
      </c>
      <c r="F387" s="7" t="s">
        <v>74</v>
      </c>
      <c r="G387" s="7" t="s">
        <v>79</v>
      </c>
      <c r="H387" s="7" t="s">
        <v>653</v>
      </c>
      <c r="I387" s="13">
        <v>15600000</v>
      </c>
      <c r="J387" s="13">
        <v>7500000</v>
      </c>
      <c r="K387" s="13">
        <v>7500000</v>
      </c>
      <c r="L387" s="14">
        <f t="shared" si="15"/>
        <v>8100000</v>
      </c>
      <c r="M387" s="14">
        <f t="shared" si="16"/>
        <v>0</v>
      </c>
      <c r="N387" s="18">
        <f t="shared" si="17"/>
        <v>0.48076923076923078</v>
      </c>
      <c r="O387" s="20"/>
    </row>
    <row r="388" spans="1:15">
      <c r="A388" s="7" t="s">
        <v>401</v>
      </c>
      <c r="B388" s="7" t="s">
        <v>645</v>
      </c>
      <c r="C388" s="7" t="s">
        <v>647</v>
      </c>
      <c r="D388" s="7" t="s">
        <v>652</v>
      </c>
      <c r="E388" s="7" t="s">
        <v>72</v>
      </c>
      <c r="F388" s="7" t="s">
        <v>124</v>
      </c>
      <c r="G388" s="7" t="s">
        <v>138</v>
      </c>
      <c r="H388" s="7" t="s">
        <v>654</v>
      </c>
      <c r="I388" s="13">
        <v>1680000</v>
      </c>
      <c r="J388" s="13">
        <v>850340</v>
      </c>
      <c r="K388" s="13">
        <v>850340</v>
      </c>
      <c r="L388" s="14">
        <f t="shared" ref="L388:L451" si="18">I388-J388</f>
        <v>829660</v>
      </c>
      <c r="M388" s="14">
        <f t="shared" ref="M388:M451" si="19">J388-K388</f>
        <v>0</v>
      </c>
      <c r="N388" s="18">
        <f t="shared" ref="N388:N451" si="20">IFERROR(J388/I388,0)</f>
        <v>0.50615476190476194</v>
      </c>
      <c r="O388" s="20"/>
    </row>
    <row r="389" spans="1:15">
      <c r="A389" s="7" t="s">
        <v>401</v>
      </c>
      <c r="B389" s="7" t="s">
        <v>645</v>
      </c>
      <c r="C389" s="7" t="s">
        <v>647</v>
      </c>
      <c r="D389" s="7" t="s">
        <v>655</v>
      </c>
      <c r="E389" s="7" t="s">
        <v>72</v>
      </c>
      <c r="F389" s="7" t="s">
        <v>95</v>
      </c>
      <c r="G389" s="7" t="s">
        <v>95</v>
      </c>
      <c r="H389" s="7" t="s">
        <v>656</v>
      </c>
      <c r="I389" s="13">
        <v>1065000</v>
      </c>
      <c r="J389" s="13">
        <v>0</v>
      </c>
      <c r="K389" s="13">
        <v>0</v>
      </c>
      <c r="L389" s="14">
        <f t="shared" si="18"/>
        <v>1065000</v>
      </c>
      <c r="M389" s="14">
        <f t="shared" si="19"/>
        <v>0</v>
      </c>
      <c r="N389" s="18">
        <f t="shared" si="20"/>
        <v>0</v>
      </c>
      <c r="O389" s="20"/>
    </row>
    <row r="390" spans="1:15">
      <c r="A390" s="7" t="s">
        <v>401</v>
      </c>
      <c r="B390" s="7" t="s">
        <v>645</v>
      </c>
      <c r="C390" s="7" t="s">
        <v>647</v>
      </c>
      <c r="D390" s="7" t="s">
        <v>657</v>
      </c>
      <c r="E390" s="7" t="s">
        <v>72</v>
      </c>
      <c r="F390" s="7" t="s">
        <v>95</v>
      </c>
      <c r="G390" s="7" t="s">
        <v>95</v>
      </c>
      <c r="H390" s="7" t="s">
        <v>658</v>
      </c>
      <c r="I390" s="13">
        <v>5000000</v>
      </c>
      <c r="J390" s="13">
        <v>140000</v>
      </c>
      <c r="K390" s="13">
        <v>0</v>
      </c>
      <c r="L390" s="14">
        <f t="shared" si="18"/>
        <v>4860000</v>
      </c>
      <c r="M390" s="14">
        <f t="shared" si="19"/>
        <v>140000</v>
      </c>
      <c r="N390" s="18">
        <f t="shared" si="20"/>
        <v>2.8000000000000001E-2</v>
      </c>
      <c r="O390" s="20"/>
    </row>
    <row r="391" spans="1:15">
      <c r="A391" s="7" t="s">
        <v>401</v>
      </c>
      <c r="B391" s="7" t="s">
        <v>660</v>
      </c>
      <c r="C391" s="7" t="s">
        <v>662</v>
      </c>
      <c r="D391" s="7" t="s">
        <v>663</v>
      </c>
      <c r="E391" s="7" t="s">
        <v>72</v>
      </c>
      <c r="F391" s="7" t="s">
        <v>74</v>
      </c>
      <c r="G391" s="7" t="s">
        <v>76</v>
      </c>
      <c r="H391" s="7" t="s">
        <v>664</v>
      </c>
      <c r="I391" s="13">
        <v>500000</v>
      </c>
      <c r="J391" s="13">
        <v>280400</v>
      </c>
      <c r="K391" s="13">
        <v>280400</v>
      </c>
      <c r="L391" s="14">
        <f t="shared" si="18"/>
        <v>219600</v>
      </c>
      <c r="M391" s="14">
        <f t="shared" si="19"/>
        <v>0</v>
      </c>
      <c r="N391" s="18">
        <f t="shared" si="20"/>
        <v>0.56079999999999997</v>
      </c>
      <c r="O391" s="20"/>
    </row>
    <row r="392" spans="1:15">
      <c r="A392" s="7" t="s">
        <v>401</v>
      </c>
      <c r="B392" s="7" t="s">
        <v>660</v>
      </c>
      <c r="C392" s="7" t="s">
        <v>662</v>
      </c>
      <c r="D392" s="7" t="s">
        <v>663</v>
      </c>
      <c r="E392" s="7" t="s">
        <v>192</v>
      </c>
      <c r="F392" s="7" t="s">
        <v>192</v>
      </c>
      <c r="G392" s="7" t="s">
        <v>666</v>
      </c>
      <c r="H392" s="7" t="s">
        <v>666</v>
      </c>
      <c r="I392" s="13">
        <v>16500000</v>
      </c>
      <c r="J392" s="13">
        <v>9610320</v>
      </c>
      <c r="K392" s="13">
        <v>9112320</v>
      </c>
      <c r="L392" s="14">
        <f t="shared" si="18"/>
        <v>6889680</v>
      </c>
      <c r="M392" s="14">
        <f t="shared" si="19"/>
        <v>498000</v>
      </c>
      <c r="N392" s="18">
        <f t="shared" si="20"/>
        <v>0.58244363636363639</v>
      </c>
      <c r="O392" s="20"/>
    </row>
    <row r="393" spans="1:15">
      <c r="A393" s="7" t="s">
        <v>401</v>
      </c>
      <c r="B393" s="7" t="s">
        <v>660</v>
      </c>
      <c r="C393" s="7" t="s">
        <v>662</v>
      </c>
      <c r="D393" s="7" t="s">
        <v>667</v>
      </c>
      <c r="E393" s="7" t="s">
        <v>72</v>
      </c>
      <c r="F393" s="7" t="s">
        <v>74</v>
      </c>
      <c r="G393" s="7" t="s">
        <v>76</v>
      </c>
      <c r="H393" s="7" t="s">
        <v>668</v>
      </c>
      <c r="I393" s="13">
        <v>700000</v>
      </c>
      <c r="J393" s="13">
        <v>951780</v>
      </c>
      <c r="K393" s="13">
        <v>951780</v>
      </c>
      <c r="L393" s="14">
        <f t="shared" si="18"/>
        <v>-251780</v>
      </c>
      <c r="M393" s="14">
        <f t="shared" si="19"/>
        <v>0</v>
      </c>
      <c r="N393" s="18">
        <f t="shared" si="20"/>
        <v>1.3596857142857144</v>
      </c>
      <c r="O393" s="20"/>
    </row>
    <row r="394" spans="1:15">
      <c r="A394" s="7" t="s">
        <v>401</v>
      </c>
      <c r="B394" s="7" t="s">
        <v>660</v>
      </c>
      <c r="C394" s="7" t="s">
        <v>662</v>
      </c>
      <c r="D394" s="7" t="s">
        <v>667</v>
      </c>
      <c r="E394" s="7" t="s">
        <v>72</v>
      </c>
      <c r="F394" s="7" t="s">
        <v>74</v>
      </c>
      <c r="G394" s="7" t="s">
        <v>76</v>
      </c>
      <c r="H394" s="7" t="s">
        <v>669</v>
      </c>
      <c r="I394" s="13">
        <v>1200000</v>
      </c>
      <c r="J394" s="13">
        <v>672250</v>
      </c>
      <c r="K394" s="13">
        <v>409390</v>
      </c>
      <c r="L394" s="14">
        <f t="shared" si="18"/>
        <v>527750</v>
      </c>
      <c r="M394" s="14">
        <f t="shared" si="19"/>
        <v>262860</v>
      </c>
      <c r="N394" s="18">
        <f t="shared" si="20"/>
        <v>0.56020833333333331</v>
      </c>
      <c r="O394" s="20"/>
    </row>
    <row r="395" spans="1:15">
      <c r="A395" s="7" t="s">
        <v>401</v>
      </c>
      <c r="B395" s="7" t="s">
        <v>660</v>
      </c>
      <c r="C395" s="7" t="s">
        <v>662</v>
      </c>
      <c r="D395" s="7" t="s">
        <v>667</v>
      </c>
      <c r="E395" s="7" t="s">
        <v>72</v>
      </c>
      <c r="F395" s="7" t="s">
        <v>95</v>
      </c>
      <c r="G395" s="7" t="s">
        <v>95</v>
      </c>
      <c r="H395" s="7" t="s">
        <v>670</v>
      </c>
      <c r="I395" s="13">
        <v>4500000</v>
      </c>
      <c r="J395" s="13">
        <v>4150000</v>
      </c>
      <c r="K395" s="13">
        <v>4150000</v>
      </c>
      <c r="L395" s="14">
        <f t="shared" si="18"/>
        <v>350000</v>
      </c>
      <c r="M395" s="14">
        <f t="shared" si="19"/>
        <v>0</v>
      </c>
      <c r="N395" s="18">
        <f t="shared" si="20"/>
        <v>0.92222222222222228</v>
      </c>
      <c r="O395" s="20"/>
    </row>
    <row r="396" spans="1:15">
      <c r="A396" s="7" t="s">
        <v>401</v>
      </c>
      <c r="B396" s="7" t="s">
        <v>660</v>
      </c>
      <c r="C396" s="7" t="s">
        <v>662</v>
      </c>
      <c r="D396" s="7" t="s">
        <v>667</v>
      </c>
      <c r="E396" s="7" t="s">
        <v>72</v>
      </c>
      <c r="F396" s="7" t="s">
        <v>95</v>
      </c>
      <c r="G396" s="7" t="s">
        <v>95</v>
      </c>
      <c r="H396" s="7" t="s">
        <v>671</v>
      </c>
      <c r="I396" s="13">
        <v>500000</v>
      </c>
      <c r="J396" s="13">
        <v>252340</v>
      </c>
      <c r="K396" s="13">
        <v>252340</v>
      </c>
      <c r="L396" s="14">
        <f t="shared" si="18"/>
        <v>247660</v>
      </c>
      <c r="M396" s="14">
        <f t="shared" si="19"/>
        <v>0</v>
      </c>
      <c r="N396" s="18">
        <f t="shared" si="20"/>
        <v>0.50468000000000002</v>
      </c>
      <c r="O396" s="20"/>
    </row>
    <row r="397" spans="1:15">
      <c r="A397" s="7" t="s">
        <v>401</v>
      </c>
      <c r="B397" s="7" t="s">
        <v>660</v>
      </c>
      <c r="C397" s="7" t="s">
        <v>662</v>
      </c>
      <c r="D397" s="7" t="s">
        <v>667</v>
      </c>
      <c r="E397" s="7" t="s">
        <v>87</v>
      </c>
      <c r="F397" s="7" t="s">
        <v>89</v>
      </c>
      <c r="G397" s="7" t="s">
        <v>89</v>
      </c>
      <c r="H397" s="7" t="s">
        <v>672</v>
      </c>
      <c r="I397" s="13">
        <v>100000</v>
      </c>
      <c r="J397" s="13">
        <v>65630</v>
      </c>
      <c r="K397" s="13">
        <v>65630</v>
      </c>
      <c r="L397" s="14">
        <f t="shared" si="18"/>
        <v>34370</v>
      </c>
      <c r="M397" s="14">
        <f t="shared" si="19"/>
        <v>0</v>
      </c>
      <c r="N397" s="18">
        <f t="shared" si="20"/>
        <v>0.65629999999999999</v>
      </c>
      <c r="O397" s="20"/>
    </row>
    <row r="398" spans="1:15">
      <c r="A398" s="7" t="s">
        <v>401</v>
      </c>
      <c r="B398" s="7" t="s">
        <v>660</v>
      </c>
      <c r="C398" s="7" t="s">
        <v>662</v>
      </c>
      <c r="D398" s="7" t="s">
        <v>667</v>
      </c>
      <c r="E398" s="7" t="s">
        <v>192</v>
      </c>
      <c r="F398" s="7" t="s">
        <v>192</v>
      </c>
      <c r="G398" s="7" t="s">
        <v>192</v>
      </c>
      <c r="H398" s="7" t="s">
        <v>673</v>
      </c>
      <c r="I398" s="13">
        <v>1800000</v>
      </c>
      <c r="J398" s="13">
        <v>1414200</v>
      </c>
      <c r="K398" s="13">
        <v>1414200</v>
      </c>
      <c r="L398" s="14">
        <f t="shared" si="18"/>
        <v>385800</v>
      </c>
      <c r="M398" s="14">
        <f t="shared" si="19"/>
        <v>0</v>
      </c>
      <c r="N398" s="18">
        <f t="shared" si="20"/>
        <v>0.78566666666666662</v>
      </c>
      <c r="O398" s="20"/>
    </row>
    <row r="399" spans="1:15">
      <c r="A399" s="7" t="s">
        <v>401</v>
      </c>
      <c r="B399" s="7" t="s">
        <v>660</v>
      </c>
      <c r="C399" s="7" t="s">
        <v>662</v>
      </c>
      <c r="D399" s="7" t="s">
        <v>674</v>
      </c>
      <c r="E399" s="7" t="s">
        <v>72</v>
      </c>
      <c r="F399" s="7" t="s">
        <v>95</v>
      </c>
      <c r="G399" s="7" t="s">
        <v>95</v>
      </c>
      <c r="H399" s="7" t="s">
        <v>675</v>
      </c>
      <c r="I399" s="13">
        <v>300000</v>
      </c>
      <c r="J399" s="13">
        <v>0</v>
      </c>
      <c r="K399" s="13">
        <v>0</v>
      </c>
      <c r="L399" s="14">
        <f t="shared" si="18"/>
        <v>300000</v>
      </c>
      <c r="M399" s="14">
        <f t="shared" si="19"/>
        <v>0</v>
      </c>
      <c r="N399" s="18">
        <f t="shared" si="20"/>
        <v>0</v>
      </c>
      <c r="O399" s="20"/>
    </row>
    <row r="400" spans="1:15">
      <c r="A400" s="7" t="s">
        <v>401</v>
      </c>
      <c r="B400" s="7" t="s">
        <v>660</v>
      </c>
      <c r="C400" s="7" t="s">
        <v>662</v>
      </c>
      <c r="D400" s="7" t="s">
        <v>674</v>
      </c>
      <c r="E400" s="7" t="s">
        <v>72</v>
      </c>
      <c r="F400" s="7" t="s">
        <v>95</v>
      </c>
      <c r="G400" s="7" t="s">
        <v>95</v>
      </c>
      <c r="H400" s="7" t="s">
        <v>676</v>
      </c>
      <c r="I400" s="13">
        <v>6000000</v>
      </c>
      <c r="J400" s="13">
        <v>0</v>
      </c>
      <c r="K400" s="13">
        <v>0</v>
      </c>
      <c r="L400" s="14">
        <f t="shared" si="18"/>
        <v>6000000</v>
      </c>
      <c r="M400" s="14">
        <f t="shared" si="19"/>
        <v>0</v>
      </c>
      <c r="N400" s="18">
        <f t="shared" si="20"/>
        <v>0</v>
      </c>
      <c r="O400" s="20"/>
    </row>
    <row r="401" spans="1:15">
      <c r="A401" s="7" t="s">
        <v>401</v>
      </c>
      <c r="B401" s="7" t="s">
        <v>660</v>
      </c>
      <c r="C401" s="7" t="s">
        <v>662</v>
      </c>
      <c r="D401" s="7" t="s">
        <v>674</v>
      </c>
      <c r="E401" s="7" t="s">
        <v>72</v>
      </c>
      <c r="F401" s="7" t="s">
        <v>95</v>
      </c>
      <c r="G401" s="7" t="s">
        <v>95</v>
      </c>
      <c r="H401" s="7" t="s">
        <v>677</v>
      </c>
      <c r="I401" s="13">
        <v>1000000</v>
      </c>
      <c r="J401" s="13">
        <v>498000</v>
      </c>
      <c r="K401" s="13">
        <v>498000</v>
      </c>
      <c r="L401" s="14">
        <f t="shared" si="18"/>
        <v>502000</v>
      </c>
      <c r="M401" s="14">
        <f t="shared" si="19"/>
        <v>0</v>
      </c>
      <c r="N401" s="18">
        <f t="shared" si="20"/>
        <v>0.498</v>
      </c>
      <c r="O401" s="20"/>
    </row>
    <row r="402" spans="1:15">
      <c r="A402" s="7" t="s">
        <v>401</v>
      </c>
      <c r="B402" s="7" t="s">
        <v>660</v>
      </c>
      <c r="C402" s="7" t="s">
        <v>662</v>
      </c>
      <c r="D402" s="7" t="s">
        <v>678</v>
      </c>
      <c r="E402" s="7" t="s">
        <v>192</v>
      </c>
      <c r="F402" s="7" t="s">
        <v>192</v>
      </c>
      <c r="G402" s="7" t="s">
        <v>666</v>
      </c>
      <c r="H402" s="7" t="s">
        <v>679</v>
      </c>
      <c r="I402" s="13">
        <v>6808000</v>
      </c>
      <c r="J402" s="13">
        <v>6808000</v>
      </c>
      <c r="K402" s="13">
        <v>6808000</v>
      </c>
      <c r="L402" s="14">
        <f t="shared" si="18"/>
        <v>0</v>
      </c>
      <c r="M402" s="14">
        <f t="shared" si="19"/>
        <v>0</v>
      </c>
      <c r="N402" s="18">
        <f t="shared" si="20"/>
        <v>1</v>
      </c>
      <c r="O402" s="20"/>
    </row>
    <row r="403" spans="1:15">
      <c r="A403" s="7" t="s">
        <v>401</v>
      </c>
      <c r="B403" s="7" t="s">
        <v>660</v>
      </c>
      <c r="C403" s="7" t="s">
        <v>662</v>
      </c>
      <c r="D403" s="7" t="s">
        <v>678</v>
      </c>
      <c r="E403" s="7" t="s">
        <v>192</v>
      </c>
      <c r="F403" s="7" t="s">
        <v>192</v>
      </c>
      <c r="G403" s="7" t="s">
        <v>666</v>
      </c>
      <c r="H403" s="7" t="s">
        <v>680</v>
      </c>
      <c r="I403" s="13">
        <v>1192000</v>
      </c>
      <c r="J403" s="13">
        <v>1192000</v>
      </c>
      <c r="K403" s="13">
        <v>1192000</v>
      </c>
      <c r="L403" s="14">
        <f t="shared" si="18"/>
        <v>0</v>
      </c>
      <c r="M403" s="14">
        <f t="shared" si="19"/>
        <v>0</v>
      </c>
      <c r="N403" s="18">
        <f t="shared" si="20"/>
        <v>1</v>
      </c>
      <c r="O403" s="20"/>
    </row>
    <row r="404" spans="1:15">
      <c r="A404" s="7" t="s">
        <v>682</v>
      </c>
      <c r="B404" s="7" t="s">
        <v>684</v>
      </c>
      <c r="C404" s="7" t="s">
        <v>686</v>
      </c>
      <c r="D404" s="7" t="s">
        <v>686</v>
      </c>
      <c r="E404" s="7" t="s">
        <v>72</v>
      </c>
      <c r="F404" s="7" t="s">
        <v>74</v>
      </c>
      <c r="G404" s="7" t="s">
        <v>76</v>
      </c>
      <c r="H404" s="7" t="s">
        <v>687</v>
      </c>
      <c r="I404" s="13">
        <v>1000000</v>
      </c>
      <c r="J404" s="13">
        <v>580000</v>
      </c>
      <c r="K404" s="13">
        <v>580000</v>
      </c>
      <c r="L404" s="14">
        <f t="shared" si="18"/>
        <v>420000</v>
      </c>
      <c r="M404" s="14">
        <f t="shared" si="19"/>
        <v>0</v>
      </c>
      <c r="N404" s="18">
        <f t="shared" si="20"/>
        <v>0.57999999999999996</v>
      </c>
      <c r="O404" s="20"/>
    </row>
    <row r="405" spans="1:15">
      <c r="A405" s="7" t="s">
        <v>682</v>
      </c>
      <c r="B405" s="7" t="s">
        <v>684</v>
      </c>
      <c r="C405" s="7" t="s">
        <v>686</v>
      </c>
      <c r="D405" s="7" t="s">
        <v>686</v>
      </c>
      <c r="E405" s="7" t="s">
        <v>72</v>
      </c>
      <c r="F405" s="7" t="s">
        <v>74</v>
      </c>
      <c r="G405" s="7" t="s">
        <v>76</v>
      </c>
      <c r="H405" s="7" t="s">
        <v>688</v>
      </c>
      <c r="I405" s="13">
        <v>1500000</v>
      </c>
      <c r="J405" s="13">
        <v>586930</v>
      </c>
      <c r="K405" s="13">
        <v>586930</v>
      </c>
      <c r="L405" s="14">
        <f t="shared" si="18"/>
        <v>913070</v>
      </c>
      <c r="M405" s="14">
        <f t="shared" si="19"/>
        <v>0</v>
      </c>
      <c r="N405" s="18">
        <f t="shared" si="20"/>
        <v>0.39128666666666667</v>
      </c>
      <c r="O405" s="20"/>
    </row>
    <row r="406" spans="1:15">
      <c r="A406" s="7" t="s">
        <v>682</v>
      </c>
      <c r="B406" s="7" t="s">
        <v>684</v>
      </c>
      <c r="C406" s="7" t="s">
        <v>686</v>
      </c>
      <c r="D406" s="7" t="s">
        <v>686</v>
      </c>
      <c r="E406" s="7" t="s">
        <v>72</v>
      </c>
      <c r="F406" s="7" t="s">
        <v>74</v>
      </c>
      <c r="G406" s="7" t="s">
        <v>76</v>
      </c>
      <c r="H406" s="7" t="s">
        <v>689</v>
      </c>
      <c r="I406" s="13">
        <v>1188000</v>
      </c>
      <c r="J406" s="13">
        <v>1188000</v>
      </c>
      <c r="K406" s="13">
        <v>1188000</v>
      </c>
      <c r="L406" s="14">
        <f t="shared" si="18"/>
        <v>0</v>
      </c>
      <c r="M406" s="14">
        <f t="shared" si="19"/>
        <v>0</v>
      </c>
      <c r="N406" s="18">
        <f t="shared" si="20"/>
        <v>1</v>
      </c>
      <c r="O406" s="20"/>
    </row>
    <row r="407" spans="1:15">
      <c r="A407" s="7" t="s">
        <v>682</v>
      </c>
      <c r="B407" s="7" t="s">
        <v>684</v>
      </c>
      <c r="C407" s="7" t="s">
        <v>686</v>
      </c>
      <c r="D407" s="7" t="s">
        <v>686</v>
      </c>
      <c r="E407" s="7" t="s">
        <v>72</v>
      </c>
      <c r="F407" s="7" t="s">
        <v>74</v>
      </c>
      <c r="G407" s="7" t="s">
        <v>76</v>
      </c>
      <c r="H407" s="7" t="s">
        <v>690</v>
      </c>
      <c r="I407" s="13">
        <v>3000000</v>
      </c>
      <c r="J407" s="13">
        <v>1344000</v>
      </c>
      <c r="K407" s="13">
        <v>1344000</v>
      </c>
      <c r="L407" s="14">
        <f t="shared" si="18"/>
        <v>1656000</v>
      </c>
      <c r="M407" s="14">
        <f t="shared" si="19"/>
        <v>0</v>
      </c>
      <c r="N407" s="18">
        <f t="shared" si="20"/>
        <v>0.44800000000000001</v>
      </c>
      <c r="O407" s="20"/>
    </row>
    <row r="408" spans="1:15">
      <c r="A408" s="7" t="s">
        <v>682</v>
      </c>
      <c r="B408" s="7" t="s">
        <v>684</v>
      </c>
      <c r="C408" s="7" t="s">
        <v>686</v>
      </c>
      <c r="D408" s="7" t="s">
        <v>686</v>
      </c>
      <c r="E408" s="7" t="s">
        <v>72</v>
      </c>
      <c r="F408" s="7" t="s">
        <v>74</v>
      </c>
      <c r="G408" s="7" t="s">
        <v>76</v>
      </c>
      <c r="H408" s="7" t="s">
        <v>691</v>
      </c>
      <c r="I408" s="13">
        <v>1650000</v>
      </c>
      <c r="J408" s="13">
        <v>1619790</v>
      </c>
      <c r="K408" s="13">
        <v>1619790</v>
      </c>
      <c r="L408" s="14">
        <f t="shared" si="18"/>
        <v>30210</v>
      </c>
      <c r="M408" s="14">
        <f t="shared" si="19"/>
        <v>0</v>
      </c>
      <c r="N408" s="18">
        <f t="shared" si="20"/>
        <v>0.98169090909090906</v>
      </c>
      <c r="O408" s="20"/>
    </row>
    <row r="409" spans="1:15">
      <c r="A409" s="7" t="s">
        <v>682</v>
      </c>
      <c r="B409" s="7" t="s">
        <v>684</v>
      </c>
      <c r="C409" s="7" t="s">
        <v>686</v>
      </c>
      <c r="D409" s="7" t="s">
        <v>686</v>
      </c>
      <c r="E409" s="7" t="s">
        <v>72</v>
      </c>
      <c r="F409" s="7" t="s">
        <v>74</v>
      </c>
      <c r="G409" s="7" t="s">
        <v>76</v>
      </c>
      <c r="H409" s="7" t="s">
        <v>692</v>
      </c>
      <c r="I409" s="13">
        <v>1000000</v>
      </c>
      <c r="J409" s="13">
        <v>0</v>
      </c>
      <c r="K409" s="13">
        <v>0</v>
      </c>
      <c r="L409" s="14">
        <f t="shared" si="18"/>
        <v>1000000</v>
      </c>
      <c r="M409" s="14">
        <f t="shared" si="19"/>
        <v>0</v>
      </c>
      <c r="N409" s="18">
        <f t="shared" si="20"/>
        <v>0</v>
      </c>
      <c r="O409" s="20"/>
    </row>
    <row r="410" spans="1:15">
      <c r="A410" s="7" t="s">
        <v>682</v>
      </c>
      <c r="B410" s="7" t="s">
        <v>684</v>
      </c>
      <c r="C410" s="7" t="s">
        <v>686</v>
      </c>
      <c r="D410" s="7" t="s">
        <v>686</v>
      </c>
      <c r="E410" s="7" t="s">
        <v>72</v>
      </c>
      <c r="F410" s="7" t="s">
        <v>74</v>
      </c>
      <c r="G410" s="7" t="s">
        <v>76</v>
      </c>
      <c r="H410" s="7" t="s">
        <v>693</v>
      </c>
      <c r="I410" s="13">
        <v>300000</v>
      </c>
      <c r="J410" s="13">
        <v>120000</v>
      </c>
      <c r="K410" s="13">
        <v>120000</v>
      </c>
      <c r="L410" s="14">
        <f t="shared" si="18"/>
        <v>180000</v>
      </c>
      <c r="M410" s="14">
        <f t="shared" si="19"/>
        <v>0</v>
      </c>
      <c r="N410" s="18">
        <f t="shared" si="20"/>
        <v>0.4</v>
      </c>
      <c r="O410" s="20"/>
    </row>
    <row r="411" spans="1:15">
      <c r="A411" s="7" t="s">
        <v>682</v>
      </c>
      <c r="B411" s="7" t="s">
        <v>684</v>
      </c>
      <c r="C411" s="7" t="s">
        <v>686</v>
      </c>
      <c r="D411" s="7" t="s">
        <v>686</v>
      </c>
      <c r="E411" s="7" t="s">
        <v>72</v>
      </c>
      <c r="F411" s="7" t="s">
        <v>74</v>
      </c>
      <c r="G411" s="7" t="s">
        <v>76</v>
      </c>
      <c r="H411" s="7" t="s">
        <v>694</v>
      </c>
      <c r="I411" s="13">
        <v>1000000</v>
      </c>
      <c r="J411" s="13">
        <v>0</v>
      </c>
      <c r="K411" s="13">
        <v>0</v>
      </c>
      <c r="L411" s="14">
        <f t="shared" si="18"/>
        <v>1000000</v>
      </c>
      <c r="M411" s="14">
        <f t="shared" si="19"/>
        <v>0</v>
      </c>
      <c r="N411" s="18">
        <f t="shared" si="20"/>
        <v>0</v>
      </c>
      <c r="O411" s="20"/>
    </row>
    <row r="412" spans="1:15">
      <c r="A412" s="7" t="s">
        <v>682</v>
      </c>
      <c r="B412" s="7" t="s">
        <v>684</v>
      </c>
      <c r="C412" s="7" t="s">
        <v>686</v>
      </c>
      <c r="D412" s="7" t="s">
        <v>686</v>
      </c>
      <c r="E412" s="7" t="s">
        <v>72</v>
      </c>
      <c r="F412" s="7" t="s">
        <v>74</v>
      </c>
      <c r="G412" s="7" t="s">
        <v>76</v>
      </c>
      <c r="H412" s="7" t="s">
        <v>695</v>
      </c>
      <c r="I412" s="13">
        <v>500000</v>
      </c>
      <c r="J412" s="13">
        <v>0</v>
      </c>
      <c r="K412" s="13">
        <v>0</v>
      </c>
      <c r="L412" s="14">
        <f t="shared" si="18"/>
        <v>500000</v>
      </c>
      <c r="M412" s="14">
        <f t="shared" si="19"/>
        <v>0</v>
      </c>
      <c r="N412" s="18">
        <f t="shared" si="20"/>
        <v>0</v>
      </c>
      <c r="O412" s="20"/>
    </row>
    <row r="413" spans="1:15">
      <c r="A413" s="7" t="s">
        <v>682</v>
      </c>
      <c r="B413" s="7" t="s">
        <v>684</v>
      </c>
      <c r="C413" s="7" t="s">
        <v>686</v>
      </c>
      <c r="D413" s="7" t="s">
        <v>686</v>
      </c>
      <c r="E413" s="7" t="s">
        <v>72</v>
      </c>
      <c r="F413" s="7" t="s">
        <v>74</v>
      </c>
      <c r="G413" s="7" t="s">
        <v>76</v>
      </c>
      <c r="H413" s="7" t="s">
        <v>696</v>
      </c>
      <c r="I413" s="13">
        <v>700000</v>
      </c>
      <c r="J413" s="13">
        <v>500000</v>
      </c>
      <c r="K413" s="13">
        <v>500000</v>
      </c>
      <c r="L413" s="14">
        <f t="shared" si="18"/>
        <v>200000</v>
      </c>
      <c r="M413" s="14">
        <f t="shared" si="19"/>
        <v>0</v>
      </c>
      <c r="N413" s="18">
        <f t="shared" si="20"/>
        <v>0.7142857142857143</v>
      </c>
      <c r="O413" s="20"/>
    </row>
    <row r="414" spans="1:15">
      <c r="A414" s="7" t="s">
        <v>682</v>
      </c>
      <c r="B414" s="7" t="s">
        <v>684</v>
      </c>
      <c r="C414" s="7" t="s">
        <v>686</v>
      </c>
      <c r="D414" s="7" t="s">
        <v>686</v>
      </c>
      <c r="E414" s="7" t="s">
        <v>72</v>
      </c>
      <c r="F414" s="7" t="s">
        <v>74</v>
      </c>
      <c r="G414" s="7" t="s">
        <v>79</v>
      </c>
      <c r="H414" s="7" t="s">
        <v>697</v>
      </c>
      <c r="I414" s="13">
        <v>2000000</v>
      </c>
      <c r="J414" s="13">
        <v>480000</v>
      </c>
      <c r="K414" s="13">
        <v>480000</v>
      </c>
      <c r="L414" s="14">
        <f t="shared" si="18"/>
        <v>1520000</v>
      </c>
      <c r="M414" s="14">
        <f t="shared" si="19"/>
        <v>0</v>
      </c>
      <c r="N414" s="18">
        <f t="shared" si="20"/>
        <v>0.24</v>
      </c>
      <c r="O414" s="20"/>
    </row>
    <row r="415" spans="1:15">
      <c r="A415" s="7" t="s">
        <v>682</v>
      </c>
      <c r="B415" s="7" t="s">
        <v>684</v>
      </c>
      <c r="C415" s="7" t="s">
        <v>686</v>
      </c>
      <c r="D415" s="7" t="s">
        <v>686</v>
      </c>
      <c r="E415" s="7" t="s">
        <v>72</v>
      </c>
      <c r="F415" s="7" t="s">
        <v>74</v>
      </c>
      <c r="G415" s="7" t="s">
        <v>79</v>
      </c>
      <c r="H415" s="7" t="s">
        <v>698</v>
      </c>
      <c r="I415" s="13">
        <v>4350000</v>
      </c>
      <c r="J415" s="13">
        <v>2655000</v>
      </c>
      <c r="K415" s="13">
        <v>2655000</v>
      </c>
      <c r="L415" s="14">
        <f t="shared" si="18"/>
        <v>1695000</v>
      </c>
      <c r="M415" s="14">
        <f t="shared" si="19"/>
        <v>0</v>
      </c>
      <c r="N415" s="18">
        <f t="shared" si="20"/>
        <v>0.6103448275862069</v>
      </c>
      <c r="O415" s="20"/>
    </row>
    <row r="416" spans="1:15">
      <c r="A416" s="7" t="s">
        <v>682</v>
      </c>
      <c r="B416" s="7" t="s">
        <v>684</v>
      </c>
      <c r="C416" s="7" t="s">
        <v>686</v>
      </c>
      <c r="D416" s="7" t="s">
        <v>686</v>
      </c>
      <c r="E416" s="7" t="s">
        <v>72</v>
      </c>
      <c r="F416" s="7" t="s">
        <v>95</v>
      </c>
      <c r="G416" s="7" t="s">
        <v>95</v>
      </c>
      <c r="H416" s="7" t="s">
        <v>699</v>
      </c>
      <c r="I416" s="13">
        <v>1500000</v>
      </c>
      <c r="J416" s="13">
        <v>520200</v>
      </c>
      <c r="K416" s="13">
        <v>520200</v>
      </c>
      <c r="L416" s="14">
        <f t="shared" si="18"/>
        <v>979800</v>
      </c>
      <c r="M416" s="14">
        <f t="shared" si="19"/>
        <v>0</v>
      </c>
      <c r="N416" s="18">
        <f t="shared" si="20"/>
        <v>0.3468</v>
      </c>
      <c r="O416" s="20"/>
    </row>
    <row r="417" spans="1:15">
      <c r="A417" s="7" t="s">
        <v>682</v>
      </c>
      <c r="B417" s="7" t="s">
        <v>684</v>
      </c>
      <c r="C417" s="7" t="s">
        <v>686</v>
      </c>
      <c r="D417" s="7" t="s">
        <v>686</v>
      </c>
      <c r="E417" s="7" t="s">
        <v>87</v>
      </c>
      <c r="F417" s="7" t="s">
        <v>89</v>
      </c>
      <c r="G417" s="7" t="s">
        <v>89</v>
      </c>
      <c r="H417" s="7" t="s">
        <v>700</v>
      </c>
      <c r="I417" s="13">
        <v>1280000</v>
      </c>
      <c r="J417" s="13">
        <v>484000</v>
      </c>
      <c r="K417" s="13">
        <v>484000</v>
      </c>
      <c r="L417" s="14">
        <f t="shared" si="18"/>
        <v>796000</v>
      </c>
      <c r="M417" s="14">
        <f t="shared" si="19"/>
        <v>0</v>
      </c>
      <c r="N417" s="18">
        <f t="shared" si="20"/>
        <v>0.37812499999999999</v>
      </c>
      <c r="O417" s="20"/>
    </row>
    <row r="418" spans="1:15">
      <c r="A418" s="7" t="s">
        <v>682</v>
      </c>
      <c r="B418" s="7" t="s">
        <v>684</v>
      </c>
      <c r="C418" s="7" t="s">
        <v>686</v>
      </c>
      <c r="D418" s="7" t="s">
        <v>686</v>
      </c>
      <c r="E418" s="7" t="s">
        <v>87</v>
      </c>
      <c r="F418" s="7" t="s">
        <v>89</v>
      </c>
      <c r="G418" s="7" t="s">
        <v>89</v>
      </c>
      <c r="H418" s="7" t="s">
        <v>701</v>
      </c>
      <c r="I418" s="13">
        <v>360000</v>
      </c>
      <c r="J418" s="13">
        <v>0</v>
      </c>
      <c r="K418" s="13">
        <v>0</v>
      </c>
      <c r="L418" s="14">
        <f t="shared" si="18"/>
        <v>360000</v>
      </c>
      <c r="M418" s="14">
        <f t="shared" si="19"/>
        <v>0</v>
      </c>
      <c r="N418" s="18">
        <f t="shared" si="20"/>
        <v>0</v>
      </c>
      <c r="O418" s="20"/>
    </row>
    <row r="419" spans="1:15">
      <c r="A419" s="7" t="s">
        <v>682</v>
      </c>
      <c r="B419" s="7" t="s">
        <v>684</v>
      </c>
      <c r="C419" s="7" t="s">
        <v>686</v>
      </c>
      <c r="D419" s="7" t="s">
        <v>686</v>
      </c>
      <c r="E419" s="7" t="s">
        <v>87</v>
      </c>
      <c r="F419" s="7" t="s">
        <v>89</v>
      </c>
      <c r="G419" s="7" t="s">
        <v>89</v>
      </c>
      <c r="H419" s="7" t="s">
        <v>702</v>
      </c>
      <c r="I419" s="13">
        <v>1200000</v>
      </c>
      <c r="J419" s="13">
        <v>221780</v>
      </c>
      <c r="K419" s="13">
        <v>87290</v>
      </c>
      <c r="L419" s="14">
        <f t="shared" si="18"/>
        <v>978220</v>
      </c>
      <c r="M419" s="14">
        <f t="shared" si="19"/>
        <v>134490</v>
      </c>
      <c r="N419" s="18">
        <f t="shared" si="20"/>
        <v>0.18481666666666666</v>
      </c>
      <c r="O419" s="20"/>
    </row>
    <row r="420" spans="1:15">
      <c r="A420" s="7" t="s">
        <v>682</v>
      </c>
      <c r="B420" s="7" t="s">
        <v>684</v>
      </c>
      <c r="C420" s="7" t="s">
        <v>686</v>
      </c>
      <c r="D420" s="7" t="s">
        <v>686</v>
      </c>
      <c r="E420" s="7" t="s">
        <v>87</v>
      </c>
      <c r="F420" s="7" t="s">
        <v>89</v>
      </c>
      <c r="G420" s="7" t="s">
        <v>89</v>
      </c>
      <c r="H420" s="7" t="s">
        <v>703</v>
      </c>
      <c r="I420" s="13">
        <v>600000</v>
      </c>
      <c r="J420" s="13">
        <v>280000</v>
      </c>
      <c r="K420" s="13">
        <v>280000</v>
      </c>
      <c r="L420" s="14">
        <f t="shared" si="18"/>
        <v>320000</v>
      </c>
      <c r="M420" s="14">
        <f t="shared" si="19"/>
        <v>0</v>
      </c>
      <c r="N420" s="18">
        <f t="shared" si="20"/>
        <v>0.46666666666666667</v>
      </c>
      <c r="O420" s="20"/>
    </row>
    <row r="421" spans="1:15">
      <c r="A421" s="7" t="s">
        <v>682</v>
      </c>
      <c r="B421" s="7" t="s">
        <v>684</v>
      </c>
      <c r="C421" s="7" t="s">
        <v>686</v>
      </c>
      <c r="D421" s="7" t="s">
        <v>686</v>
      </c>
      <c r="E421" s="7" t="s">
        <v>87</v>
      </c>
      <c r="F421" s="7" t="s">
        <v>89</v>
      </c>
      <c r="G421" s="7" t="s">
        <v>89</v>
      </c>
      <c r="H421" s="7" t="s">
        <v>704</v>
      </c>
      <c r="I421" s="13">
        <v>4000000</v>
      </c>
      <c r="J421" s="13">
        <v>1504140</v>
      </c>
      <c r="K421" s="13">
        <v>1504140</v>
      </c>
      <c r="L421" s="14">
        <f t="shared" si="18"/>
        <v>2495860</v>
      </c>
      <c r="M421" s="14">
        <f t="shared" si="19"/>
        <v>0</v>
      </c>
      <c r="N421" s="18">
        <f t="shared" si="20"/>
        <v>0.37603500000000001</v>
      </c>
      <c r="O421" s="20"/>
    </row>
    <row r="422" spans="1:15">
      <c r="A422" s="7" t="s">
        <v>682</v>
      </c>
      <c r="B422" s="7" t="s">
        <v>684</v>
      </c>
      <c r="C422" s="7" t="s">
        <v>686</v>
      </c>
      <c r="D422" s="7" t="s">
        <v>705</v>
      </c>
      <c r="E422" s="7" t="s">
        <v>72</v>
      </c>
      <c r="F422" s="7" t="s">
        <v>95</v>
      </c>
      <c r="G422" s="7" t="s">
        <v>95</v>
      </c>
      <c r="H422" s="7" t="s">
        <v>706</v>
      </c>
      <c r="I422" s="13">
        <v>2000000</v>
      </c>
      <c r="J422" s="13">
        <v>0</v>
      </c>
      <c r="K422" s="13">
        <v>0</v>
      </c>
      <c r="L422" s="14">
        <f t="shared" si="18"/>
        <v>2000000</v>
      </c>
      <c r="M422" s="14">
        <f t="shared" si="19"/>
        <v>0</v>
      </c>
      <c r="N422" s="18">
        <f t="shared" si="20"/>
        <v>0</v>
      </c>
      <c r="O422" s="20"/>
    </row>
    <row r="423" spans="1:15">
      <c r="A423" s="7" t="s">
        <v>682</v>
      </c>
      <c r="B423" s="7" t="s">
        <v>684</v>
      </c>
      <c r="C423" s="7" t="s">
        <v>686</v>
      </c>
      <c r="D423" s="7" t="s">
        <v>705</v>
      </c>
      <c r="E423" s="7" t="s">
        <v>72</v>
      </c>
      <c r="F423" s="7" t="s">
        <v>95</v>
      </c>
      <c r="G423" s="7" t="s">
        <v>95</v>
      </c>
      <c r="H423" s="7" t="s">
        <v>707</v>
      </c>
      <c r="I423" s="13">
        <v>2900000</v>
      </c>
      <c r="J423" s="13">
        <v>0</v>
      </c>
      <c r="K423" s="13">
        <v>0</v>
      </c>
      <c r="L423" s="14">
        <f t="shared" si="18"/>
        <v>2900000</v>
      </c>
      <c r="M423" s="14">
        <f t="shared" si="19"/>
        <v>0</v>
      </c>
      <c r="N423" s="18">
        <f t="shared" si="20"/>
        <v>0</v>
      </c>
      <c r="O423" s="20"/>
    </row>
    <row r="424" spans="1:15">
      <c r="A424" s="7" t="s">
        <v>682</v>
      </c>
      <c r="B424" s="7" t="s">
        <v>684</v>
      </c>
      <c r="C424" s="7" t="s">
        <v>686</v>
      </c>
      <c r="D424" s="7" t="s">
        <v>708</v>
      </c>
      <c r="E424" s="7" t="s">
        <v>72</v>
      </c>
      <c r="F424" s="7" t="s">
        <v>74</v>
      </c>
      <c r="G424" s="7" t="s">
        <v>79</v>
      </c>
      <c r="H424" s="7" t="s">
        <v>709</v>
      </c>
      <c r="I424" s="13">
        <v>3780000</v>
      </c>
      <c r="J424" s="13">
        <v>840000</v>
      </c>
      <c r="K424" s="13">
        <v>840000</v>
      </c>
      <c r="L424" s="14">
        <f t="shared" si="18"/>
        <v>2940000</v>
      </c>
      <c r="M424" s="14">
        <f t="shared" si="19"/>
        <v>0</v>
      </c>
      <c r="N424" s="18">
        <f t="shared" si="20"/>
        <v>0.22222222222222221</v>
      </c>
      <c r="O424" s="20"/>
    </row>
    <row r="425" spans="1:15">
      <c r="A425" s="7" t="s">
        <v>682</v>
      </c>
      <c r="B425" s="7" t="s">
        <v>684</v>
      </c>
      <c r="C425" s="7" t="s">
        <v>686</v>
      </c>
      <c r="D425" s="7" t="s">
        <v>708</v>
      </c>
      <c r="E425" s="7" t="s">
        <v>72</v>
      </c>
      <c r="F425" s="7" t="s">
        <v>95</v>
      </c>
      <c r="G425" s="7" t="s">
        <v>95</v>
      </c>
      <c r="H425" s="7" t="s">
        <v>710</v>
      </c>
      <c r="I425" s="13">
        <v>900000</v>
      </c>
      <c r="J425" s="13">
        <v>900000</v>
      </c>
      <c r="K425" s="13">
        <v>900000</v>
      </c>
      <c r="L425" s="14">
        <f t="shared" si="18"/>
        <v>0</v>
      </c>
      <c r="M425" s="14">
        <f t="shared" si="19"/>
        <v>0</v>
      </c>
      <c r="N425" s="18">
        <f t="shared" si="20"/>
        <v>1</v>
      </c>
      <c r="O425" s="20"/>
    </row>
    <row r="426" spans="1:15">
      <c r="A426" s="7" t="s">
        <v>682</v>
      </c>
      <c r="B426" s="7" t="s">
        <v>684</v>
      </c>
      <c r="C426" s="7" t="s">
        <v>686</v>
      </c>
      <c r="D426" s="7" t="s">
        <v>711</v>
      </c>
      <c r="E426" s="7" t="s">
        <v>72</v>
      </c>
      <c r="F426" s="7" t="s">
        <v>74</v>
      </c>
      <c r="G426" s="7" t="s">
        <v>79</v>
      </c>
      <c r="H426" s="7" t="s">
        <v>712</v>
      </c>
      <c r="I426" s="13">
        <v>4320000</v>
      </c>
      <c r="J426" s="13">
        <v>0</v>
      </c>
      <c r="K426" s="13">
        <v>0</v>
      </c>
      <c r="L426" s="14">
        <f t="shared" si="18"/>
        <v>4320000</v>
      </c>
      <c r="M426" s="14">
        <f t="shared" si="19"/>
        <v>0</v>
      </c>
      <c r="N426" s="18">
        <f t="shared" si="20"/>
        <v>0</v>
      </c>
      <c r="O426" s="20"/>
    </row>
    <row r="427" spans="1:15">
      <c r="A427" s="7" t="s">
        <v>682</v>
      </c>
      <c r="B427" s="7" t="s">
        <v>714</v>
      </c>
      <c r="C427" s="7" t="s">
        <v>716</v>
      </c>
      <c r="D427" s="7" t="s">
        <v>717</v>
      </c>
      <c r="E427" s="7" t="s">
        <v>72</v>
      </c>
      <c r="F427" s="7" t="s">
        <v>74</v>
      </c>
      <c r="G427" s="7" t="s">
        <v>76</v>
      </c>
      <c r="H427" s="7" t="s">
        <v>718</v>
      </c>
      <c r="I427" s="13">
        <v>3600000</v>
      </c>
      <c r="J427" s="13">
        <v>0</v>
      </c>
      <c r="K427" s="13">
        <v>0</v>
      </c>
      <c r="L427" s="14">
        <f t="shared" si="18"/>
        <v>3600000</v>
      </c>
      <c r="M427" s="14">
        <f t="shared" si="19"/>
        <v>0</v>
      </c>
      <c r="N427" s="18">
        <f t="shared" si="20"/>
        <v>0</v>
      </c>
      <c r="O427" s="20"/>
    </row>
    <row r="428" spans="1:15">
      <c r="A428" s="7" t="s">
        <v>682</v>
      </c>
      <c r="B428" s="7" t="s">
        <v>714</v>
      </c>
      <c r="C428" s="7" t="s">
        <v>716</v>
      </c>
      <c r="D428" s="7" t="s">
        <v>717</v>
      </c>
      <c r="E428" s="7" t="s">
        <v>72</v>
      </c>
      <c r="F428" s="7" t="s">
        <v>74</v>
      </c>
      <c r="G428" s="7" t="s">
        <v>79</v>
      </c>
      <c r="H428" s="7" t="s">
        <v>719</v>
      </c>
      <c r="I428" s="13">
        <v>10960000</v>
      </c>
      <c r="J428" s="13">
        <v>5166000</v>
      </c>
      <c r="K428" s="13">
        <v>5166000</v>
      </c>
      <c r="L428" s="14">
        <f t="shared" si="18"/>
        <v>5794000</v>
      </c>
      <c r="M428" s="14">
        <f t="shared" si="19"/>
        <v>0</v>
      </c>
      <c r="N428" s="18">
        <f t="shared" si="20"/>
        <v>0.47135036496350363</v>
      </c>
      <c r="O428" s="20"/>
    </row>
    <row r="429" spans="1:15">
      <c r="A429" s="7" t="s">
        <v>682</v>
      </c>
      <c r="B429" s="7" t="s">
        <v>714</v>
      </c>
      <c r="C429" s="7" t="s">
        <v>716</v>
      </c>
      <c r="D429" s="7" t="s">
        <v>717</v>
      </c>
      <c r="E429" s="7" t="s">
        <v>72</v>
      </c>
      <c r="F429" s="7" t="s">
        <v>74</v>
      </c>
      <c r="G429" s="7" t="s">
        <v>79</v>
      </c>
      <c r="H429" s="7" t="s">
        <v>720</v>
      </c>
      <c r="I429" s="13">
        <v>12155000</v>
      </c>
      <c r="J429" s="13">
        <v>5397000</v>
      </c>
      <c r="K429" s="13">
        <v>5397000</v>
      </c>
      <c r="L429" s="14">
        <f t="shared" si="18"/>
        <v>6758000</v>
      </c>
      <c r="M429" s="14">
        <f t="shared" si="19"/>
        <v>0</v>
      </c>
      <c r="N429" s="18">
        <f t="shared" si="20"/>
        <v>0.4440148087206911</v>
      </c>
      <c r="O429" s="20"/>
    </row>
    <row r="430" spans="1:15">
      <c r="A430" s="7" t="s">
        <v>682</v>
      </c>
      <c r="B430" s="7" t="s">
        <v>714</v>
      </c>
      <c r="C430" s="7" t="s">
        <v>716</v>
      </c>
      <c r="D430" s="7" t="s">
        <v>717</v>
      </c>
      <c r="E430" s="7" t="s">
        <v>72</v>
      </c>
      <c r="F430" s="7" t="s">
        <v>95</v>
      </c>
      <c r="G430" s="7" t="s">
        <v>95</v>
      </c>
      <c r="H430" s="7" t="s">
        <v>721</v>
      </c>
      <c r="I430" s="13">
        <v>1500000</v>
      </c>
      <c r="J430" s="13">
        <v>417870</v>
      </c>
      <c r="K430" s="13">
        <v>417870</v>
      </c>
      <c r="L430" s="14">
        <f t="shared" si="18"/>
        <v>1082130</v>
      </c>
      <c r="M430" s="14">
        <f t="shared" si="19"/>
        <v>0</v>
      </c>
      <c r="N430" s="18">
        <f t="shared" si="20"/>
        <v>0.27857999999999999</v>
      </c>
      <c r="O430" s="20"/>
    </row>
    <row r="431" spans="1:15">
      <c r="A431" s="7" t="s">
        <v>682</v>
      </c>
      <c r="B431" s="7" t="s">
        <v>714</v>
      </c>
      <c r="C431" s="7" t="s">
        <v>716</v>
      </c>
      <c r="D431" s="7" t="s">
        <v>717</v>
      </c>
      <c r="E431" s="7" t="s">
        <v>72</v>
      </c>
      <c r="F431" s="7" t="s">
        <v>95</v>
      </c>
      <c r="G431" s="7" t="s">
        <v>95</v>
      </c>
      <c r="H431" s="7" t="s">
        <v>722</v>
      </c>
      <c r="I431" s="13">
        <v>4000000</v>
      </c>
      <c r="J431" s="13">
        <v>1612820</v>
      </c>
      <c r="K431" s="13">
        <v>1612820</v>
      </c>
      <c r="L431" s="14">
        <f t="shared" si="18"/>
        <v>2387180</v>
      </c>
      <c r="M431" s="14">
        <f t="shared" si="19"/>
        <v>0</v>
      </c>
      <c r="N431" s="18">
        <f t="shared" si="20"/>
        <v>0.40320499999999998</v>
      </c>
      <c r="O431" s="20"/>
    </row>
    <row r="432" spans="1:15">
      <c r="A432" s="7" t="s">
        <v>682</v>
      </c>
      <c r="B432" s="7" t="s">
        <v>714</v>
      </c>
      <c r="C432" s="7" t="s">
        <v>716</v>
      </c>
      <c r="D432" s="7" t="s">
        <v>717</v>
      </c>
      <c r="E432" s="7" t="s">
        <v>72</v>
      </c>
      <c r="F432" s="7" t="s">
        <v>95</v>
      </c>
      <c r="G432" s="7" t="s">
        <v>95</v>
      </c>
      <c r="H432" s="7" t="s">
        <v>723</v>
      </c>
      <c r="I432" s="13">
        <v>0</v>
      </c>
      <c r="J432" s="13">
        <v>0</v>
      </c>
      <c r="K432" s="13">
        <v>0</v>
      </c>
      <c r="L432" s="14">
        <f t="shared" si="18"/>
        <v>0</v>
      </c>
      <c r="M432" s="14">
        <f t="shared" si="19"/>
        <v>0</v>
      </c>
      <c r="N432" s="18">
        <f t="shared" si="20"/>
        <v>0</v>
      </c>
      <c r="O432" s="20"/>
    </row>
    <row r="433" spans="1:15">
      <c r="A433" s="7" t="s">
        <v>682</v>
      </c>
      <c r="B433" s="7" t="s">
        <v>714</v>
      </c>
      <c r="C433" s="7" t="s">
        <v>716</v>
      </c>
      <c r="D433" s="7" t="s">
        <v>717</v>
      </c>
      <c r="E433" s="7" t="s">
        <v>72</v>
      </c>
      <c r="F433" s="7" t="s">
        <v>95</v>
      </c>
      <c r="G433" s="7" t="s">
        <v>95</v>
      </c>
      <c r="H433" s="7" t="s">
        <v>724</v>
      </c>
      <c r="I433" s="13">
        <v>3300000</v>
      </c>
      <c r="J433" s="13">
        <v>767000</v>
      </c>
      <c r="K433" s="13">
        <v>767000</v>
      </c>
      <c r="L433" s="14">
        <f t="shared" si="18"/>
        <v>2533000</v>
      </c>
      <c r="M433" s="14">
        <f t="shared" si="19"/>
        <v>0</v>
      </c>
      <c r="N433" s="18">
        <f t="shared" si="20"/>
        <v>0.23242424242424242</v>
      </c>
      <c r="O433" s="20"/>
    </row>
    <row r="434" spans="1:15">
      <c r="A434" s="7" t="s">
        <v>682</v>
      </c>
      <c r="B434" s="7" t="s">
        <v>714</v>
      </c>
      <c r="C434" s="7" t="s">
        <v>716</v>
      </c>
      <c r="D434" s="7" t="s">
        <v>725</v>
      </c>
      <c r="E434" s="7" t="s">
        <v>72</v>
      </c>
      <c r="F434" s="7" t="s">
        <v>74</v>
      </c>
      <c r="G434" s="7" t="s">
        <v>76</v>
      </c>
      <c r="H434" s="7" t="s">
        <v>726</v>
      </c>
      <c r="I434" s="13">
        <v>1000000</v>
      </c>
      <c r="J434" s="13">
        <v>672400</v>
      </c>
      <c r="K434" s="13">
        <v>672400</v>
      </c>
      <c r="L434" s="14">
        <f t="shared" si="18"/>
        <v>327600</v>
      </c>
      <c r="M434" s="14">
        <f t="shared" si="19"/>
        <v>0</v>
      </c>
      <c r="N434" s="18">
        <f t="shared" si="20"/>
        <v>0.6724</v>
      </c>
      <c r="O434" s="20"/>
    </row>
    <row r="435" spans="1:15">
      <c r="A435" s="7" t="s">
        <v>682</v>
      </c>
      <c r="B435" s="7" t="s">
        <v>714</v>
      </c>
      <c r="C435" s="7" t="s">
        <v>716</v>
      </c>
      <c r="D435" s="7" t="s">
        <v>725</v>
      </c>
      <c r="E435" s="7" t="s">
        <v>72</v>
      </c>
      <c r="F435" s="7" t="s">
        <v>74</v>
      </c>
      <c r="G435" s="7" t="s">
        <v>76</v>
      </c>
      <c r="H435" s="7" t="s">
        <v>727</v>
      </c>
      <c r="I435" s="13">
        <v>4025000</v>
      </c>
      <c r="J435" s="13">
        <v>2200000</v>
      </c>
      <c r="K435" s="13">
        <v>2200000</v>
      </c>
      <c r="L435" s="14">
        <f t="shared" si="18"/>
        <v>1825000</v>
      </c>
      <c r="M435" s="14">
        <f t="shared" si="19"/>
        <v>0</v>
      </c>
      <c r="N435" s="18">
        <f t="shared" si="20"/>
        <v>0.54658385093167705</v>
      </c>
      <c r="O435" s="20"/>
    </row>
    <row r="436" spans="1:15">
      <c r="A436" s="7" t="s">
        <v>682</v>
      </c>
      <c r="B436" s="7" t="s">
        <v>714</v>
      </c>
      <c r="C436" s="7" t="s">
        <v>716</v>
      </c>
      <c r="D436" s="7" t="s">
        <v>725</v>
      </c>
      <c r="E436" s="7" t="s">
        <v>72</v>
      </c>
      <c r="F436" s="7" t="s">
        <v>95</v>
      </c>
      <c r="G436" s="7" t="s">
        <v>95</v>
      </c>
      <c r="H436" s="7" t="s">
        <v>728</v>
      </c>
      <c r="I436" s="13">
        <v>500000</v>
      </c>
      <c r="J436" s="13">
        <v>496640</v>
      </c>
      <c r="K436" s="13">
        <v>496640</v>
      </c>
      <c r="L436" s="14">
        <f t="shared" si="18"/>
        <v>3360</v>
      </c>
      <c r="M436" s="14">
        <f t="shared" si="19"/>
        <v>0</v>
      </c>
      <c r="N436" s="18">
        <f t="shared" si="20"/>
        <v>0.99328000000000005</v>
      </c>
      <c r="O436" s="20"/>
    </row>
    <row r="437" spans="1:15">
      <c r="A437" s="7" t="s">
        <v>682</v>
      </c>
      <c r="B437" s="7" t="s">
        <v>714</v>
      </c>
      <c r="C437" s="7" t="s">
        <v>716</v>
      </c>
      <c r="D437" s="7" t="s">
        <v>729</v>
      </c>
      <c r="E437" s="7" t="s">
        <v>72</v>
      </c>
      <c r="F437" s="7" t="s">
        <v>74</v>
      </c>
      <c r="G437" s="7" t="s">
        <v>79</v>
      </c>
      <c r="H437" s="7" t="s">
        <v>730</v>
      </c>
      <c r="I437" s="13">
        <v>520000</v>
      </c>
      <c r="J437" s="13">
        <v>0</v>
      </c>
      <c r="K437" s="13">
        <v>0</v>
      </c>
      <c r="L437" s="14">
        <f t="shared" si="18"/>
        <v>520000</v>
      </c>
      <c r="M437" s="14">
        <f t="shared" si="19"/>
        <v>0</v>
      </c>
      <c r="N437" s="18">
        <f t="shared" si="20"/>
        <v>0</v>
      </c>
      <c r="O437" s="20"/>
    </row>
    <row r="438" spans="1:15">
      <c r="A438" s="7" t="s">
        <v>682</v>
      </c>
      <c r="B438" s="7" t="s">
        <v>714</v>
      </c>
      <c r="C438" s="7" t="s">
        <v>716</v>
      </c>
      <c r="D438" s="7" t="s">
        <v>729</v>
      </c>
      <c r="E438" s="7" t="s">
        <v>72</v>
      </c>
      <c r="F438" s="7" t="s">
        <v>95</v>
      </c>
      <c r="G438" s="7" t="s">
        <v>95</v>
      </c>
      <c r="H438" s="7" t="s">
        <v>731</v>
      </c>
      <c r="I438" s="13">
        <v>1000000</v>
      </c>
      <c r="J438" s="13">
        <v>500000</v>
      </c>
      <c r="K438" s="13">
        <v>500000</v>
      </c>
      <c r="L438" s="14">
        <f t="shared" si="18"/>
        <v>500000</v>
      </c>
      <c r="M438" s="14">
        <f t="shared" si="19"/>
        <v>0</v>
      </c>
      <c r="N438" s="18">
        <f t="shared" si="20"/>
        <v>0.5</v>
      </c>
      <c r="O438" s="20"/>
    </row>
    <row r="439" spans="1:15">
      <c r="A439" s="7" t="s">
        <v>682</v>
      </c>
      <c r="B439" s="7" t="s">
        <v>714</v>
      </c>
      <c r="C439" s="7" t="s">
        <v>716</v>
      </c>
      <c r="D439" s="7" t="s">
        <v>729</v>
      </c>
      <c r="E439" s="7" t="s">
        <v>72</v>
      </c>
      <c r="F439" s="7" t="s">
        <v>95</v>
      </c>
      <c r="G439" s="7" t="s">
        <v>95</v>
      </c>
      <c r="H439" s="7" t="s">
        <v>732</v>
      </c>
      <c r="I439" s="13">
        <v>4000000</v>
      </c>
      <c r="J439" s="13">
        <v>2787500</v>
      </c>
      <c r="K439" s="13">
        <v>2787500</v>
      </c>
      <c r="L439" s="14">
        <f t="shared" si="18"/>
        <v>1212500</v>
      </c>
      <c r="M439" s="14">
        <f t="shared" si="19"/>
        <v>0</v>
      </c>
      <c r="N439" s="18">
        <f t="shared" si="20"/>
        <v>0.69687500000000002</v>
      </c>
      <c r="O439" s="20"/>
    </row>
    <row r="440" spans="1:15">
      <c r="A440" s="7" t="s">
        <v>682</v>
      </c>
      <c r="B440" s="7" t="s">
        <v>714</v>
      </c>
      <c r="C440" s="7" t="s">
        <v>716</v>
      </c>
      <c r="D440" s="7" t="s">
        <v>733</v>
      </c>
      <c r="E440" s="7" t="s">
        <v>87</v>
      </c>
      <c r="F440" s="7" t="s">
        <v>89</v>
      </c>
      <c r="G440" s="7" t="s">
        <v>89</v>
      </c>
      <c r="H440" s="7" t="s">
        <v>734</v>
      </c>
      <c r="I440" s="13">
        <v>210000</v>
      </c>
      <c r="J440" s="13">
        <v>30000</v>
      </c>
      <c r="K440" s="13">
        <v>30000</v>
      </c>
      <c r="L440" s="14">
        <f t="shared" si="18"/>
        <v>180000</v>
      </c>
      <c r="M440" s="14">
        <f t="shared" si="19"/>
        <v>0</v>
      </c>
      <c r="N440" s="18">
        <f t="shared" si="20"/>
        <v>0.14285714285714285</v>
      </c>
      <c r="O440" s="20"/>
    </row>
    <row r="441" spans="1:15">
      <c r="A441" s="7" t="s">
        <v>682</v>
      </c>
      <c r="B441" s="7" t="s">
        <v>714</v>
      </c>
      <c r="C441" s="7" t="s">
        <v>716</v>
      </c>
      <c r="D441" s="7" t="s">
        <v>735</v>
      </c>
      <c r="E441" s="7" t="s">
        <v>87</v>
      </c>
      <c r="F441" s="7" t="s">
        <v>89</v>
      </c>
      <c r="G441" s="7" t="s">
        <v>89</v>
      </c>
      <c r="H441" s="7" t="s">
        <v>736</v>
      </c>
      <c r="I441" s="13">
        <v>480000</v>
      </c>
      <c r="J441" s="13">
        <v>180000</v>
      </c>
      <c r="K441" s="13">
        <v>0</v>
      </c>
      <c r="L441" s="14">
        <f t="shared" si="18"/>
        <v>300000</v>
      </c>
      <c r="M441" s="14">
        <f t="shared" si="19"/>
        <v>180000</v>
      </c>
      <c r="N441" s="18">
        <f t="shared" si="20"/>
        <v>0.375</v>
      </c>
      <c r="O441" s="20"/>
    </row>
    <row r="442" spans="1:15">
      <c r="A442" s="7" t="s">
        <v>682</v>
      </c>
      <c r="B442" s="7" t="s">
        <v>714</v>
      </c>
      <c r="C442" s="7" t="s">
        <v>716</v>
      </c>
      <c r="D442" s="7" t="s">
        <v>735</v>
      </c>
      <c r="E442" s="7" t="s">
        <v>87</v>
      </c>
      <c r="F442" s="7" t="s">
        <v>89</v>
      </c>
      <c r="G442" s="7" t="s">
        <v>89</v>
      </c>
      <c r="H442" s="7" t="s">
        <v>737</v>
      </c>
      <c r="I442" s="13">
        <v>750000</v>
      </c>
      <c r="J442" s="13">
        <v>131000</v>
      </c>
      <c r="K442" s="13">
        <v>131000</v>
      </c>
      <c r="L442" s="14">
        <f t="shared" si="18"/>
        <v>619000</v>
      </c>
      <c r="M442" s="14">
        <f t="shared" si="19"/>
        <v>0</v>
      </c>
      <c r="N442" s="18">
        <f t="shared" si="20"/>
        <v>0.17466666666666666</v>
      </c>
      <c r="O442" s="20"/>
    </row>
    <row r="443" spans="1:15">
      <c r="A443" s="7" t="s">
        <v>682</v>
      </c>
      <c r="B443" s="7" t="s">
        <v>714</v>
      </c>
      <c r="C443" s="7" t="s">
        <v>716</v>
      </c>
      <c r="D443" s="7" t="s">
        <v>739</v>
      </c>
      <c r="E443" s="7" t="s">
        <v>72</v>
      </c>
      <c r="F443" s="7" t="s">
        <v>74</v>
      </c>
      <c r="G443" s="7" t="s">
        <v>76</v>
      </c>
      <c r="H443" s="7" t="s">
        <v>740</v>
      </c>
      <c r="I443" s="13">
        <v>230000</v>
      </c>
      <c r="J443" s="13">
        <v>230000</v>
      </c>
      <c r="K443" s="13">
        <v>230000</v>
      </c>
      <c r="L443" s="14">
        <f t="shared" si="18"/>
        <v>0</v>
      </c>
      <c r="M443" s="14">
        <f t="shared" si="19"/>
        <v>0</v>
      </c>
      <c r="N443" s="18">
        <f t="shared" si="20"/>
        <v>1</v>
      </c>
      <c r="O443" s="20"/>
    </row>
    <row r="444" spans="1:15">
      <c r="A444" s="7" t="s">
        <v>682</v>
      </c>
      <c r="B444" s="7" t="s">
        <v>714</v>
      </c>
      <c r="C444" s="7" t="s">
        <v>716</v>
      </c>
      <c r="D444" s="7" t="s">
        <v>739</v>
      </c>
      <c r="E444" s="7" t="s">
        <v>72</v>
      </c>
      <c r="F444" s="7" t="s">
        <v>74</v>
      </c>
      <c r="G444" s="7" t="s">
        <v>79</v>
      </c>
      <c r="H444" s="7" t="s">
        <v>741</v>
      </c>
      <c r="I444" s="13">
        <v>1100000</v>
      </c>
      <c r="J444" s="13">
        <v>1100000</v>
      </c>
      <c r="K444" s="13">
        <v>1100000</v>
      </c>
      <c r="L444" s="14">
        <f t="shared" si="18"/>
        <v>0</v>
      </c>
      <c r="M444" s="14">
        <f t="shared" si="19"/>
        <v>0</v>
      </c>
      <c r="N444" s="18">
        <f t="shared" si="20"/>
        <v>1</v>
      </c>
      <c r="O444" s="20"/>
    </row>
    <row r="445" spans="1:15">
      <c r="A445" s="7" t="s">
        <v>682</v>
      </c>
      <c r="B445" s="7" t="s">
        <v>714</v>
      </c>
      <c r="C445" s="7" t="s">
        <v>716</v>
      </c>
      <c r="D445" s="7" t="s">
        <v>739</v>
      </c>
      <c r="E445" s="7" t="s">
        <v>72</v>
      </c>
      <c r="F445" s="7" t="s">
        <v>95</v>
      </c>
      <c r="G445" s="7" t="s">
        <v>95</v>
      </c>
      <c r="H445" s="7" t="s">
        <v>742</v>
      </c>
      <c r="I445" s="13">
        <v>1190000</v>
      </c>
      <c r="J445" s="13">
        <v>1190000</v>
      </c>
      <c r="K445" s="13">
        <v>1190000</v>
      </c>
      <c r="L445" s="14">
        <f t="shared" si="18"/>
        <v>0</v>
      </c>
      <c r="M445" s="14">
        <f t="shared" si="19"/>
        <v>0</v>
      </c>
      <c r="N445" s="18">
        <f t="shared" si="20"/>
        <v>1</v>
      </c>
      <c r="O445" s="20"/>
    </row>
    <row r="446" spans="1:15">
      <c r="A446" s="7" t="s">
        <v>682</v>
      </c>
      <c r="B446" s="7" t="s">
        <v>744</v>
      </c>
      <c r="C446" s="7" t="s">
        <v>746</v>
      </c>
      <c r="D446" s="7" t="s">
        <v>746</v>
      </c>
      <c r="E446" s="7" t="s">
        <v>72</v>
      </c>
      <c r="F446" s="7" t="s">
        <v>74</v>
      </c>
      <c r="G446" s="7" t="s">
        <v>76</v>
      </c>
      <c r="H446" s="7" t="s">
        <v>747</v>
      </c>
      <c r="I446" s="13">
        <v>1000000</v>
      </c>
      <c r="J446" s="13">
        <v>427210</v>
      </c>
      <c r="K446" s="13">
        <v>427210</v>
      </c>
      <c r="L446" s="14">
        <f t="shared" si="18"/>
        <v>572790</v>
      </c>
      <c r="M446" s="14">
        <f t="shared" si="19"/>
        <v>0</v>
      </c>
      <c r="N446" s="18">
        <f t="shared" si="20"/>
        <v>0.42720999999999998</v>
      </c>
      <c r="O446" s="20"/>
    </row>
    <row r="447" spans="1:15">
      <c r="A447" s="7" t="s">
        <v>682</v>
      </c>
      <c r="B447" s="7" t="s">
        <v>744</v>
      </c>
      <c r="C447" s="7" t="s">
        <v>746</v>
      </c>
      <c r="D447" s="7" t="s">
        <v>746</v>
      </c>
      <c r="E447" s="7" t="s">
        <v>72</v>
      </c>
      <c r="F447" s="7" t="s">
        <v>74</v>
      </c>
      <c r="G447" s="7" t="s">
        <v>76</v>
      </c>
      <c r="H447" s="7" t="s">
        <v>748</v>
      </c>
      <c r="I447" s="13">
        <v>200000</v>
      </c>
      <c r="J447" s="13">
        <v>0</v>
      </c>
      <c r="K447" s="13">
        <v>0</v>
      </c>
      <c r="L447" s="14">
        <f t="shared" si="18"/>
        <v>200000</v>
      </c>
      <c r="M447" s="14">
        <f t="shared" si="19"/>
        <v>0</v>
      </c>
      <c r="N447" s="18">
        <f t="shared" si="20"/>
        <v>0</v>
      </c>
      <c r="O447" s="20"/>
    </row>
    <row r="448" spans="1:15">
      <c r="A448" s="7" t="s">
        <v>682</v>
      </c>
      <c r="B448" s="7" t="s">
        <v>744</v>
      </c>
      <c r="C448" s="7" t="s">
        <v>750</v>
      </c>
      <c r="D448" s="7" t="s">
        <v>751</v>
      </c>
      <c r="E448" s="7" t="s">
        <v>72</v>
      </c>
      <c r="F448" s="7" t="s">
        <v>74</v>
      </c>
      <c r="G448" s="7" t="s">
        <v>76</v>
      </c>
      <c r="H448" s="7" t="s">
        <v>752</v>
      </c>
      <c r="I448" s="13">
        <v>4800000</v>
      </c>
      <c r="J448" s="13">
        <v>435590</v>
      </c>
      <c r="K448" s="13">
        <v>435590</v>
      </c>
      <c r="L448" s="14">
        <f t="shared" si="18"/>
        <v>4364410</v>
      </c>
      <c r="M448" s="14">
        <f t="shared" si="19"/>
        <v>0</v>
      </c>
      <c r="N448" s="18">
        <f t="shared" si="20"/>
        <v>9.0747916666666664E-2</v>
      </c>
      <c r="O448" s="20"/>
    </row>
    <row r="449" spans="1:15">
      <c r="A449" s="7" t="s">
        <v>682</v>
      </c>
      <c r="B449" s="7" t="s">
        <v>744</v>
      </c>
      <c r="C449" s="7" t="s">
        <v>750</v>
      </c>
      <c r="D449" s="7" t="s">
        <v>751</v>
      </c>
      <c r="E449" s="7" t="s">
        <v>72</v>
      </c>
      <c r="F449" s="7" t="s">
        <v>74</v>
      </c>
      <c r="G449" s="7" t="s">
        <v>76</v>
      </c>
      <c r="H449" s="7" t="s">
        <v>753</v>
      </c>
      <c r="I449" s="13">
        <v>3432000</v>
      </c>
      <c r="J449" s="13">
        <v>3000000</v>
      </c>
      <c r="K449" s="13">
        <v>1250000</v>
      </c>
      <c r="L449" s="14">
        <f t="shared" si="18"/>
        <v>432000</v>
      </c>
      <c r="M449" s="14">
        <f t="shared" si="19"/>
        <v>1750000</v>
      </c>
      <c r="N449" s="18">
        <f t="shared" si="20"/>
        <v>0.87412587412587417</v>
      </c>
      <c r="O449" s="20"/>
    </row>
    <row r="450" spans="1:15">
      <c r="A450" s="7" t="s">
        <v>682</v>
      </c>
      <c r="B450" s="7" t="s">
        <v>744</v>
      </c>
      <c r="C450" s="7" t="s">
        <v>750</v>
      </c>
      <c r="D450" s="7" t="s">
        <v>751</v>
      </c>
      <c r="E450" s="7" t="s">
        <v>72</v>
      </c>
      <c r="F450" s="7" t="s">
        <v>74</v>
      </c>
      <c r="G450" s="7" t="s">
        <v>76</v>
      </c>
      <c r="H450" s="7" t="s">
        <v>754</v>
      </c>
      <c r="I450" s="13">
        <v>1000000</v>
      </c>
      <c r="J450" s="13">
        <v>199000</v>
      </c>
      <c r="K450" s="13">
        <v>199000</v>
      </c>
      <c r="L450" s="14">
        <f t="shared" si="18"/>
        <v>801000</v>
      </c>
      <c r="M450" s="14">
        <f t="shared" si="19"/>
        <v>0</v>
      </c>
      <c r="N450" s="18">
        <f t="shared" si="20"/>
        <v>0.19900000000000001</v>
      </c>
      <c r="O450" s="20"/>
    </row>
    <row r="451" spans="1:15">
      <c r="A451" s="7" t="s">
        <v>682</v>
      </c>
      <c r="B451" s="7" t="s">
        <v>744</v>
      </c>
      <c r="C451" s="7" t="s">
        <v>750</v>
      </c>
      <c r="D451" s="7" t="s">
        <v>751</v>
      </c>
      <c r="E451" s="7" t="s">
        <v>72</v>
      </c>
      <c r="F451" s="7" t="s">
        <v>74</v>
      </c>
      <c r="G451" s="7" t="s">
        <v>76</v>
      </c>
      <c r="H451" s="7" t="s">
        <v>755</v>
      </c>
      <c r="I451" s="13">
        <v>1200000</v>
      </c>
      <c r="J451" s="13">
        <v>495000</v>
      </c>
      <c r="K451" s="13">
        <v>495000</v>
      </c>
      <c r="L451" s="14">
        <f t="shared" si="18"/>
        <v>705000</v>
      </c>
      <c r="M451" s="14">
        <f t="shared" si="19"/>
        <v>0</v>
      </c>
      <c r="N451" s="18">
        <f t="shared" si="20"/>
        <v>0.41249999999999998</v>
      </c>
      <c r="O451" s="20"/>
    </row>
    <row r="452" spans="1:15">
      <c r="A452" s="7" t="s">
        <v>682</v>
      </c>
      <c r="B452" s="7" t="s">
        <v>744</v>
      </c>
      <c r="C452" s="7" t="s">
        <v>750</v>
      </c>
      <c r="D452" s="7" t="s">
        <v>751</v>
      </c>
      <c r="E452" s="7" t="s">
        <v>72</v>
      </c>
      <c r="F452" s="7" t="s">
        <v>74</v>
      </c>
      <c r="G452" s="7" t="s">
        <v>76</v>
      </c>
      <c r="H452" s="7" t="s">
        <v>756</v>
      </c>
      <c r="I452" s="13">
        <v>1000000</v>
      </c>
      <c r="J452" s="13">
        <v>0</v>
      </c>
      <c r="K452" s="13">
        <v>0</v>
      </c>
      <c r="L452" s="14">
        <f t="shared" ref="L452:L515" si="21">I452-J452</f>
        <v>1000000</v>
      </c>
      <c r="M452" s="14">
        <f t="shared" ref="M452:M515" si="22">J452-K452</f>
        <v>0</v>
      </c>
      <c r="N452" s="18">
        <f t="shared" ref="N452:N515" si="23">IFERROR(J452/I452,0)</f>
        <v>0</v>
      </c>
      <c r="O452" s="20"/>
    </row>
    <row r="453" spans="1:15">
      <c r="A453" s="7" t="s">
        <v>682</v>
      </c>
      <c r="B453" s="7" t="s">
        <v>744</v>
      </c>
      <c r="C453" s="7" t="s">
        <v>750</v>
      </c>
      <c r="D453" s="7" t="s">
        <v>751</v>
      </c>
      <c r="E453" s="7" t="s">
        <v>72</v>
      </c>
      <c r="F453" s="7" t="s">
        <v>74</v>
      </c>
      <c r="G453" s="7" t="s">
        <v>76</v>
      </c>
      <c r="H453" s="7" t="s">
        <v>757</v>
      </c>
      <c r="I453" s="13">
        <v>3000000</v>
      </c>
      <c r="J453" s="13">
        <v>199700</v>
      </c>
      <c r="K453" s="13">
        <v>199700</v>
      </c>
      <c r="L453" s="14">
        <f t="shared" si="21"/>
        <v>2800300</v>
      </c>
      <c r="M453" s="14">
        <f t="shared" si="22"/>
        <v>0</v>
      </c>
      <c r="N453" s="18">
        <f t="shared" si="23"/>
        <v>6.6566666666666663E-2</v>
      </c>
      <c r="O453" s="20"/>
    </row>
    <row r="454" spans="1:15">
      <c r="A454" s="7" t="s">
        <v>682</v>
      </c>
      <c r="B454" s="7" t="s">
        <v>744</v>
      </c>
      <c r="C454" s="7" t="s">
        <v>750</v>
      </c>
      <c r="D454" s="7" t="s">
        <v>751</v>
      </c>
      <c r="E454" s="7" t="s">
        <v>192</v>
      </c>
      <c r="F454" s="7" t="s">
        <v>192</v>
      </c>
      <c r="G454" s="7" t="s">
        <v>192</v>
      </c>
      <c r="H454" s="7" t="s">
        <v>758</v>
      </c>
      <c r="I454" s="13">
        <v>2000000</v>
      </c>
      <c r="J454" s="13">
        <v>1985500</v>
      </c>
      <c r="K454" s="13">
        <v>1985500</v>
      </c>
      <c r="L454" s="14">
        <f t="shared" si="21"/>
        <v>14500</v>
      </c>
      <c r="M454" s="14">
        <f t="shared" si="22"/>
        <v>0</v>
      </c>
      <c r="N454" s="18">
        <f t="shared" si="23"/>
        <v>0.99275000000000002</v>
      </c>
      <c r="O454" s="20"/>
    </row>
    <row r="455" spans="1:15">
      <c r="A455" s="7" t="s">
        <v>682</v>
      </c>
      <c r="B455" s="7" t="s">
        <v>744</v>
      </c>
      <c r="C455" s="7" t="s">
        <v>750</v>
      </c>
      <c r="D455" s="7" t="s">
        <v>751</v>
      </c>
      <c r="E455" s="7" t="s">
        <v>192</v>
      </c>
      <c r="F455" s="7" t="s">
        <v>192</v>
      </c>
      <c r="G455" s="7" t="s">
        <v>192</v>
      </c>
      <c r="H455" s="7" t="s">
        <v>759</v>
      </c>
      <c r="I455" s="13">
        <v>7500000</v>
      </c>
      <c r="J455" s="13">
        <v>0</v>
      </c>
      <c r="K455" s="13">
        <v>0</v>
      </c>
      <c r="L455" s="14">
        <f t="shared" si="21"/>
        <v>7500000</v>
      </c>
      <c r="M455" s="14">
        <f t="shared" si="22"/>
        <v>0</v>
      </c>
      <c r="N455" s="18">
        <f t="shared" si="23"/>
        <v>0</v>
      </c>
      <c r="O455" s="20"/>
    </row>
    <row r="456" spans="1:15">
      <c r="A456" s="7" t="s">
        <v>682</v>
      </c>
      <c r="B456" s="7" t="s">
        <v>761</v>
      </c>
      <c r="C456" s="7" t="s">
        <v>763</v>
      </c>
      <c r="D456" s="7" t="s">
        <v>764</v>
      </c>
      <c r="E456" s="7" t="s">
        <v>72</v>
      </c>
      <c r="F456" s="7" t="s">
        <v>74</v>
      </c>
      <c r="G456" s="7" t="s">
        <v>76</v>
      </c>
      <c r="H456" s="7" t="s">
        <v>765</v>
      </c>
      <c r="I456" s="13">
        <v>50000000</v>
      </c>
      <c r="J456" s="13">
        <v>0</v>
      </c>
      <c r="K456" s="13">
        <v>0</v>
      </c>
      <c r="L456" s="14">
        <f t="shared" si="21"/>
        <v>50000000</v>
      </c>
      <c r="M456" s="14">
        <f t="shared" si="22"/>
        <v>0</v>
      </c>
      <c r="N456" s="18">
        <f t="shared" si="23"/>
        <v>0</v>
      </c>
      <c r="O456" s="20"/>
    </row>
    <row r="457" spans="1:15">
      <c r="A457" s="7" t="s">
        <v>682</v>
      </c>
      <c r="B457" s="7" t="s">
        <v>761</v>
      </c>
      <c r="C457" s="7" t="s">
        <v>763</v>
      </c>
      <c r="D457" s="7" t="s">
        <v>764</v>
      </c>
      <c r="E457" s="7" t="s">
        <v>192</v>
      </c>
      <c r="F457" s="7" t="s">
        <v>192</v>
      </c>
      <c r="G457" s="7" t="s">
        <v>192</v>
      </c>
      <c r="H457" s="7" t="s">
        <v>766</v>
      </c>
      <c r="I457" s="13">
        <v>100000000</v>
      </c>
      <c r="J457" s="13">
        <v>0</v>
      </c>
      <c r="K457" s="13">
        <v>0</v>
      </c>
      <c r="L457" s="14">
        <f t="shared" si="21"/>
        <v>100000000</v>
      </c>
      <c r="M457" s="14">
        <f t="shared" si="22"/>
        <v>0</v>
      </c>
      <c r="N457" s="18">
        <f t="shared" si="23"/>
        <v>0</v>
      </c>
      <c r="O457" s="20"/>
    </row>
    <row r="458" spans="1:15">
      <c r="A458" s="7" t="s">
        <v>682</v>
      </c>
      <c r="B458" s="7" t="s">
        <v>768</v>
      </c>
      <c r="C458" s="7" t="s">
        <v>770</v>
      </c>
      <c r="D458" s="7" t="s">
        <v>772</v>
      </c>
      <c r="E458" s="7" t="s">
        <v>72</v>
      </c>
      <c r="F458" s="7" t="s">
        <v>95</v>
      </c>
      <c r="G458" s="7" t="s">
        <v>95</v>
      </c>
      <c r="H458" s="7" t="s">
        <v>773</v>
      </c>
      <c r="I458" s="13">
        <v>500000</v>
      </c>
      <c r="J458" s="13">
        <v>385000</v>
      </c>
      <c r="K458" s="13">
        <v>385000</v>
      </c>
      <c r="L458" s="14">
        <f t="shared" si="21"/>
        <v>115000</v>
      </c>
      <c r="M458" s="14">
        <f t="shared" si="22"/>
        <v>0</v>
      </c>
      <c r="N458" s="18">
        <f t="shared" si="23"/>
        <v>0.77</v>
      </c>
      <c r="O458" s="20"/>
    </row>
    <row r="459" spans="1:15">
      <c r="A459" s="7" t="s">
        <v>682</v>
      </c>
      <c r="B459" s="7" t="s">
        <v>768</v>
      </c>
      <c r="C459" s="7" t="s">
        <v>770</v>
      </c>
      <c r="D459" s="7" t="s">
        <v>775</v>
      </c>
      <c r="E459" s="7" t="s">
        <v>131</v>
      </c>
      <c r="F459" s="7" t="s">
        <v>149</v>
      </c>
      <c r="G459" s="7" t="s">
        <v>149</v>
      </c>
      <c r="H459" s="7" t="s">
        <v>776</v>
      </c>
      <c r="I459" s="13">
        <v>2000000</v>
      </c>
      <c r="J459" s="13">
        <v>0</v>
      </c>
      <c r="K459" s="13">
        <v>0</v>
      </c>
      <c r="L459" s="14">
        <f t="shared" si="21"/>
        <v>2000000</v>
      </c>
      <c r="M459" s="14">
        <f t="shared" si="22"/>
        <v>0</v>
      </c>
      <c r="N459" s="18">
        <f t="shared" si="23"/>
        <v>0</v>
      </c>
      <c r="O459" s="20"/>
    </row>
    <row r="460" spans="1:15">
      <c r="A460" s="7" t="s">
        <v>682</v>
      </c>
      <c r="B460" s="7" t="s">
        <v>768</v>
      </c>
      <c r="C460" s="7" t="s">
        <v>770</v>
      </c>
      <c r="D460" s="7" t="s">
        <v>777</v>
      </c>
      <c r="E460" s="7" t="s">
        <v>72</v>
      </c>
      <c r="F460" s="7" t="s">
        <v>74</v>
      </c>
      <c r="G460" s="7" t="s">
        <v>79</v>
      </c>
      <c r="H460" s="7" t="s">
        <v>351</v>
      </c>
      <c r="I460" s="13">
        <v>800000</v>
      </c>
      <c r="J460" s="13">
        <v>0</v>
      </c>
      <c r="K460" s="13">
        <v>0</v>
      </c>
      <c r="L460" s="14">
        <f t="shared" si="21"/>
        <v>800000</v>
      </c>
      <c r="M460" s="14">
        <f t="shared" si="22"/>
        <v>0</v>
      </c>
      <c r="N460" s="18">
        <f t="shared" si="23"/>
        <v>0</v>
      </c>
      <c r="O460" s="20"/>
    </row>
    <row r="461" spans="1:15">
      <c r="A461" s="7" t="s">
        <v>682</v>
      </c>
      <c r="B461" s="7" t="s">
        <v>768</v>
      </c>
      <c r="C461" s="7" t="s">
        <v>770</v>
      </c>
      <c r="D461" s="7" t="s">
        <v>777</v>
      </c>
      <c r="E461" s="7" t="s">
        <v>72</v>
      </c>
      <c r="F461" s="7" t="s">
        <v>95</v>
      </c>
      <c r="G461" s="7" t="s">
        <v>95</v>
      </c>
      <c r="H461" s="7" t="s">
        <v>778</v>
      </c>
      <c r="I461" s="13">
        <v>1200000</v>
      </c>
      <c r="J461" s="13">
        <v>657800</v>
      </c>
      <c r="K461" s="13">
        <v>657800</v>
      </c>
      <c r="L461" s="14">
        <f t="shared" si="21"/>
        <v>542200</v>
      </c>
      <c r="M461" s="14">
        <f t="shared" si="22"/>
        <v>0</v>
      </c>
      <c r="N461" s="18">
        <f t="shared" si="23"/>
        <v>0.54816666666666669</v>
      </c>
      <c r="O461" s="20"/>
    </row>
    <row r="462" spans="1:15">
      <c r="A462" s="7" t="s">
        <v>682</v>
      </c>
      <c r="B462" s="7" t="s">
        <v>768</v>
      </c>
      <c r="C462" s="7" t="s">
        <v>770</v>
      </c>
      <c r="D462" s="7" t="s">
        <v>779</v>
      </c>
      <c r="E462" s="7" t="s">
        <v>72</v>
      </c>
      <c r="F462" s="7" t="s">
        <v>95</v>
      </c>
      <c r="G462" s="7" t="s">
        <v>95</v>
      </c>
      <c r="H462" s="7" t="s">
        <v>780</v>
      </c>
      <c r="I462" s="13">
        <v>600000</v>
      </c>
      <c r="J462" s="13">
        <v>0</v>
      </c>
      <c r="K462" s="13">
        <v>0</v>
      </c>
      <c r="L462" s="14">
        <f t="shared" si="21"/>
        <v>600000</v>
      </c>
      <c r="M462" s="14">
        <f t="shared" si="22"/>
        <v>0</v>
      </c>
      <c r="N462" s="18">
        <f t="shared" si="23"/>
        <v>0</v>
      </c>
      <c r="O462" s="20"/>
    </row>
    <row r="463" spans="1:15">
      <c r="A463" s="7" t="s">
        <v>682</v>
      </c>
      <c r="B463" s="7" t="s">
        <v>768</v>
      </c>
      <c r="C463" s="7" t="s">
        <v>770</v>
      </c>
      <c r="D463" s="7" t="s">
        <v>779</v>
      </c>
      <c r="E463" s="7" t="s">
        <v>72</v>
      </c>
      <c r="F463" s="7" t="s">
        <v>95</v>
      </c>
      <c r="G463" s="7" t="s">
        <v>95</v>
      </c>
      <c r="H463" s="7" t="s">
        <v>781</v>
      </c>
      <c r="I463" s="13">
        <v>900000</v>
      </c>
      <c r="J463" s="13">
        <v>413080</v>
      </c>
      <c r="K463" s="13">
        <v>413080</v>
      </c>
      <c r="L463" s="14">
        <f t="shared" si="21"/>
        <v>486920</v>
      </c>
      <c r="M463" s="14">
        <f t="shared" si="22"/>
        <v>0</v>
      </c>
      <c r="N463" s="18">
        <f t="shared" si="23"/>
        <v>0.45897777777777776</v>
      </c>
      <c r="O463" s="20"/>
    </row>
    <row r="464" spans="1:15">
      <c r="A464" s="7" t="s">
        <v>682</v>
      </c>
      <c r="B464" s="7" t="s">
        <v>768</v>
      </c>
      <c r="C464" s="7" t="s">
        <v>783</v>
      </c>
      <c r="D464" s="7" t="s">
        <v>784</v>
      </c>
      <c r="E464" s="7" t="s">
        <v>72</v>
      </c>
      <c r="F464" s="7" t="s">
        <v>74</v>
      </c>
      <c r="G464" s="7" t="s">
        <v>79</v>
      </c>
      <c r="H464" s="7" t="s">
        <v>785</v>
      </c>
      <c r="I464" s="13">
        <v>160000</v>
      </c>
      <c r="J464" s="13">
        <v>0</v>
      </c>
      <c r="K464" s="13">
        <v>0</v>
      </c>
      <c r="L464" s="14">
        <f t="shared" si="21"/>
        <v>160000</v>
      </c>
      <c r="M464" s="14">
        <f t="shared" si="22"/>
        <v>0</v>
      </c>
      <c r="N464" s="18">
        <f t="shared" si="23"/>
        <v>0</v>
      </c>
      <c r="O464" s="20"/>
    </row>
    <row r="465" spans="1:15">
      <c r="A465" s="7" t="s">
        <v>682</v>
      </c>
      <c r="B465" s="7" t="s">
        <v>768</v>
      </c>
      <c r="C465" s="7" t="s">
        <v>783</v>
      </c>
      <c r="D465" s="7" t="s">
        <v>784</v>
      </c>
      <c r="E465" s="7" t="s">
        <v>72</v>
      </c>
      <c r="F465" s="7" t="s">
        <v>95</v>
      </c>
      <c r="G465" s="7" t="s">
        <v>95</v>
      </c>
      <c r="H465" s="7" t="s">
        <v>786</v>
      </c>
      <c r="I465" s="13">
        <v>160000</v>
      </c>
      <c r="J465" s="13">
        <v>0</v>
      </c>
      <c r="K465" s="13">
        <v>0</v>
      </c>
      <c r="L465" s="14">
        <f t="shared" si="21"/>
        <v>160000</v>
      </c>
      <c r="M465" s="14">
        <f t="shared" si="22"/>
        <v>0</v>
      </c>
      <c r="N465" s="18">
        <f t="shared" si="23"/>
        <v>0</v>
      </c>
      <c r="O465" s="20"/>
    </row>
    <row r="466" spans="1:15">
      <c r="A466" s="7" t="s">
        <v>682</v>
      </c>
      <c r="B466" s="7" t="s">
        <v>768</v>
      </c>
      <c r="C466" s="7" t="s">
        <v>783</v>
      </c>
      <c r="D466" s="7" t="s">
        <v>787</v>
      </c>
      <c r="E466" s="7" t="s">
        <v>72</v>
      </c>
      <c r="F466" s="7" t="s">
        <v>74</v>
      </c>
      <c r="G466" s="7" t="s">
        <v>79</v>
      </c>
      <c r="H466" s="7" t="s">
        <v>788</v>
      </c>
      <c r="I466" s="13">
        <v>3625000</v>
      </c>
      <c r="J466" s="13">
        <v>1256580</v>
      </c>
      <c r="K466" s="13">
        <v>1256580</v>
      </c>
      <c r="L466" s="14">
        <f t="shared" si="21"/>
        <v>2368420</v>
      </c>
      <c r="M466" s="14">
        <f t="shared" si="22"/>
        <v>0</v>
      </c>
      <c r="N466" s="18">
        <f t="shared" si="23"/>
        <v>0.34664275862068966</v>
      </c>
      <c r="O466" s="20"/>
    </row>
    <row r="467" spans="1:15">
      <c r="A467" s="7" t="s">
        <v>682</v>
      </c>
      <c r="B467" s="7" t="s">
        <v>768</v>
      </c>
      <c r="C467" s="7" t="s">
        <v>783</v>
      </c>
      <c r="D467" s="7" t="s">
        <v>789</v>
      </c>
      <c r="E467" s="7" t="s">
        <v>131</v>
      </c>
      <c r="F467" s="7" t="s">
        <v>133</v>
      </c>
      <c r="G467" s="7" t="s">
        <v>135</v>
      </c>
      <c r="H467" s="7" t="s">
        <v>790</v>
      </c>
      <c r="I467" s="13">
        <v>36484000</v>
      </c>
      <c r="J467" s="13">
        <v>25584630</v>
      </c>
      <c r="K467" s="13">
        <v>25584630</v>
      </c>
      <c r="L467" s="14">
        <f t="shared" si="21"/>
        <v>10899370</v>
      </c>
      <c r="M467" s="14">
        <f t="shared" si="22"/>
        <v>0</v>
      </c>
      <c r="N467" s="18">
        <f t="shared" si="23"/>
        <v>0.70125616708694227</v>
      </c>
      <c r="O467" s="20"/>
    </row>
    <row r="468" spans="1:15">
      <c r="A468" s="7" t="s">
        <v>682</v>
      </c>
      <c r="B468" s="7" t="s">
        <v>768</v>
      </c>
      <c r="C468" s="7" t="s">
        <v>783</v>
      </c>
      <c r="D468" s="7" t="s">
        <v>789</v>
      </c>
      <c r="E468" s="7" t="s">
        <v>72</v>
      </c>
      <c r="F468" s="7" t="s">
        <v>74</v>
      </c>
      <c r="G468" s="7" t="s">
        <v>76</v>
      </c>
      <c r="H468" s="7" t="s">
        <v>791</v>
      </c>
      <c r="I468" s="13">
        <v>1018000</v>
      </c>
      <c r="J468" s="13">
        <v>1018000</v>
      </c>
      <c r="K468" s="13">
        <v>1018000</v>
      </c>
      <c r="L468" s="14">
        <f t="shared" si="21"/>
        <v>0</v>
      </c>
      <c r="M468" s="14">
        <f t="shared" si="22"/>
        <v>0</v>
      </c>
      <c r="N468" s="18">
        <f t="shared" si="23"/>
        <v>1</v>
      </c>
      <c r="O468" s="20"/>
    </row>
    <row r="469" spans="1:15">
      <c r="A469" s="7" t="s">
        <v>682</v>
      </c>
      <c r="B469" s="7" t="s">
        <v>768</v>
      </c>
      <c r="C469" s="7" t="s">
        <v>783</v>
      </c>
      <c r="D469" s="7" t="s">
        <v>792</v>
      </c>
      <c r="E469" s="7" t="s">
        <v>72</v>
      </c>
      <c r="F469" s="7" t="s">
        <v>74</v>
      </c>
      <c r="G469" s="7" t="s">
        <v>79</v>
      </c>
      <c r="H469" s="7" t="s">
        <v>793</v>
      </c>
      <c r="I469" s="13">
        <v>200000</v>
      </c>
      <c r="J469" s="13">
        <v>0</v>
      </c>
      <c r="K469" s="13">
        <v>0</v>
      </c>
      <c r="L469" s="14">
        <f t="shared" si="21"/>
        <v>200000</v>
      </c>
      <c r="M469" s="14">
        <f t="shared" si="22"/>
        <v>0</v>
      </c>
      <c r="N469" s="18">
        <f t="shared" si="23"/>
        <v>0</v>
      </c>
      <c r="O469" s="20"/>
    </row>
    <row r="470" spans="1:15">
      <c r="A470" s="7" t="s">
        <v>682</v>
      </c>
      <c r="B470" s="7" t="s">
        <v>768</v>
      </c>
      <c r="C470" s="7" t="s">
        <v>783</v>
      </c>
      <c r="D470" s="7" t="s">
        <v>792</v>
      </c>
      <c r="E470" s="7" t="s">
        <v>72</v>
      </c>
      <c r="F470" s="7" t="s">
        <v>95</v>
      </c>
      <c r="G470" s="7" t="s">
        <v>95</v>
      </c>
      <c r="H470" s="7" t="s">
        <v>794</v>
      </c>
      <c r="I470" s="13">
        <v>4800000</v>
      </c>
      <c r="J470" s="13">
        <v>4800000</v>
      </c>
      <c r="K470" s="13">
        <v>4800000</v>
      </c>
      <c r="L470" s="14">
        <f t="shared" si="21"/>
        <v>0</v>
      </c>
      <c r="M470" s="14">
        <f t="shared" si="22"/>
        <v>0</v>
      </c>
      <c r="N470" s="18">
        <f t="shared" si="23"/>
        <v>1</v>
      </c>
      <c r="O470" s="20"/>
    </row>
    <row r="471" spans="1:15">
      <c r="A471" s="7" t="s">
        <v>682</v>
      </c>
      <c r="B471" s="7" t="s">
        <v>768</v>
      </c>
      <c r="C471" s="7" t="s">
        <v>796</v>
      </c>
      <c r="D471" s="7" t="s">
        <v>797</v>
      </c>
      <c r="E471" s="7" t="s">
        <v>72</v>
      </c>
      <c r="F471" s="7" t="s">
        <v>95</v>
      </c>
      <c r="G471" s="7" t="s">
        <v>95</v>
      </c>
      <c r="H471" s="7" t="s">
        <v>798</v>
      </c>
      <c r="I471" s="13">
        <v>900000</v>
      </c>
      <c r="J471" s="13">
        <v>0</v>
      </c>
      <c r="K471" s="13">
        <v>0</v>
      </c>
      <c r="L471" s="14">
        <f t="shared" si="21"/>
        <v>900000</v>
      </c>
      <c r="M471" s="14">
        <f t="shared" si="22"/>
        <v>0</v>
      </c>
      <c r="N471" s="18">
        <f t="shared" si="23"/>
        <v>0</v>
      </c>
      <c r="O471" s="20"/>
    </row>
    <row r="472" spans="1:15">
      <c r="A472" s="7" t="s">
        <v>682</v>
      </c>
      <c r="B472" s="7" t="s">
        <v>768</v>
      </c>
      <c r="C472" s="7" t="s">
        <v>796</v>
      </c>
      <c r="D472" s="7" t="s">
        <v>799</v>
      </c>
      <c r="E472" s="7" t="s">
        <v>72</v>
      </c>
      <c r="F472" s="7" t="s">
        <v>74</v>
      </c>
      <c r="G472" s="7" t="s">
        <v>76</v>
      </c>
      <c r="H472" s="7" t="s">
        <v>800</v>
      </c>
      <c r="I472" s="13">
        <v>850000</v>
      </c>
      <c r="J472" s="13">
        <v>849150</v>
      </c>
      <c r="K472" s="13">
        <v>849150</v>
      </c>
      <c r="L472" s="14">
        <f t="shared" si="21"/>
        <v>850</v>
      </c>
      <c r="M472" s="14">
        <f t="shared" si="22"/>
        <v>0</v>
      </c>
      <c r="N472" s="18">
        <f t="shared" si="23"/>
        <v>0.999</v>
      </c>
      <c r="O472" s="20"/>
    </row>
    <row r="473" spans="1:15">
      <c r="A473" s="7" t="s">
        <v>802</v>
      </c>
      <c r="B473" s="7" t="s">
        <v>804</v>
      </c>
      <c r="C473" s="7" t="s">
        <v>806</v>
      </c>
      <c r="D473" s="7" t="s">
        <v>807</v>
      </c>
      <c r="E473" s="7" t="s">
        <v>72</v>
      </c>
      <c r="F473" s="7" t="s">
        <v>74</v>
      </c>
      <c r="G473" s="7" t="s">
        <v>809</v>
      </c>
      <c r="H473" s="7" t="s">
        <v>810</v>
      </c>
      <c r="I473" s="13">
        <v>4040000</v>
      </c>
      <c r="J473" s="13">
        <v>1489820</v>
      </c>
      <c r="K473" s="13">
        <v>1489820</v>
      </c>
      <c r="L473" s="14">
        <f t="shared" si="21"/>
        <v>2550180</v>
      </c>
      <c r="M473" s="14">
        <f t="shared" si="22"/>
        <v>0</v>
      </c>
      <c r="N473" s="18">
        <f t="shared" si="23"/>
        <v>0.36876732673267326</v>
      </c>
      <c r="O473" s="20"/>
    </row>
    <row r="474" spans="1:15">
      <c r="A474" s="7" t="s">
        <v>802</v>
      </c>
      <c r="B474" s="7" t="s">
        <v>804</v>
      </c>
      <c r="C474" s="7" t="s">
        <v>806</v>
      </c>
      <c r="D474" s="7" t="s">
        <v>807</v>
      </c>
      <c r="E474" s="7" t="s">
        <v>72</v>
      </c>
      <c r="F474" s="7" t="s">
        <v>74</v>
      </c>
      <c r="G474" s="7" t="s">
        <v>809</v>
      </c>
      <c r="H474" s="7" t="s">
        <v>811</v>
      </c>
      <c r="I474" s="13">
        <v>420000</v>
      </c>
      <c r="J474" s="13">
        <v>291840</v>
      </c>
      <c r="K474" s="13">
        <v>121600</v>
      </c>
      <c r="L474" s="14">
        <f t="shared" si="21"/>
        <v>128160</v>
      </c>
      <c r="M474" s="14">
        <f t="shared" si="22"/>
        <v>170240</v>
      </c>
      <c r="N474" s="18">
        <f t="shared" si="23"/>
        <v>0.69485714285714284</v>
      </c>
      <c r="O474" s="20"/>
    </row>
    <row r="475" spans="1:15">
      <c r="A475" s="7" t="s">
        <v>802</v>
      </c>
      <c r="B475" s="7" t="s">
        <v>804</v>
      </c>
      <c r="C475" s="7" t="s">
        <v>806</v>
      </c>
      <c r="D475" s="7" t="s">
        <v>807</v>
      </c>
      <c r="E475" s="7" t="s">
        <v>72</v>
      </c>
      <c r="F475" s="7" t="s">
        <v>74</v>
      </c>
      <c r="G475" s="7" t="s">
        <v>809</v>
      </c>
      <c r="H475" s="7" t="s">
        <v>812</v>
      </c>
      <c r="I475" s="13">
        <v>100000</v>
      </c>
      <c r="J475" s="13">
        <v>0</v>
      </c>
      <c r="K475" s="13">
        <v>0</v>
      </c>
      <c r="L475" s="14">
        <f t="shared" si="21"/>
        <v>100000</v>
      </c>
      <c r="M475" s="14">
        <f t="shared" si="22"/>
        <v>0</v>
      </c>
      <c r="N475" s="18">
        <f t="shared" si="23"/>
        <v>0</v>
      </c>
      <c r="O475" s="20"/>
    </row>
    <row r="476" spans="1:15">
      <c r="A476" s="7" t="s">
        <v>802</v>
      </c>
      <c r="B476" s="7" t="s">
        <v>804</v>
      </c>
      <c r="C476" s="7" t="s">
        <v>806</v>
      </c>
      <c r="D476" s="7" t="s">
        <v>813</v>
      </c>
      <c r="E476" s="7" t="s">
        <v>72</v>
      </c>
      <c r="F476" s="7" t="s">
        <v>74</v>
      </c>
      <c r="G476" s="7" t="s">
        <v>813</v>
      </c>
      <c r="H476" s="7" t="s">
        <v>813</v>
      </c>
      <c r="I476" s="13">
        <v>134210000</v>
      </c>
      <c r="J476" s="13">
        <v>34585680</v>
      </c>
      <c r="K476" s="13">
        <v>34585680</v>
      </c>
      <c r="L476" s="14">
        <f t="shared" si="21"/>
        <v>99624320</v>
      </c>
      <c r="M476" s="14">
        <f t="shared" si="22"/>
        <v>0</v>
      </c>
      <c r="N476" s="18">
        <f t="shared" si="23"/>
        <v>0.25769823411072201</v>
      </c>
      <c r="O476" s="20"/>
    </row>
    <row r="477" spans="1:15">
      <c r="A477" s="7" t="s">
        <v>802</v>
      </c>
      <c r="B477" s="7" t="s">
        <v>804</v>
      </c>
      <c r="C477" s="7" t="s">
        <v>806</v>
      </c>
      <c r="D477" s="7" t="s">
        <v>815</v>
      </c>
      <c r="E477" s="7" t="s">
        <v>72</v>
      </c>
      <c r="F477" s="7" t="s">
        <v>74</v>
      </c>
      <c r="G477" s="7" t="s">
        <v>815</v>
      </c>
      <c r="H477" s="7" t="s">
        <v>817</v>
      </c>
      <c r="I477" s="13">
        <v>80000000</v>
      </c>
      <c r="J477" s="13">
        <v>46756080</v>
      </c>
      <c r="K477" s="13">
        <v>46756080</v>
      </c>
      <c r="L477" s="14">
        <f t="shared" si="21"/>
        <v>33243920</v>
      </c>
      <c r="M477" s="14">
        <f t="shared" si="22"/>
        <v>0</v>
      </c>
      <c r="N477" s="18">
        <f t="shared" si="23"/>
        <v>0.58445100000000005</v>
      </c>
      <c r="O477" s="20"/>
    </row>
    <row r="478" spans="1:15">
      <c r="A478" s="7" t="s">
        <v>802</v>
      </c>
      <c r="B478" s="7" t="s">
        <v>804</v>
      </c>
      <c r="C478" s="7" t="s">
        <v>806</v>
      </c>
      <c r="D478" s="7" t="s">
        <v>818</v>
      </c>
      <c r="E478" s="7" t="s">
        <v>72</v>
      </c>
      <c r="F478" s="7" t="s">
        <v>74</v>
      </c>
      <c r="G478" s="7" t="s">
        <v>818</v>
      </c>
      <c r="H478" s="7" t="s">
        <v>820</v>
      </c>
      <c r="I478" s="13">
        <v>25000000</v>
      </c>
      <c r="J478" s="13">
        <v>11016760</v>
      </c>
      <c r="K478" s="13">
        <v>11016760</v>
      </c>
      <c r="L478" s="14">
        <f t="shared" si="21"/>
        <v>13983240</v>
      </c>
      <c r="M478" s="14">
        <f t="shared" si="22"/>
        <v>0</v>
      </c>
      <c r="N478" s="18">
        <f t="shared" si="23"/>
        <v>0.44067040000000002</v>
      </c>
      <c r="O478" s="20"/>
    </row>
    <row r="479" spans="1:15">
      <c r="A479" s="7" t="s">
        <v>802</v>
      </c>
      <c r="B479" s="7" t="s">
        <v>804</v>
      </c>
      <c r="C479" s="7" t="s">
        <v>806</v>
      </c>
      <c r="D479" s="7" t="s">
        <v>821</v>
      </c>
      <c r="E479" s="7" t="s">
        <v>72</v>
      </c>
      <c r="F479" s="7" t="s">
        <v>74</v>
      </c>
      <c r="G479" s="7" t="s">
        <v>76</v>
      </c>
      <c r="H479" s="7" t="s">
        <v>822</v>
      </c>
      <c r="I479" s="13">
        <v>38800000</v>
      </c>
      <c r="J479" s="13">
        <v>31900000</v>
      </c>
      <c r="K479" s="13">
        <v>15950000</v>
      </c>
      <c r="L479" s="14">
        <f t="shared" si="21"/>
        <v>6900000</v>
      </c>
      <c r="M479" s="14">
        <f t="shared" si="22"/>
        <v>15950000</v>
      </c>
      <c r="N479" s="18">
        <f t="shared" si="23"/>
        <v>0.82216494845360821</v>
      </c>
      <c r="O479" s="20"/>
    </row>
    <row r="480" spans="1:15">
      <c r="A480" s="7" t="s">
        <v>802</v>
      </c>
      <c r="B480" s="7" t="s">
        <v>804</v>
      </c>
      <c r="C480" s="7" t="s">
        <v>806</v>
      </c>
      <c r="D480" s="7" t="s">
        <v>821</v>
      </c>
      <c r="E480" s="7" t="s">
        <v>72</v>
      </c>
      <c r="F480" s="7" t="s">
        <v>74</v>
      </c>
      <c r="G480" s="7" t="s">
        <v>76</v>
      </c>
      <c r="H480" s="7" t="s">
        <v>823</v>
      </c>
      <c r="I480" s="13">
        <v>830000</v>
      </c>
      <c r="J480" s="13">
        <v>823680</v>
      </c>
      <c r="K480" s="13">
        <v>343200</v>
      </c>
      <c r="L480" s="14">
        <f t="shared" si="21"/>
        <v>6320</v>
      </c>
      <c r="M480" s="14">
        <f t="shared" si="22"/>
        <v>480480</v>
      </c>
      <c r="N480" s="18">
        <f t="shared" si="23"/>
        <v>0.99238554216867469</v>
      </c>
      <c r="O480" s="20"/>
    </row>
    <row r="481" spans="1:15">
      <c r="A481" s="7" t="s">
        <v>802</v>
      </c>
      <c r="B481" s="7" t="s">
        <v>804</v>
      </c>
      <c r="C481" s="7" t="s">
        <v>806</v>
      </c>
      <c r="D481" s="7" t="s">
        <v>821</v>
      </c>
      <c r="E481" s="7" t="s">
        <v>72</v>
      </c>
      <c r="F481" s="7" t="s">
        <v>74</v>
      </c>
      <c r="G481" s="7" t="s">
        <v>76</v>
      </c>
      <c r="H481" s="7" t="s">
        <v>824</v>
      </c>
      <c r="I481" s="13">
        <v>1920000</v>
      </c>
      <c r="J481" s="13">
        <v>1900800</v>
      </c>
      <c r="K481" s="13">
        <v>792000</v>
      </c>
      <c r="L481" s="14">
        <f t="shared" si="21"/>
        <v>19200</v>
      </c>
      <c r="M481" s="14">
        <f t="shared" si="22"/>
        <v>1108800</v>
      </c>
      <c r="N481" s="18">
        <f t="shared" si="23"/>
        <v>0.99</v>
      </c>
      <c r="O481" s="20"/>
    </row>
    <row r="482" spans="1:15">
      <c r="A482" s="7" t="s">
        <v>802</v>
      </c>
      <c r="B482" s="7" t="s">
        <v>804</v>
      </c>
      <c r="C482" s="7" t="s">
        <v>806</v>
      </c>
      <c r="D482" s="7" t="s">
        <v>821</v>
      </c>
      <c r="E482" s="7" t="s">
        <v>72</v>
      </c>
      <c r="F482" s="7" t="s">
        <v>74</v>
      </c>
      <c r="G482" s="7" t="s">
        <v>76</v>
      </c>
      <c r="H482" s="7" t="s">
        <v>825</v>
      </c>
      <c r="I482" s="13">
        <v>2000000</v>
      </c>
      <c r="J482" s="13">
        <v>502000</v>
      </c>
      <c r="K482" s="13">
        <v>110000</v>
      </c>
      <c r="L482" s="14">
        <f t="shared" si="21"/>
        <v>1498000</v>
      </c>
      <c r="M482" s="14">
        <f t="shared" si="22"/>
        <v>392000</v>
      </c>
      <c r="N482" s="18">
        <f t="shared" si="23"/>
        <v>0.251</v>
      </c>
      <c r="O482" s="20"/>
    </row>
    <row r="483" spans="1:15">
      <c r="A483" s="7" t="s">
        <v>802</v>
      </c>
      <c r="B483" s="7" t="s">
        <v>804</v>
      </c>
      <c r="C483" s="7" t="s">
        <v>806</v>
      </c>
      <c r="D483" s="7" t="s">
        <v>821</v>
      </c>
      <c r="E483" s="7" t="s">
        <v>72</v>
      </c>
      <c r="F483" s="7" t="s">
        <v>74</v>
      </c>
      <c r="G483" s="7" t="s">
        <v>76</v>
      </c>
      <c r="H483" s="7" t="s">
        <v>826</v>
      </c>
      <c r="I483" s="13">
        <v>1080000</v>
      </c>
      <c r="J483" s="13">
        <v>990000</v>
      </c>
      <c r="K483" s="13">
        <v>450000</v>
      </c>
      <c r="L483" s="14">
        <f t="shared" si="21"/>
        <v>90000</v>
      </c>
      <c r="M483" s="14">
        <f t="shared" si="22"/>
        <v>540000</v>
      </c>
      <c r="N483" s="18">
        <f t="shared" si="23"/>
        <v>0.91666666666666663</v>
      </c>
      <c r="O483" s="20"/>
    </row>
    <row r="484" spans="1:15">
      <c r="A484" s="7" t="s">
        <v>802</v>
      </c>
      <c r="B484" s="7" t="s">
        <v>804</v>
      </c>
      <c r="C484" s="7" t="s">
        <v>806</v>
      </c>
      <c r="D484" s="7" t="s">
        <v>821</v>
      </c>
      <c r="E484" s="7" t="s">
        <v>72</v>
      </c>
      <c r="F484" s="7" t="s">
        <v>74</v>
      </c>
      <c r="G484" s="7" t="s">
        <v>76</v>
      </c>
      <c r="H484" s="7" t="s">
        <v>827</v>
      </c>
      <c r="I484" s="13">
        <v>5272000</v>
      </c>
      <c r="J484" s="13">
        <v>5266800</v>
      </c>
      <c r="K484" s="13">
        <v>1915200</v>
      </c>
      <c r="L484" s="14">
        <f t="shared" si="21"/>
        <v>5200</v>
      </c>
      <c r="M484" s="14">
        <f t="shared" si="22"/>
        <v>3351600</v>
      </c>
      <c r="N484" s="18">
        <f t="shared" si="23"/>
        <v>0.99901365705614564</v>
      </c>
      <c r="O484" s="20"/>
    </row>
    <row r="485" spans="1:15">
      <c r="A485" s="7" t="s">
        <v>802</v>
      </c>
      <c r="B485" s="7" t="s">
        <v>804</v>
      </c>
      <c r="C485" s="7" t="s">
        <v>806</v>
      </c>
      <c r="D485" s="7" t="s">
        <v>821</v>
      </c>
      <c r="E485" s="7" t="s">
        <v>72</v>
      </c>
      <c r="F485" s="7" t="s">
        <v>74</v>
      </c>
      <c r="G485" s="7" t="s">
        <v>76</v>
      </c>
      <c r="H485" s="7" t="s">
        <v>828</v>
      </c>
      <c r="I485" s="13">
        <v>1200000</v>
      </c>
      <c r="J485" s="13">
        <v>0</v>
      </c>
      <c r="K485" s="13">
        <v>0</v>
      </c>
      <c r="L485" s="14">
        <f t="shared" si="21"/>
        <v>1200000</v>
      </c>
      <c r="M485" s="14">
        <f t="shared" si="22"/>
        <v>0</v>
      </c>
      <c r="N485" s="18">
        <f t="shared" si="23"/>
        <v>0</v>
      </c>
      <c r="O485" s="20"/>
    </row>
    <row r="486" spans="1:15">
      <c r="A486" s="7" t="s">
        <v>802</v>
      </c>
      <c r="B486" s="7" t="s">
        <v>804</v>
      </c>
      <c r="C486" s="7" t="s">
        <v>806</v>
      </c>
      <c r="D486" s="7" t="s">
        <v>821</v>
      </c>
      <c r="E486" s="7" t="s">
        <v>72</v>
      </c>
      <c r="F486" s="7" t="s">
        <v>74</v>
      </c>
      <c r="G486" s="7" t="s">
        <v>76</v>
      </c>
      <c r="H486" s="7" t="s">
        <v>829</v>
      </c>
      <c r="I486" s="13">
        <v>7920000</v>
      </c>
      <c r="J486" s="13">
        <v>7380000</v>
      </c>
      <c r="K486" s="13">
        <v>3075000</v>
      </c>
      <c r="L486" s="14">
        <f t="shared" si="21"/>
        <v>540000</v>
      </c>
      <c r="M486" s="14">
        <f t="shared" si="22"/>
        <v>4305000</v>
      </c>
      <c r="N486" s="18">
        <f t="shared" si="23"/>
        <v>0.93181818181818177</v>
      </c>
      <c r="O486" s="20"/>
    </row>
    <row r="487" spans="1:15">
      <c r="A487" s="7" t="s">
        <v>802</v>
      </c>
      <c r="B487" s="7" t="s">
        <v>804</v>
      </c>
      <c r="C487" s="7" t="s">
        <v>806</v>
      </c>
      <c r="D487" s="7" t="s">
        <v>821</v>
      </c>
      <c r="E487" s="7" t="s">
        <v>72</v>
      </c>
      <c r="F487" s="7" t="s">
        <v>74</v>
      </c>
      <c r="G487" s="7" t="s">
        <v>76</v>
      </c>
      <c r="H487" s="7" t="s">
        <v>830</v>
      </c>
      <c r="I487" s="13">
        <v>1200000</v>
      </c>
      <c r="J487" s="13">
        <v>0</v>
      </c>
      <c r="K487" s="13">
        <v>0</v>
      </c>
      <c r="L487" s="14">
        <f t="shared" si="21"/>
        <v>1200000</v>
      </c>
      <c r="M487" s="14">
        <f t="shared" si="22"/>
        <v>0</v>
      </c>
      <c r="N487" s="18">
        <f t="shared" si="23"/>
        <v>0</v>
      </c>
      <c r="O487" s="20"/>
    </row>
    <row r="488" spans="1:15">
      <c r="A488" s="7" t="s">
        <v>802</v>
      </c>
      <c r="B488" s="7" t="s">
        <v>804</v>
      </c>
      <c r="C488" s="7" t="s">
        <v>806</v>
      </c>
      <c r="D488" s="7" t="s">
        <v>821</v>
      </c>
      <c r="E488" s="7" t="s">
        <v>72</v>
      </c>
      <c r="F488" s="7" t="s">
        <v>74</v>
      </c>
      <c r="G488" s="7" t="s">
        <v>76</v>
      </c>
      <c r="H488" s="7" t="s">
        <v>831</v>
      </c>
      <c r="I488" s="13">
        <v>5208000</v>
      </c>
      <c r="J488" s="13">
        <v>3000000</v>
      </c>
      <c r="K488" s="13">
        <v>1250000</v>
      </c>
      <c r="L488" s="14">
        <f t="shared" si="21"/>
        <v>2208000</v>
      </c>
      <c r="M488" s="14">
        <f t="shared" si="22"/>
        <v>1750000</v>
      </c>
      <c r="N488" s="18">
        <f t="shared" si="23"/>
        <v>0.57603686635944695</v>
      </c>
      <c r="O488" s="20"/>
    </row>
    <row r="489" spans="1:15">
      <c r="A489" s="7" t="s">
        <v>802</v>
      </c>
      <c r="B489" s="7" t="s">
        <v>804</v>
      </c>
      <c r="C489" s="7" t="s">
        <v>806</v>
      </c>
      <c r="D489" s="7" t="s">
        <v>821</v>
      </c>
      <c r="E489" s="7" t="s">
        <v>72</v>
      </c>
      <c r="F489" s="7" t="s">
        <v>74</v>
      </c>
      <c r="G489" s="7" t="s">
        <v>76</v>
      </c>
      <c r="H489" s="7" t="s">
        <v>832</v>
      </c>
      <c r="I489" s="13">
        <v>294000</v>
      </c>
      <c r="J489" s="13">
        <v>294000</v>
      </c>
      <c r="K489" s="13">
        <v>235360</v>
      </c>
      <c r="L489" s="14">
        <f t="shared" si="21"/>
        <v>0</v>
      </c>
      <c r="M489" s="14">
        <f t="shared" si="22"/>
        <v>58640</v>
      </c>
      <c r="N489" s="18">
        <f t="shared" si="23"/>
        <v>1</v>
      </c>
      <c r="O489" s="20"/>
    </row>
    <row r="490" spans="1:15">
      <c r="A490" s="7" t="s">
        <v>802</v>
      </c>
      <c r="B490" s="7" t="s">
        <v>804</v>
      </c>
      <c r="C490" s="7" t="s">
        <v>806</v>
      </c>
      <c r="D490" s="7" t="s">
        <v>821</v>
      </c>
      <c r="E490" s="7" t="s">
        <v>72</v>
      </c>
      <c r="F490" s="7" t="s">
        <v>74</v>
      </c>
      <c r="G490" s="7" t="s">
        <v>76</v>
      </c>
      <c r="H490" s="7" t="s">
        <v>833</v>
      </c>
      <c r="I490" s="13">
        <v>504000</v>
      </c>
      <c r="J490" s="13">
        <v>433900</v>
      </c>
      <c r="K490" s="13">
        <v>113180</v>
      </c>
      <c r="L490" s="14">
        <f t="shared" si="21"/>
        <v>70100</v>
      </c>
      <c r="M490" s="14">
        <f t="shared" si="22"/>
        <v>320720</v>
      </c>
      <c r="N490" s="18">
        <f t="shared" si="23"/>
        <v>0.86091269841269846</v>
      </c>
      <c r="O490" s="20"/>
    </row>
    <row r="491" spans="1:15">
      <c r="A491" s="7" t="s">
        <v>802</v>
      </c>
      <c r="B491" s="7" t="s">
        <v>804</v>
      </c>
      <c r="C491" s="7" t="s">
        <v>806</v>
      </c>
      <c r="D491" s="7" t="s">
        <v>821</v>
      </c>
      <c r="E491" s="7" t="s">
        <v>72</v>
      </c>
      <c r="F491" s="7" t="s">
        <v>74</v>
      </c>
      <c r="G491" s="7" t="s">
        <v>76</v>
      </c>
      <c r="H491" s="7" t="s">
        <v>834</v>
      </c>
      <c r="I491" s="13">
        <v>5200000</v>
      </c>
      <c r="J491" s="13">
        <v>5161200</v>
      </c>
      <c r="K491" s="13">
        <v>2150500</v>
      </c>
      <c r="L491" s="14">
        <f t="shared" si="21"/>
        <v>38800</v>
      </c>
      <c r="M491" s="14">
        <f t="shared" si="22"/>
        <v>3010700</v>
      </c>
      <c r="N491" s="18">
        <f t="shared" si="23"/>
        <v>0.99253846153846159</v>
      </c>
      <c r="O491" s="20"/>
    </row>
    <row r="492" spans="1:15">
      <c r="A492" s="7" t="s">
        <v>802</v>
      </c>
      <c r="B492" s="7" t="s">
        <v>804</v>
      </c>
      <c r="C492" s="7" t="s">
        <v>806</v>
      </c>
      <c r="D492" s="7" t="s">
        <v>821</v>
      </c>
      <c r="E492" s="7" t="s">
        <v>72</v>
      </c>
      <c r="F492" s="7" t="s">
        <v>74</v>
      </c>
      <c r="G492" s="7" t="s">
        <v>76</v>
      </c>
      <c r="H492" s="7" t="s">
        <v>835</v>
      </c>
      <c r="I492" s="13">
        <v>2040000</v>
      </c>
      <c r="J492" s="13">
        <v>0</v>
      </c>
      <c r="K492" s="13">
        <v>0</v>
      </c>
      <c r="L492" s="14">
        <f t="shared" si="21"/>
        <v>2040000</v>
      </c>
      <c r="M492" s="14">
        <f t="shared" si="22"/>
        <v>0</v>
      </c>
      <c r="N492" s="18">
        <f t="shared" si="23"/>
        <v>0</v>
      </c>
      <c r="O492" s="20"/>
    </row>
    <row r="493" spans="1:15">
      <c r="A493" s="7" t="s">
        <v>802</v>
      </c>
      <c r="B493" s="7" t="s">
        <v>804</v>
      </c>
      <c r="C493" s="7" t="s">
        <v>806</v>
      </c>
      <c r="D493" s="7" t="s">
        <v>821</v>
      </c>
      <c r="E493" s="7" t="s">
        <v>72</v>
      </c>
      <c r="F493" s="7" t="s">
        <v>74</v>
      </c>
      <c r="G493" s="7" t="s">
        <v>76</v>
      </c>
      <c r="H493" s="7" t="s">
        <v>836</v>
      </c>
      <c r="I493" s="13">
        <v>2640000</v>
      </c>
      <c r="J493" s="13">
        <v>2640000</v>
      </c>
      <c r="K493" s="13">
        <v>1100000</v>
      </c>
      <c r="L493" s="14">
        <f t="shared" si="21"/>
        <v>0</v>
      </c>
      <c r="M493" s="14">
        <f t="shared" si="22"/>
        <v>1540000</v>
      </c>
      <c r="N493" s="18">
        <f t="shared" si="23"/>
        <v>1</v>
      </c>
      <c r="O493" s="20"/>
    </row>
    <row r="494" spans="1:15">
      <c r="A494" s="7" t="s">
        <v>802</v>
      </c>
      <c r="B494" s="7" t="s">
        <v>804</v>
      </c>
      <c r="C494" s="7" t="s">
        <v>806</v>
      </c>
      <c r="D494" s="7" t="s">
        <v>821</v>
      </c>
      <c r="E494" s="7" t="s">
        <v>72</v>
      </c>
      <c r="F494" s="7" t="s">
        <v>74</v>
      </c>
      <c r="G494" s="7" t="s">
        <v>76</v>
      </c>
      <c r="H494" s="7" t="s">
        <v>837</v>
      </c>
      <c r="I494" s="13">
        <v>14000000</v>
      </c>
      <c r="J494" s="13">
        <v>3650000</v>
      </c>
      <c r="K494" s="13">
        <v>2000000</v>
      </c>
      <c r="L494" s="14">
        <f t="shared" si="21"/>
        <v>10350000</v>
      </c>
      <c r="M494" s="14">
        <f t="shared" si="22"/>
        <v>1650000</v>
      </c>
      <c r="N494" s="18">
        <f t="shared" si="23"/>
        <v>0.26071428571428573</v>
      </c>
      <c r="O494" s="20"/>
    </row>
    <row r="495" spans="1:15">
      <c r="A495" s="7" t="s">
        <v>802</v>
      </c>
      <c r="B495" s="7" t="s">
        <v>804</v>
      </c>
      <c r="C495" s="7" t="s">
        <v>806</v>
      </c>
      <c r="D495" s="7" t="s">
        <v>821</v>
      </c>
      <c r="E495" s="7" t="s">
        <v>72</v>
      </c>
      <c r="F495" s="7" t="s">
        <v>74</v>
      </c>
      <c r="G495" s="7" t="s">
        <v>76</v>
      </c>
      <c r="H495" s="7" t="s">
        <v>838</v>
      </c>
      <c r="I495" s="13">
        <v>40600000</v>
      </c>
      <c r="J495" s="13">
        <v>46198930</v>
      </c>
      <c r="K495" s="13">
        <v>12486950</v>
      </c>
      <c r="L495" s="14">
        <f t="shared" si="21"/>
        <v>-5598930</v>
      </c>
      <c r="M495" s="14">
        <f t="shared" si="22"/>
        <v>33711980</v>
      </c>
      <c r="N495" s="18">
        <f t="shared" si="23"/>
        <v>1.1379046798029557</v>
      </c>
      <c r="O495" s="20"/>
    </row>
    <row r="496" spans="1:15">
      <c r="A496" s="7" t="s">
        <v>802</v>
      </c>
      <c r="B496" s="7" t="s">
        <v>804</v>
      </c>
      <c r="C496" s="7" t="s">
        <v>806</v>
      </c>
      <c r="D496" s="7" t="s">
        <v>821</v>
      </c>
      <c r="E496" s="7" t="s">
        <v>72</v>
      </c>
      <c r="F496" s="7" t="s">
        <v>74</v>
      </c>
      <c r="G496" s="7" t="s">
        <v>76</v>
      </c>
      <c r="H496" s="7" t="s">
        <v>839</v>
      </c>
      <c r="I496" s="13">
        <v>7631000</v>
      </c>
      <c r="J496" s="13">
        <v>7630200</v>
      </c>
      <c r="K496" s="13">
        <v>3815100</v>
      </c>
      <c r="L496" s="14">
        <f t="shared" si="21"/>
        <v>800</v>
      </c>
      <c r="M496" s="14">
        <f t="shared" si="22"/>
        <v>3815100</v>
      </c>
      <c r="N496" s="18">
        <f t="shared" si="23"/>
        <v>0.99989516446075222</v>
      </c>
      <c r="O496" s="20"/>
    </row>
    <row r="497" spans="1:15">
      <c r="A497" s="7" t="s">
        <v>802</v>
      </c>
      <c r="B497" s="7" t="s">
        <v>804</v>
      </c>
      <c r="C497" s="7" t="s">
        <v>806</v>
      </c>
      <c r="D497" s="7" t="s">
        <v>840</v>
      </c>
      <c r="E497" s="7" t="s">
        <v>72</v>
      </c>
      <c r="F497" s="7" t="s">
        <v>74</v>
      </c>
      <c r="G497" s="7" t="s">
        <v>76</v>
      </c>
      <c r="H497" s="7" t="s">
        <v>841</v>
      </c>
      <c r="I497" s="13">
        <v>800000</v>
      </c>
      <c r="J497" s="13">
        <v>346120</v>
      </c>
      <c r="K497" s="13">
        <v>346120</v>
      </c>
      <c r="L497" s="14">
        <f t="shared" si="21"/>
        <v>453880</v>
      </c>
      <c r="M497" s="14">
        <f t="shared" si="22"/>
        <v>0</v>
      </c>
      <c r="N497" s="18">
        <f t="shared" si="23"/>
        <v>0.43264999999999998</v>
      </c>
      <c r="O497" s="20"/>
    </row>
    <row r="498" spans="1:15">
      <c r="A498" s="7" t="s">
        <v>802</v>
      </c>
      <c r="B498" s="7" t="s">
        <v>804</v>
      </c>
      <c r="C498" s="7" t="s">
        <v>806</v>
      </c>
      <c r="D498" s="7" t="s">
        <v>840</v>
      </c>
      <c r="E498" s="7" t="s">
        <v>72</v>
      </c>
      <c r="F498" s="7" t="s">
        <v>74</v>
      </c>
      <c r="G498" s="7" t="s">
        <v>76</v>
      </c>
      <c r="H498" s="7" t="s">
        <v>842</v>
      </c>
      <c r="I498" s="13">
        <v>2892000</v>
      </c>
      <c r="J498" s="13">
        <v>836000</v>
      </c>
      <c r="K498" s="13">
        <v>836000</v>
      </c>
      <c r="L498" s="14">
        <f t="shared" si="21"/>
        <v>2056000</v>
      </c>
      <c r="M498" s="14">
        <f t="shared" si="22"/>
        <v>0</v>
      </c>
      <c r="N498" s="18">
        <f t="shared" si="23"/>
        <v>0.28907330567081607</v>
      </c>
      <c r="O498" s="20"/>
    </row>
    <row r="499" spans="1:15">
      <c r="A499" s="7" t="s">
        <v>802</v>
      </c>
      <c r="B499" s="7" t="s">
        <v>804</v>
      </c>
      <c r="C499" s="7" t="s">
        <v>806</v>
      </c>
      <c r="D499" s="7" t="s">
        <v>840</v>
      </c>
      <c r="E499" s="7" t="s">
        <v>72</v>
      </c>
      <c r="F499" s="7" t="s">
        <v>74</v>
      </c>
      <c r="G499" s="7" t="s">
        <v>76</v>
      </c>
      <c r="H499" s="7" t="s">
        <v>843</v>
      </c>
      <c r="I499" s="13">
        <v>7200000</v>
      </c>
      <c r="J499" s="13">
        <v>1867780</v>
      </c>
      <c r="K499" s="13">
        <v>1867780</v>
      </c>
      <c r="L499" s="14">
        <f t="shared" si="21"/>
        <v>5332220</v>
      </c>
      <c r="M499" s="14">
        <f t="shared" si="22"/>
        <v>0</v>
      </c>
      <c r="N499" s="18">
        <f t="shared" si="23"/>
        <v>0.25941388888888889</v>
      </c>
      <c r="O499" s="20"/>
    </row>
    <row r="500" spans="1:15">
      <c r="A500" s="7" t="s">
        <v>802</v>
      </c>
      <c r="B500" s="7" t="s">
        <v>804</v>
      </c>
      <c r="C500" s="7" t="s">
        <v>806</v>
      </c>
      <c r="D500" s="7" t="s">
        <v>840</v>
      </c>
      <c r="E500" s="7" t="s">
        <v>72</v>
      </c>
      <c r="F500" s="7" t="s">
        <v>74</v>
      </c>
      <c r="G500" s="7" t="s">
        <v>76</v>
      </c>
      <c r="H500" s="7" t="s">
        <v>844</v>
      </c>
      <c r="I500" s="13">
        <v>750000</v>
      </c>
      <c r="J500" s="13">
        <v>651700</v>
      </c>
      <c r="K500" s="13">
        <v>651700</v>
      </c>
      <c r="L500" s="14">
        <f t="shared" si="21"/>
        <v>98300</v>
      </c>
      <c r="M500" s="14">
        <f t="shared" si="22"/>
        <v>0</v>
      </c>
      <c r="N500" s="18">
        <f t="shared" si="23"/>
        <v>0.86893333333333334</v>
      </c>
      <c r="O500" s="20"/>
    </row>
    <row r="501" spans="1:15">
      <c r="A501" s="7" t="s">
        <v>802</v>
      </c>
      <c r="B501" s="7" t="s">
        <v>804</v>
      </c>
      <c r="C501" s="7" t="s">
        <v>806</v>
      </c>
      <c r="D501" s="7" t="s">
        <v>840</v>
      </c>
      <c r="E501" s="7" t="s">
        <v>72</v>
      </c>
      <c r="F501" s="7" t="s">
        <v>74</v>
      </c>
      <c r="G501" s="7" t="s">
        <v>76</v>
      </c>
      <c r="H501" s="7" t="s">
        <v>845</v>
      </c>
      <c r="I501" s="13">
        <v>2800000</v>
      </c>
      <c r="J501" s="13">
        <v>37200</v>
      </c>
      <c r="K501" s="13">
        <v>37200</v>
      </c>
      <c r="L501" s="14">
        <f t="shared" si="21"/>
        <v>2762800</v>
      </c>
      <c r="M501" s="14">
        <f t="shared" si="22"/>
        <v>0</v>
      </c>
      <c r="N501" s="18">
        <f t="shared" si="23"/>
        <v>1.3285714285714286E-2</v>
      </c>
      <c r="O501" s="20"/>
    </row>
    <row r="502" spans="1:15">
      <c r="A502" s="7" t="s">
        <v>802</v>
      </c>
      <c r="B502" s="7" t="s">
        <v>804</v>
      </c>
      <c r="C502" s="7" t="s">
        <v>806</v>
      </c>
      <c r="D502" s="7" t="s">
        <v>840</v>
      </c>
      <c r="E502" s="7" t="s">
        <v>72</v>
      </c>
      <c r="F502" s="7" t="s">
        <v>74</v>
      </c>
      <c r="G502" s="7" t="s">
        <v>76</v>
      </c>
      <c r="H502" s="7" t="s">
        <v>846</v>
      </c>
      <c r="I502" s="13">
        <v>725000</v>
      </c>
      <c r="J502" s="13">
        <v>0</v>
      </c>
      <c r="K502" s="13">
        <v>0</v>
      </c>
      <c r="L502" s="14">
        <f t="shared" si="21"/>
        <v>725000</v>
      </c>
      <c r="M502" s="14">
        <f t="shared" si="22"/>
        <v>0</v>
      </c>
      <c r="N502" s="18">
        <f t="shared" si="23"/>
        <v>0</v>
      </c>
      <c r="O502" s="20"/>
    </row>
    <row r="503" spans="1:15">
      <c r="A503" s="7" t="s">
        <v>802</v>
      </c>
      <c r="B503" s="7" t="s">
        <v>804</v>
      </c>
      <c r="C503" s="7" t="s">
        <v>806</v>
      </c>
      <c r="D503" s="7" t="s">
        <v>848</v>
      </c>
      <c r="E503" s="7" t="s">
        <v>72</v>
      </c>
      <c r="F503" s="7" t="s">
        <v>74</v>
      </c>
      <c r="G503" s="7" t="s">
        <v>76</v>
      </c>
      <c r="H503" s="7" t="s">
        <v>848</v>
      </c>
      <c r="I503" s="13">
        <v>47800000</v>
      </c>
      <c r="J503" s="13">
        <v>33882000</v>
      </c>
      <c r="K503" s="13">
        <v>27670000</v>
      </c>
      <c r="L503" s="14">
        <f t="shared" si="21"/>
        <v>13918000</v>
      </c>
      <c r="M503" s="14">
        <f t="shared" si="22"/>
        <v>6212000</v>
      </c>
      <c r="N503" s="18">
        <f t="shared" si="23"/>
        <v>0.70882845188284516</v>
      </c>
      <c r="O503" s="20"/>
    </row>
    <row r="504" spans="1:15">
      <c r="A504" s="7" t="s">
        <v>802</v>
      </c>
      <c r="B504" s="7" t="s">
        <v>804</v>
      </c>
      <c r="C504" s="7" t="s">
        <v>806</v>
      </c>
      <c r="D504" s="7" t="s">
        <v>849</v>
      </c>
      <c r="E504" s="7" t="s">
        <v>72</v>
      </c>
      <c r="F504" s="7" t="s">
        <v>74</v>
      </c>
      <c r="G504" s="7" t="s">
        <v>76</v>
      </c>
      <c r="H504" s="7" t="s">
        <v>850</v>
      </c>
      <c r="I504" s="13">
        <v>21736000</v>
      </c>
      <c r="J504" s="13">
        <v>21736000</v>
      </c>
      <c r="K504" s="13">
        <v>21736000</v>
      </c>
      <c r="L504" s="14">
        <f t="shared" si="21"/>
        <v>0</v>
      </c>
      <c r="M504" s="14">
        <f t="shared" si="22"/>
        <v>0</v>
      </c>
      <c r="N504" s="18">
        <f t="shared" si="23"/>
        <v>1</v>
      </c>
      <c r="O504" s="20"/>
    </row>
    <row r="505" spans="1:15">
      <c r="A505" s="7" t="s">
        <v>802</v>
      </c>
      <c r="B505" s="7" t="s">
        <v>804</v>
      </c>
      <c r="C505" s="7" t="s">
        <v>806</v>
      </c>
      <c r="D505" s="7" t="s">
        <v>849</v>
      </c>
      <c r="E505" s="7" t="s">
        <v>192</v>
      </c>
      <c r="F505" s="7" t="s">
        <v>192</v>
      </c>
      <c r="G505" s="7" t="s">
        <v>192</v>
      </c>
      <c r="H505" s="7" t="s">
        <v>851</v>
      </c>
      <c r="I505" s="13">
        <v>15094000</v>
      </c>
      <c r="J505" s="13">
        <v>15094000</v>
      </c>
      <c r="K505" s="13">
        <v>15094000</v>
      </c>
      <c r="L505" s="14">
        <f t="shared" si="21"/>
        <v>0</v>
      </c>
      <c r="M505" s="14">
        <f t="shared" si="22"/>
        <v>0</v>
      </c>
      <c r="N505" s="18">
        <f t="shared" si="23"/>
        <v>1</v>
      </c>
      <c r="O505" s="20"/>
    </row>
    <row r="506" spans="1:15">
      <c r="A506" s="7" t="s">
        <v>802</v>
      </c>
      <c r="B506" s="7" t="s">
        <v>804</v>
      </c>
      <c r="C506" s="7" t="s">
        <v>806</v>
      </c>
      <c r="D506" s="7" t="s">
        <v>852</v>
      </c>
      <c r="E506" s="7" t="s">
        <v>72</v>
      </c>
      <c r="F506" s="7" t="s">
        <v>74</v>
      </c>
      <c r="G506" s="7" t="s">
        <v>76</v>
      </c>
      <c r="H506" s="7" t="s">
        <v>853</v>
      </c>
      <c r="I506" s="13">
        <v>6170000</v>
      </c>
      <c r="J506" s="13">
        <v>0</v>
      </c>
      <c r="K506" s="13">
        <v>0</v>
      </c>
      <c r="L506" s="14">
        <f t="shared" si="21"/>
        <v>6170000</v>
      </c>
      <c r="M506" s="14">
        <f t="shared" si="22"/>
        <v>0</v>
      </c>
      <c r="N506" s="18">
        <f t="shared" si="23"/>
        <v>0</v>
      </c>
      <c r="O506" s="20"/>
    </row>
    <row r="507" spans="1:15">
      <c r="A507" s="7" t="s">
        <v>802</v>
      </c>
      <c r="B507" s="7" t="s">
        <v>804</v>
      </c>
      <c r="C507" s="7" t="s">
        <v>806</v>
      </c>
      <c r="D507" s="7" t="s">
        <v>854</v>
      </c>
      <c r="E507" s="7" t="s">
        <v>192</v>
      </c>
      <c r="F507" s="7" t="s">
        <v>192</v>
      </c>
      <c r="G507" s="7" t="s">
        <v>192</v>
      </c>
      <c r="H507" s="7" t="s">
        <v>855</v>
      </c>
      <c r="I507" s="13">
        <v>17000000</v>
      </c>
      <c r="J507" s="13">
        <v>17000000</v>
      </c>
      <c r="K507" s="13">
        <v>17000000</v>
      </c>
      <c r="L507" s="14">
        <f t="shared" si="21"/>
        <v>0</v>
      </c>
      <c r="M507" s="14">
        <f t="shared" si="22"/>
        <v>0</v>
      </c>
      <c r="N507" s="18">
        <f t="shared" si="23"/>
        <v>1</v>
      </c>
      <c r="O507" s="20"/>
    </row>
    <row r="508" spans="1:15">
      <c r="A508" s="7" t="s">
        <v>802</v>
      </c>
      <c r="B508" s="7" t="s">
        <v>804</v>
      </c>
      <c r="C508" s="7" t="s">
        <v>806</v>
      </c>
      <c r="D508" s="7" t="s">
        <v>856</v>
      </c>
      <c r="E508" s="7" t="s">
        <v>192</v>
      </c>
      <c r="F508" s="7" t="s">
        <v>192</v>
      </c>
      <c r="G508" s="7" t="s">
        <v>192</v>
      </c>
      <c r="H508" s="7" t="s">
        <v>857</v>
      </c>
      <c r="I508" s="13">
        <v>28000000</v>
      </c>
      <c r="J508" s="13">
        <v>28000000</v>
      </c>
      <c r="K508" s="13">
        <v>28000000</v>
      </c>
      <c r="L508" s="14">
        <f t="shared" si="21"/>
        <v>0</v>
      </c>
      <c r="M508" s="14">
        <f t="shared" si="22"/>
        <v>0</v>
      </c>
      <c r="N508" s="18">
        <f t="shared" si="23"/>
        <v>1</v>
      </c>
      <c r="O508" s="20"/>
    </row>
    <row r="509" spans="1:15">
      <c r="A509" s="7" t="s">
        <v>802</v>
      </c>
      <c r="B509" s="7" t="s">
        <v>859</v>
      </c>
      <c r="C509" s="7" t="s">
        <v>861</v>
      </c>
      <c r="D509" s="7" t="s">
        <v>862</v>
      </c>
      <c r="E509" s="7" t="s">
        <v>72</v>
      </c>
      <c r="F509" s="7" t="s">
        <v>74</v>
      </c>
      <c r="G509" s="7" t="s">
        <v>76</v>
      </c>
      <c r="H509" s="7" t="s">
        <v>863</v>
      </c>
      <c r="I509" s="13">
        <v>500000</v>
      </c>
      <c r="J509" s="13">
        <v>316550</v>
      </c>
      <c r="K509" s="13">
        <v>316550</v>
      </c>
      <c r="L509" s="14">
        <f t="shared" si="21"/>
        <v>183450</v>
      </c>
      <c r="M509" s="14">
        <f t="shared" si="22"/>
        <v>0</v>
      </c>
      <c r="N509" s="18">
        <f t="shared" si="23"/>
        <v>0.6331</v>
      </c>
      <c r="O509" s="20"/>
    </row>
    <row r="510" spans="1:15">
      <c r="A510" s="7" t="s">
        <v>802</v>
      </c>
      <c r="B510" s="7" t="s">
        <v>859</v>
      </c>
      <c r="C510" s="7" t="s">
        <v>861</v>
      </c>
      <c r="D510" s="7" t="s">
        <v>862</v>
      </c>
      <c r="E510" s="7" t="s">
        <v>72</v>
      </c>
      <c r="F510" s="7" t="s">
        <v>74</v>
      </c>
      <c r="G510" s="7" t="s">
        <v>79</v>
      </c>
      <c r="H510" s="7" t="s">
        <v>864</v>
      </c>
      <c r="I510" s="13">
        <v>800000</v>
      </c>
      <c r="J510" s="13">
        <v>400000</v>
      </c>
      <c r="K510" s="13">
        <v>400000</v>
      </c>
      <c r="L510" s="14">
        <f t="shared" si="21"/>
        <v>400000</v>
      </c>
      <c r="M510" s="14">
        <f t="shared" si="22"/>
        <v>0</v>
      </c>
      <c r="N510" s="18">
        <f t="shared" si="23"/>
        <v>0.5</v>
      </c>
      <c r="O510" s="20"/>
    </row>
    <row r="511" spans="1:15">
      <c r="A511" s="7" t="s">
        <v>802</v>
      </c>
      <c r="B511" s="7" t="s">
        <v>859</v>
      </c>
      <c r="C511" s="7" t="s">
        <v>861</v>
      </c>
      <c r="D511" s="7" t="s">
        <v>862</v>
      </c>
      <c r="E511" s="7" t="s">
        <v>87</v>
      </c>
      <c r="F511" s="7" t="s">
        <v>89</v>
      </c>
      <c r="G511" s="7" t="s">
        <v>89</v>
      </c>
      <c r="H511" s="7" t="s">
        <v>865</v>
      </c>
      <c r="I511" s="13">
        <v>200000</v>
      </c>
      <c r="J511" s="13">
        <v>0</v>
      </c>
      <c r="K511" s="13">
        <v>0</v>
      </c>
      <c r="L511" s="14">
        <f t="shared" si="21"/>
        <v>200000</v>
      </c>
      <c r="M511" s="14">
        <f t="shared" si="22"/>
        <v>0</v>
      </c>
      <c r="N511" s="18">
        <f t="shared" si="23"/>
        <v>0</v>
      </c>
      <c r="O511" s="20"/>
    </row>
    <row r="512" spans="1:15">
      <c r="A512" s="7" t="s">
        <v>802</v>
      </c>
      <c r="B512" s="7" t="s">
        <v>867</v>
      </c>
      <c r="C512" s="7" t="s">
        <v>869</v>
      </c>
      <c r="D512" s="7" t="s">
        <v>870</v>
      </c>
      <c r="E512" s="7" t="s">
        <v>87</v>
      </c>
      <c r="F512" s="7" t="s">
        <v>89</v>
      </c>
      <c r="G512" s="7" t="s">
        <v>89</v>
      </c>
      <c r="H512" s="7" t="s">
        <v>871</v>
      </c>
      <c r="I512" s="13">
        <v>3240000</v>
      </c>
      <c r="J512" s="13">
        <v>2101100</v>
      </c>
      <c r="K512" s="13">
        <v>2101100</v>
      </c>
      <c r="L512" s="14">
        <f t="shared" si="21"/>
        <v>1138900</v>
      </c>
      <c r="M512" s="14">
        <f t="shared" si="22"/>
        <v>0</v>
      </c>
      <c r="N512" s="18">
        <f t="shared" si="23"/>
        <v>0.64848765432098765</v>
      </c>
      <c r="O512" s="20"/>
    </row>
    <row r="513" spans="1:15">
      <c r="A513" s="7" t="s">
        <v>802</v>
      </c>
      <c r="B513" s="7" t="s">
        <v>867</v>
      </c>
      <c r="C513" s="7" t="s">
        <v>869</v>
      </c>
      <c r="D513" s="7" t="s">
        <v>870</v>
      </c>
      <c r="E513" s="7" t="s">
        <v>87</v>
      </c>
      <c r="F513" s="7" t="s">
        <v>89</v>
      </c>
      <c r="G513" s="7" t="s">
        <v>873</v>
      </c>
      <c r="H513" s="7" t="s">
        <v>874</v>
      </c>
      <c r="I513" s="13">
        <v>3960000</v>
      </c>
      <c r="J513" s="13">
        <v>3816000</v>
      </c>
      <c r="K513" s="13">
        <v>1590000</v>
      </c>
      <c r="L513" s="14">
        <f t="shared" si="21"/>
        <v>144000</v>
      </c>
      <c r="M513" s="14">
        <f t="shared" si="22"/>
        <v>2226000</v>
      </c>
      <c r="N513" s="18">
        <f t="shared" si="23"/>
        <v>0.96363636363636362</v>
      </c>
      <c r="O513" s="20"/>
    </row>
    <row r="514" spans="1:15">
      <c r="A514" s="7" t="s">
        <v>802</v>
      </c>
      <c r="B514" s="7" t="s">
        <v>867</v>
      </c>
      <c r="C514" s="7" t="s">
        <v>869</v>
      </c>
      <c r="D514" s="7" t="s">
        <v>875</v>
      </c>
      <c r="E514" s="7" t="s">
        <v>72</v>
      </c>
      <c r="F514" s="7" t="s">
        <v>74</v>
      </c>
      <c r="G514" s="7" t="s">
        <v>76</v>
      </c>
      <c r="H514" s="7" t="s">
        <v>876</v>
      </c>
      <c r="I514" s="13">
        <v>1500000</v>
      </c>
      <c r="J514" s="13">
        <v>1124380</v>
      </c>
      <c r="K514" s="13">
        <v>1124380</v>
      </c>
      <c r="L514" s="14">
        <f t="shared" si="21"/>
        <v>375620</v>
      </c>
      <c r="M514" s="14">
        <f t="shared" si="22"/>
        <v>0</v>
      </c>
      <c r="N514" s="18">
        <f t="shared" si="23"/>
        <v>0.74958666666666662</v>
      </c>
      <c r="O514" s="20"/>
    </row>
    <row r="515" spans="1:15">
      <c r="A515" s="7" t="s">
        <v>802</v>
      </c>
      <c r="B515" s="7" t="s">
        <v>867</v>
      </c>
      <c r="C515" s="7" t="s">
        <v>869</v>
      </c>
      <c r="D515" s="7" t="s">
        <v>875</v>
      </c>
      <c r="E515" s="7" t="s">
        <v>72</v>
      </c>
      <c r="F515" s="7" t="s">
        <v>74</v>
      </c>
      <c r="G515" s="7" t="s">
        <v>76</v>
      </c>
      <c r="H515" s="7" t="s">
        <v>877</v>
      </c>
      <c r="I515" s="13">
        <v>2000000</v>
      </c>
      <c r="J515" s="13">
        <v>5749020</v>
      </c>
      <c r="K515" s="13">
        <v>1728910</v>
      </c>
      <c r="L515" s="14">
        <f t="shared" si="21"/>
        <v>-3749020</v>
      </c>
      <c r="M515" s="14">
        <f t="shared" si="22"/>
        <v>4020110</v>
      </c>
      <c r="N515" s="18">
        <f t="shared" si="23"/>
        <v>2.8745099999999999</v>
      </c>
      <c r="O515" s="20"/>
    </row>
    <row r="516" spans="1:15">
      <c r="A516" s="7" t="s">
        <v>802</v>
      </c>
      <c r="B516" s="7" t="s">
        <v>867</v>
      </c>
      <c r="C516" s="7" t="s">
        <v>869</v>
      </c>
      <c r="D516" s="7" t="s">
        <v>875</v>
      </c>
      <c r="E516" s="7" t="s">
        <v>72</v>
      </c>
      <c r="F516" s="7" t="s">
        <v>74</v>
      </c>
      <c r="G516" s="7" t="s">
        <v>76</v>
      </c>
      <c r="H516" s="7" t="s">
        <v>878</v>
      </c>
      <c r="I516" s="13">
        <v>2000000</v>
      </c>
      <c r="J516" s="13">
        <v>3096000</v>
      </c>
      <c r="K516" s="13">
        <v>3096000</v>
      </c>
      <c r="L516" s="14">
        <f t="shared" ref="L516:L527" si="24">I516-J516</f>
        <v>-1096000</v>
      </c>
      <c r="M516" s="14">
        <f t="shared" ref="M516:M527" si="25">J516-K516</f>
        <v>0</v>
      </c>
      <c r="N516" s="18">
        <f t="shared" ref="N516:N528" si="26">IFERROR(J516/I516,0)</f>
        <v>1.548</v>
      </c>
      <c r="O516" s="20"/>
    </row>
    <row r="517" spans="1:15">
      <c r="A517" s="7" t="s">
        <v>802</v>
      </c>
      <c r="B517" s="7" t="s">
        <v>867</v>
      </c>
      <c r="C517" s="7" t="s">
        <v>869</v>
      </c>
      <c r="D517" s="7" t="s">
        <v>875</v>
      </c>
      <c r="E517" s="7" t="s">
        <v>72</v>
      </c>
      <c r="F517" s="7" t="s">
        <v>74</v>
      </c>
      <c r="G517" s="7" t="s">
        <v>880</v>
      </c>
      <c r="H517" s="7" t="s">
        <v>881</v>
      </c>
      <c r="I517" s="13">
        <v>13000000</v>
      </c>
      <c r="J517" s="13">
        <v>2090000</v>
      </c>
      <c r="K517" s="13">
        <v>2090000</v>
      </c>
      <c r="L517" s="14">
        <f t="shared" si="24"/>
        <v>10910000</v>
      </c>
      <c r="M517" s="14">
        <f t="shared" si="25"/>
        <v>0</v>
      </c>
      <c r="N517" s="18">
        <f t="shared" si="26"/>
        <v>0.16076923076923078</v>
      </c>
      <c r="O517" s="20"/>
    </row>
    <row r="518" spans="1:15">
      <c r="A518" s="7" t="s">
        <v>802</v>
      </c>
      <c r="B518" s="7" t="s">
        <v>867</v>
      </c>
      <c r="C518" s="7" t="s">
        <v>869</v>
      </c>
      <c r="D518" s="7" t="s">
        <v>875</v>
      </c>
      <c r="E518" s="7" t="s">
        <v>72</v>
      </c>
      <c r="F518" s="7" t="s">
        <v>74</v>
      </c>
      <c r="G518" s="7" t="s">
        <v>880</v>
      </c>
      <c r="H518" s="7" t="s">
        <v>882</v>
      </c>
      <c r="I518" s="13">
        <v>300000</v>
      </c>
      <c r="J518" s="13">
        <v>195000</v>
      </c>
      <c r="K518" s="13">
        <v>195000</v>
      </c>
      <c r="L518" s="14">
        <f t="shared" si="24"/>
        <v>105000</v>
      </c>
      <c r="M518" s="14">
        <f t="shared" si="25"/>
        <v>0</v>
      </c>
      <c r="N518" s="18">
        <f t="shared" si="26"/>
        <v>0.65</v>
      </c>
      <c r="O518" s="20"/>
    </row>
    <row r="519" spans="1:15">
      <c r="A519" s="7" t="s">
        <v>802</v>
      </c>
      <c r="B519" s="7" t="s">
        <v>867</v>
      </c>
      <c r="C519" s="7" t="s">
        <v>869</v>
      </c>
      <c r="D519" s="7" t="s">
        <v>875</v>
      </c>
      <c r="E519" s="7" t="s">
        <v>72</v>
      </c>
      <c r="F519" s="7" t="s">
        <v>74</v>
      </c>
      <c r="G519" s="7" t="s">
        <v>82</v>
      </c>
      <c r="H519" s="7" t="s">
        <v>883</v>
      </c>
      <c r="I519" s="13">
        <v>150000</v>
      </c>
      <c r="J519" s="13">
        <v>0</v>
      </c>
      <c r="K519" s="13">
        <v>0</v>
      </c>
      <c r="L519" s="14">
        <f t="shared" si="24"/>
        <v>150000</v>
      </c>
      <c r="M519" s="14">
        <f t="shared" si="25"/>
        <v>0</v>
      </c>
      <c r="N519" s="18">
        <f t="shared" si="26"/>
        <v>0</v>
      </c>
      <c r="O519" s="20"/>
    </row>
    <row r="520" spans="1:15">
      <c r="A520" s="7" t="s">
        <v>802</v>
      </c>
      <c r="B520" s="7" t="s">
        <v>867</v>
      </c>
      <c r="C520" s="7" t="s">
        <v>869</v>
      </c>
      <c r="D520" s="7" t="s">
        <v>875</v>
      </c>
      <c r="E520" s="7" t="s">
        <v>72</v>
      </c>
      <c r="F520" s="7" t="s">
        <v>74</v>
      </c>
      <c r="G520" s="7" t="s">
        <v>82</v>
      </c>
      <c r="H520" s="7" t="s">
        <v>884</v>
      </c>
      <c r="I520" s="13">
        <v>1480000</v>
      </c>
      <c r="J520" s="13">
        <v>650400</v>
      </c>
      <c r="K520" s="13">
        <v>650400</v>
      </c>
      <c r="L520" s="14">
        <f t="shared" si="24"/>
        <v>829600</v>
      </c>
      <c r="M520" s="14">
        <f t="shared" si="25"/>
        <v>0</v>
      </c>
      <c r="N520" s="18">
        <f t="shared" si="26"/>
        <v>0.43945945945945947</v>
      </c>
      <c r="O520" s="20"/>
    </row>
    <row r="521" spans="1:15">
      <c r="A521" s="7" t="s">
        <v>802</v>
      </c>
      <c r="B521" s="7" t="s">
        <v>867</v>
      </c>
      <c r="C521" s="7" t="s">
        <v>869</v>
      </c>
      <c r="D521" s="7" t="s">
        <v>875</v>
      </c>
      <c r="E521" s="7" t="s">
        <v>87</v>
      </c>
      <c r="F521" s="7" t="s">
        <v>89</v>
      </c>
      <c r="G521" s="7" t="s">
        <v>89</v>
      </c>
      <c r="H521" s="7" t="s">
        <v>885</v>
      </c>
      <c r="I521" s="13">
        <v>400000</v>
      </c>
      <c r="J521" s="13">
        <v>423290</v>
      </c>
      <c r="K521" s="13">
        <v>423290</v>
      </c>
      <c r="L521" s="14">
        <f t="shared" si="24"/>
        <v>-23290</v>
      </c>
      <c r="M521" s="14">
        <f t="shared" si="25"/>
        <v>0</v>
      </c>
      <c r="N521" s="18">
        <f t="shared" si="26"/>
        <v>1.058225</v>
      </c>
      <c r="O521" s="20"/>
    </row>
    <row r="522" spans="1:15">
      <c r="A522" s="7" t="s">
        <v>802</v>
      </c>
      <c r="B522" s="7" t="s">
        <v>867</v>
      </c>
      <c r="C522" s="7" t="s">
        <v>869</v>
      </c>
      <c r="D522" s="7" t="s">
        <v>875</v>
      </c>
      <c r="E522" s="7" t="s">
        <v>87</v>
      </c>
      <c r="F522" s="7" t="s">
        <v>89</v>
      </c>
      <c r="G522" s="7" t="s">
        <v>89</v>
      </c>
      <c r="H522" s="7" t="s">
        <v>886</v>
      </c>
      <c r="I522" s="13">
        <v>1500000</v>
      </c>
      <c r="J522" s="13">
        <v>1038000</v>
      </c>
      <c r="K522" s="13">
        <v>1038000</v>
      </c>
      <c r="L522" s="14">
        <f t="shared" si="24"/>
        <v>462000</v>
      </c>
      <c r="M522" s="14">
        <f t="shared" si="25"/>
        <v>0</v>
      </c>
      <c r="N522" s="18">
        <f t="shared" si="26"/>
        <v>0.69199999999999995</v>
      </c>
      <c r="O522" s="20"/>
    </row>
    <row r="523" spans="1:15">
      <c r="A523" s="7" t="s">
        <v>802</v>
      </c>
      <c r="B523" s="7" t="s">
        <v>867</v>
      </c>
      <c r="C523" s="7" t="s">
        <v>869</v>
      </c>
      <c r="D523" s="7" t="s">
        <v>875</v>
      </c>
      <c r="E523" s="7" t="s">
        <v>192</v>
      </c>
      <c r="F523" s="7" t="s">
        <v>192</v>
      </c>
      <c r="G523" s="7" t="s">
        <v>192</v>
      </c>
      <c r="H523" s="7" t="s">
        <v>887</v>
      </c>
      <c r="I523" s="13">
        <v>8000000</v>
      </c>
      <c r="J523" s="13">
        <v>7999090</v>
      </c>
      <c r="K523" s="13">
        <v>4944090</v>
      </c>
      <c r="L523" s="14">
        <f t="shared" si="24"/>
        <v>910</v>
      </c>
      <c r="M523" s="14">
        <f t="shared" si="25"/>
        <v>3055000</v>
      </c>
      <c r="N523" s="18">
        <f t="shared" si="26"/>
        <v>0.99988624999999998</v>
      </c>
      <c r="O523" s="20"/>
    </row>
    <row r="524" spans="1:15">
      <c r="A524" s="7" t="s">
        <v>802</v>
      </c>
      <c r="B524" s="7" t="s">
        <v>867</v>
      </c>
      <c r="C524" s="7" t="s">
        <v>889</v>
      </c>
      <c r="D524" s="7" t="s">
        <v>890</v>
      </c>
      <c r="E524" s="7" t="s">
        <v>72</v>
      </c>
      <c r="F524" s="7" t="s">
        <v>124</v>
      </c>
      <c r="G524" s="7" t="s">
        <v>138</v>
      </c>
      <c r="H524" s="7" t="s">
        <v>891</v>
      </c>
      <c r="I524" s="13">
        <v>2000000</v>
      </c>
      <c r="J524" s="13">
        <v>540820</v>
      </c>
      <c r="K524" s="13">
        <v>540820</v>
      </c>
      <c r="L524" s="14">
        <f t="shared" si="24"/>
        <v>1459180</v>
      </c>
      <c r="M524" s="14">
        <f t="shared" si="25"/>
        <v>0</v>
      </c>
      <c r="N524" s="18">
        <f t="shared" si="26"/>
        <v>0.27040999999999998</v>
      </c>
      <c r="O524" s="20"/>
    </row>
    <row r="525" spans="1:15">
      <c r="A525" s="7" t="s">
        <v>802</v>
      </c>
      <c r="B525" s="7" t="s">
        <v>867</v>
      </c>
      <c r="C525" s="7" t="s">
        <v>889</v>
      </c>
      <c r="D525" s="7" t="s">
        <v>892</v>
      </c>
      <c r="E525" s="7" t="s">
        <v>72</v>
      </c>
      <c r="F525" s="7" t="s">
        <v>74</v>
      </c>
      <c r="G525" s="7" t="s">
        <v>76</v>
      </c>
      <c r="H525" s="7" t="s">
        <v>893</v>
      </c>
      <c r="I525" s="13">
        <v>14423000</v>
      </c>
      <c r="J525" s="13">
        <v>11621020</v>
      </c>
      <c r="K525" s="13">
        <v>11621020</v>
      </c>
      <c r="L525" s="14">
        <f t="shared" si="24"/>
        <v>2801980</v>
      </c>
      <c r="M525" s="14">
        <f t="shared" si="25"/>
        <v>0</v>
      </c>
      <c r="N525" s="18">
        <f t="shared" si="26"/>
        <v>0.80572835055120295</v>
      </c>
      <c r="O525" s="20"/>
    </row>
    <row r="526" spans="1:15">
      <c r="A526" s="7" t="s">
        <v>802</v>
      </c>
      <c r="B526" s="7" t="s">
        <v>867</v>
      </c>
      <c r="C526" s="7" t="s">
        <v>889</v>
      </c>
      <c r="D526" s="7" t="s">
        <v>892</v>
      </c>
      <c r="E526" s="7" t="s">
        <v>72</v>
      </c>
      <c r="F526" s="7" t="s">
        <v>74</v>
      </c>
      <c r="G526" s="7" t="s">
        <v>76</v>
      </c>
      <c r="H526" s="7" t="s">
        <v>894</v>
      </c>
      <c r="I526" s="13">
        <v>310000</v>
      </c>
      <c r="J526" s="13">
        <v>309000</v>
      </c>
      <c r="K526" s="13">
        <v>309000</v>
      </c>
      <c r="L526" s="14">
        <f t="shared" si="24"/>
        <v>1000</v>
      </c>
      <c r="M526" s="14">
        <f t="shared" si="25"/>
        <v>0</v>
      </c>
      <c r="N526" s="18">
        <f t="shared" si="26"/>
        <v>0.99677419354838714</v>
      </c>
      <c r="O526" s="20"/>
    </row>
    <row r="527" spans="1:15">
      <c r="A527" s="7" t="s">
        <v>896</v>
      </c>
      <c r="B527" s="7" t="s">
        <v>898</v>
      </c>
      <c r="C527" s="7" t="s">
        <v>900</v>
      </c>
      <c r="D527" s="7" t="s">
        <v>901</v>
      </c>
      <c r="E527" s="7" t="s">
        <v>903</v>
      </c>
      <c r="F527" s="7" t="s">
        <v>903</v>
      </c>
      <c r="G527" s="7" t="s">
        <v>903</v>
      </c>
      <c r="H527" s="7" t="s">
        <v>906</v>
      </c>
      <c r="I527" s="13">
        <v>6000000</v>
      </c>
      <c r="J527" s="13">
        <v>0</v>
      </c>
      <c r="K527" s="13">
        <v>0</v>
      </c>
      <c r="L527" s="14">
        <f t="shared" si="24"/>
        <v>6000000</v>
      </c>
      <c r="M527" s="14">
        <f t="shared" si="25"/>
        <v>0</v>
      </c>
      <c r="N527" s="18">
        <f t="shared" si="26"/>
        <v>0</v>
      </c>
      <c r="O527" s="20"/>
    </row>
    <row r="528" spans="1:15">
      <c r="A528" s="45" t="s">
        <v>928</v>
      </c>
      <c r="B528" s="46"/>
      <c r="C528" s="46"/>
      <c r="D528" s="46"/>
      <c r="E528" s="46"/>
      <c r="F528" s="46"/>
      <c r="G528" s="46"/>
      <c r="H528" s="47"/>
      <c r="I528" s="15">
        <f>SUM(I4:I527)</f>
        <v>2341568000</v>
      </c>
      <c r="J528" s="15">
        <f>SUM(J4:J527)</f>
        <v>1311300066</v>
      </c>
      <c r="K528" s="15">
        <f>SUM(K4:K527)</f>
        <v>1122881466</v>
      </c>
      <c r="L528" s="15">
        <f>SUM(L4:L527)</f>
        <v>1030267934</v>
      </c>
      <c r="M528" s="15">
        <f>SUM(M4:M527)</f>
        <v>188418600</v>
      </c>
      <c r="N528" s="19">
        <f t="shared" si="26"/>
        <v>0.56000938943477196</v>
      </c>
      <c r="O528" s="15">
        <f>SUM(O4:O527)</f>
        <v>0</v>
      </c>
    </row>
  </sheetData>
  <autoFilter ref="A3:O527" xr:uid="{4AEC0E02-3E31-4A18-B659-4EC4B73CABD2}"/>
  <mergeCells count="1">
    <mergeCell ref="A528:H528"/>
  </mergeCells>
  <phoneticPr fontId="1" type="noConversion"/>
  <conditionalFormatting sqref="L4:L527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conditionalFormatting sqref="M4:M527">
    <cfRule type="cellIs" dxfId="1" priority="3" stopIfTrue="1" operator="not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4D03D-6FCA-4D9B-A6A8-F3016992ECCE}">
  <dimension ref="A1:F42"/>
  <sheetViews>
    <sheetView workbookViewId="0">
      <pane ySplit="3" topLeftCell="A4" activePane="bottomLeft" state="frozen"/>
      <selection pane="bottomLeft" activeCell="A4" sqref="A4"/>
    </sheetView>
  </sheetViews>
  <sheetFormatPr defaultRowHeight="17.399999999999999"/>
  <cols>
    <col min="1" max="1" width="21.59765625" style="21" bestFit="1" customWidth="1"/>
    <col min="2" max="2" width="22.19921875" style="21" bestFit="1" customWidth="1"/>
    <col min="3" max="3" width="24.09765625" style="21" bestFit="1" customWidth="1"/>
    <col min="4" max="4" width="13.19921875" style="21" bestFit="1" customWidth="1"/>
    <col min="5" max="5" width="16.3984375" style="21" bestFit="1" customWidth="1"/>
    <col min="6" max="6" width="10.796875" style="21" bestFit="1" customWidth="1"/>
    <col min="7" max="16384" width="8.796875" style="21"/>
  </cols>
  <sheetData>
    <row r="1" spans="1:6" ht="25.2">
      <c r="A1" s="41" t="s">
        <v>929</v>
      </c>
      <c r="B1" s="41"/>
      <c r="C1" s="41"/>
      <c r="D1" s="41"/>
      <c r="E1" s="41"/>
      <c r="F1" s="41"/>
    </row>
    <row r="3" spans="1:6">
      <c r="A3" s="22" t="s">
        <v>14</v>
      </c>
      <c r="B3" s="22" t="s">
        <v>16</v>
      </c>
      <c r="C3" s="22" t="s">
        <v>18</v>
      </c>
      <c r="D3" s="22" t="s">
        <v>916</v>
      </c>
      <c r="E3" s="22" t="s">
        <v>918</v>
      </c>
      <c r="F3" s="22" t="s">
        <v>930</v>
      </c>
    </row>
    <row r="4" spans="1:6">
      <c r="A4" s="23" t="s">
        <v>682</v>
      </c>
      <c r="B4" s="23" t="s">
        <v>684</v>
      </c>
      <c r="C4" s="23" t="s">
        <v>686</v>
      </c>
      <c r="D4" s="24">
        <v>41028000</v>
      </c>
      <c r="E4" s="24">
        <v>13823840</v>
      </c>
      <c r="F4" s="25">
        <f t="shared" ref="F4:F41" si="0">E4/D4</f>
        <v>0.33693672613824704</v>
      </c>
    </row>
    <row r="5" spans="1:6">
      <c r="A5" s="23" t="s">
        <v>682</v>
      </c>
      <c r="B5" s="23" t="s">
        <v>761</v>
      </c>
      <c r="C5" s="23" t="s">
        <v>763</v>
      </c>
      <c r="D5" s="24">
        <v>150000000</v>
      </c>
      <c r="E5" s="24">
        <v>0</v>
      </c>
      <c r="F5" s="25">
        <f t="shared" si="0"/>
        <v>0</v>
      </c>
    </row>
    <row r="6" spans="1:6">
      <c r="A6" s="23" t="s">
        <v>682</v>
      </c>
      <c r="B6" s="23" t="s">
        <v>768</v>
      </c>
      <c r="C6" s="23" t="s">
        <v>783</v>
      </c>
      <c r="D6" s="24">
        <v>46447000</v>
      </c>
      <c r="E6" s="24">
        <v>32659210</v>
      </c>
      <c r="F6" s="25">
        <f t="shared" si="0"/>
        <v>0.70315004198333586</v>
      </c>
    </row>
    <row r="7" spans="1:6">
      <c r="A7" s="23" t="s">
        <v>682</v>
      </c>
      <c r="B7" s="23" t="s">
        <v>768</v>
      </c>
      <c r="C7" s="23" t="s">
        <v>770</v>
      </c>
      <c r="D7" s="24">
        <v>6000000</v>
      </c>
      <c r="E7" s="24">
        <v>1455880</v>
      </c>
      <c r="F7" s="25">
        <f t="shared" si="0"/>
        <v>0.24264666666666668</v>
      </c>
    </row>
    <row r="8" spans="1:6">
      <c r="A8" s="23" t="s">
        <v>682</v>
      </c>
      <c r="B8" s="23" t="s">
        <v>768</v>
      </c>
      <c r="C8" s="23" t="s">
        <v>796</v>
      </c>
      <c r="D8" s="24">
        <v>1750000</v>
      </c>
      <c r="E8" s="24">
        <v>849150</v>
      </c>
      <c r="F8" s="25">
        <f t="shared" si="0"/>
        <v>0.48522857142857145</v>
      </c>
    </row>
    <row r="9" spans="1:6">
      <c r="A9" s="23" t="s">
        <v>682</v>
      </c>
      <c r="B9" s="23" t="s">
        <v>714</v>
      </c>
      <c r="C9" s="23" t="s">
        <v>716</v>
      </c>
      <c r="D9" s="24">
        <v>50520000</v>
      </c>
      <c r="E9" s="24">
        <v>22878230</v>
      </c>
      <c r="F9" s="25">
        <f t="shared" si="0"/>
        <v>0.45285490894695168</v>
      </c>
    </row>
    <row r="10" spans="1:6">
      <c r="A10" s="23" t="s">
        <v>682</v>
      </c>
      <c r="B10" s="23" t="s">
        <v>744</v>
      </c>
      <c r="C10" s="23" t="s">
        <v>746</v>
      </c>
      <c r="D10" s="24">
        <v>1200000</v>
      </c>
      <c r="E10" s="24">
        <v>427210</v>
      </c>
      <c r="F10" s="25">
        <f t="shared" si="0"/>
        <v>0.35600833333333332</v>
      </c>
    </row>
    <row r="11" spans="1:6">
      <c r="A11" s="23" t="s">
        <v>682</v>
      </c>
      <c r="B11" s="23" t="s">
        <v>744</v>
      </c>
      <c r="C11" s="23" t="s">
        <v>750</v>
      </c>
      <c r="D11" s="24">
        <v>23932000</v>
      </c>
      <c r="E11" s="24">
        <v>6314790</v>
      </c>
      <c r="F11" s="25">
        <f t="shared" si="0"/>
        <v>0.26386386428213271</v>
      </c>
    </row>
    <row r="12" spans="1:6">
      <c r="A12" s="23" t="s">
        <v>265</v>
      </c>
      <c r="B12" s="23" t="s">
        <v>267</v>
      </c>
      <c r="C12" s="23" t="s">
        <v>305</v>
      </c>
      <c r="D12" s="24">
        <v>15200000</v>
      </c>
      <c r="E12" s="24">
        <v>10925430</v>
      </c>
      <c r="F12" s="25">
        <f t="shared" si="0"/>
        <v>0.71877828947368416</v>
      </c>
    </row>
    <row r="13" spans="1:6">
      <c r="A13" s="23" t="s">
        <v>265</v>
      </c>
      <c r="B13" s="23" t="s">
        <v>267</v>
      </c>
      <c r="C13" s="23" t="s">
        <v>269</v>
      </c>
      <c r="D13" s="24">
        <v>76479000</v>
      </c>
      <c r="E13" s="24">
        <v>28439510</v>
      </c>
      <c r="F13" s="25">
        <f t="shared" si="0"/>
        <v>0.37186037997358751</v>
      </c>
    </row>
    <row r="14" spans="1:6">
      <c r="A14" s="23" t="s">
        <v>265</v>
      </c>
      <c r="B14" s="23" t="s">
        <v>267</v>
      </c>
      <c r="C14" s="23" t="s">
        <v>360</v>
      </c>
      <c r="D14" s="24">
        <v>1800000</v>
      </c>
      <c r="E14" s="24">
        <v>0</v>
      </c>
      <c r="F14" s="25">
        <f t="shared" si="0"/>
        <v>0</v>
      </c>
    </row>
    <row r="15" spans="1:6">
      <c r="A15" s="23" t="s">
        <v>265</v>
      </c>
      <c r="B15" s="23" t="s">
        <v>267</v>
      </c>
      <c r="C15" s="23" t="s">
        <v>333</v>
      </c>
      <c r="D15" s="24">
        <v>28700000</v>
      </c>
      <c r="E15" s="24">
        <v>16181750</v>
      </c>
      <c r="F15" s="25">
        <f t="shared" si="0"/>
        <v>0.56382404181184664</v>
      </c>
    </row>
    <row r="16" spans="1:6">
      <c r="A16" s="23" t="s">
        <v>265</v>
      </c>
      <c r="B16" s="23" t="s">
        <v>267</v>
      </c>
      <c r="C16" s="23" t="s">
        <v>345</v>
      </c>
      <c r="D16" s="24">
        <v>29100000</v>
      </c>
      <c r="E16" s="24">
        <v>22609970</v>
      </c>
      <c r="F16" s="25">
        <f t="shared" si="0"/>
        <v>0.77697491408934705</v>
      </c>
    </row>
    <row r="17" spans="1:6">
      <c r="A17" s="23" t="s">
        <v>265</v>
      </c>
      <c r="B17" s="23" t="s">
        <v>267</v>
      </c>
      <c r="C17" s="23" t="s">
        <v>376</v>
      </c>
      <c r="D17" s="24">
        <v>1000000</v>
      </c>
      <c r="E17" s="24">
        <v>50000</v>
      </c>
      <c r="F17" s="25">
        <f t="shared" si="0"/>
        <v>0.05</v>
      </c>
    </row>
    <row r="18" spans="1:6">
      <c r="A18" s="23" t="s">
        <v>265</v>
      </c>
      <c r="B18" s="23" t="s">
        <v>267</v>
      </c>
      <c r="C18" s="23" t="s">
        <v>313</v>
      </c>
      <c r="D18" s="24">
        <v>31941000</v>
      </c>
      <c r="E18" s="24">
        <v>25432830</v>
      </c>
      <c r="F18" s="25">
        <f t="shared" si="0"/>
        <v>0.79624401239785858</v>
      </c>
    </row>
    <row r="19" spans="1:6">
      <c r="A19" s="23" t="s">
        <v>265</v>
      </c>
      <c r="B19" s="23" t="s">
        <v>267</v>
      </c>
      <c r="C19" s="23" t="s">
        <v>364</v>
      </c>
      <c r="D19" s="24">
        <v>11784000</v>
      </c>
      <c r="E19" s="24">
        <v>4719700</v>
      </c>
      <c r="F19" s="25">
        <f t="shared" si="0"/>
        <v>0.40051765105227427</v>
      </c>
    </row>
    <row r="20" spans="1:6">
      <c r="A20" s="23" t="s">
        <v>265</v>
      </c>
      <c r="B20" s="23" t="s">
        <v>384</v>
      </c>
      <c r="C20" s="23" t="s">
        <v>389</v>
      </c>
      <c r="D20" s="24">
        <v>2000000</v>
      </c>
      <c r="E20" s="24">
        <v>986280</v>
      </c>
      <c r="F20" s="25">
        <f t="shared" si="0"/>
        <v>0.49314000000000002</v>
      </c>
    </row>
    <row r="21" spans="1:6">
      <c r="A21" s="23" t="s">
        <v>265</v>
      </c>
      <c r="B21" s="23" t="s">
        <v>384</v>
      </c>
      <c r="C21" s="23" t="s">
        <v>386</v>
      </c>
      <c r="D21" s="24">
        <v>10500000</v>
      </c>
      <c r="E21" s="24">
        <v>5341350</v>
      </c>
      <c r="F21" s="25">
        <f t="shared" si="0"/>
        <v>0.50870000000000004</v>
      </c>
    </row>
    <row r="22" spans="1:6">
      <c r="A22" s="23" t="s">
        <v>265</v>
      </c>
      <c r="B22" s="23" t="s">
        <v>384</v>
      </c>
      <c r="C22" s="23" t="s">
        <v>394</v>
      </c>
      <c r="D22" s="24">
        <v>20000000</v>
      </c>
      <c r="E22" s="24">
        <v>5075000</v>
      </c>
      <c r="F22" s="25">
        <f t="shared" si="0"/>
        <v>0.25374999999999998</v>
      </c>
    </row>
    <row r="23" spans="1:6">
      <c r="A23" s="23" t="s">
        <v>401</v>
      </c>
      <c r="B23" s="23" t="s">
        <v>645</v>
      </c>
      <c r="C23" s="23" t="s">
        <v>647</v>
      </c>
      <c r="D23" s="24">
        <v>74391000</v>
      </c>
      <c r="E23" s="24">
        <v>25763930</v>
      </c>
      <c r="F23" s="25">
        <f t="shared" si="0"/>
        <v>0.34633127663292601</v>
      </c>
    </row>
    <row r="24" spans="1:6">
      <c r="A24" s="23" t="s">
        <v>401</v>
      </c>
      <c r="B24" s="23" t="s">
        <v>660</v>
      </c>
      <c r="C24" s="23" t="s">
        <v>662</v>
      </c>
      <c r="D24" s="24">
        <v>41100000</v>
      </c>
      <c r="E24" s="24">
        <v>25894920</v>
      </c>
      <c r="F24" s="25">
        <f t="shared" si="0"/>
        <v>0.63004671532846712</v>
      </c>
    </row>
    <row r="25" spans="1:6">
      <c r="A25" s="23" t="s">
        <v>401</v>
      </c>
      <c r="B25" s="23" t="s">
        <v>403</v>
      </c>
      <c r="C25" s="23" t="s">
        <v>593</v>
      </c>
      <c r="D25" s="24">
        <v>163701000</v>
      </c>
      <c r="E25" s="24">
        <v>73863100</v>
      </c>
      <c r="F25" s="25">
        <f t="shared" si="0"/>
        <v>0.45120738419435436</v>
      </c>
    </row>
    <row r="26" spans="1:6">
      <c r="A26" s="23" t="s">
        <v>401</v>
      </c>
      <c r="B26" s="23" t="s">
        <v>403</v>
      </c>
      <c r="C26" s="23" t="s">
        <v>405</v>
      </c>
      <c r="D26" s="24">
        <v>252881000</v>
      </c>
      <c r="E26" s="24">
        <v>123737120</v>
      </c>
      <c r="F26" s="25">
        <f t="shared" si="0"/>
        <v>0.48930967530182179</v>
      </c>
    </row>
    <row r="27" spans="1:6">
      <c r="A27" s="23" t="s">
        <v>65</v>
      </c>
      <c r="B27" s="23" t="s">
        <v>67</v>
      </c>
      <c r="C27" s="23" t="s">
        <v>109</v>
      </c>
      <c r="D27" s="24">
        <v>6210000</v>
      </c>
      <c r="E27" s="24">
        <v>6210000</v>
      </c>
      <c r="F27" s="25">
        <f t="shared" si="0"/>
        <v>1</v>
      </c>
    </row>
    <row r="28" spans="1:6">
      <c r="A28" s="23" t="s">
        <v>65</v>
      </c>
      <c r="B28" s="23" t="s">
        <v>67</v>
      </c>
      <c r="C28" s="23" t="s">
        <v>69</v>
      </c>
      <c r="D28" s="24">
        <v>19250000</v>
      </c>
      <c r="E28" s="24">
        <v>1474240</v>
      </c>
      <c r="F28" s="25">
        <f t="shared" si="0"/>
        <v>7.6583896103896099E-2</v>
      </c>
    </row>
    <row r="29" spans="1:6">
      <c r="A29" s="23" t="s">
        <v>65</v>
      </c>
      <c r="B29" s="23" t="s">
        <v>119</v>
      </c>
      <c r="C29" s="23" t="s">
        <v>121</v>
      </c>
      <c r="D29" s="24">
        <v>79516000</v>
      </c>
      <c r="E29" s="24">
        <v>65406100</v>
      </c>
      <c r="F29" s="25">
        <f t="shared" si="0"/>
        <v>0.82255269379747475</v>
      </c>
    </row>
    <row r="30" spans="1:6">
      <c r="A30" s="23" t="s">
        <v>65</v>
      </c>
      <c r="B30" s="23" t="s">
        <v>119</v>
      </c>
      <c r="C30" s="23" t="s">
        <v>149</v>
      </c>
      <c r="D30" s="24">
        <v>4800000</v>
      </c>
      <c r="E30" s="24">
        <v>4800000</v>
      </c>
      <c r="F30" s="25">
        <f t="shared" si="0"/>
        <v>1</v>
      </c>
    </row>
    <row r="31" spans="1:6">
      <c r="A31" s="23" t="s">
        <v>802</v>
      </c>
      <c r="B31" s="23" t="s">
        <v>804</v>
      </c>
      <c r="C31" s="23" t="s">
        <v>806</v>
      </c>
      <c r="D31" s="24">
        <v>533076000</v>
      </c>
      <c r="E31" s="24">
        <v>331362490</v>
      </c>
      <c r="F31" s="25">
        <f t="shared" si="0"/>
        <v>0.62160459296610615</v>
      </c>
    </row>
    <row r="32" spans="1:6">
      <c r="A32" s="23" t="s">
        <v>802</v>
      </c>
      <c r="B32" s="23" t="s">
        <v>867</v>
      </c>
      <c r="C32" s="23" t="s">
        <v>869</v>
      </c>
      <c r="D32" s="24">
        <v>37530000</v>
      </c>
      <c r="E32" s="24">
        <v>28282280</v>
      </c>
      <c r="F32" s="25">
        <f t="shared" si="0"/>
        <v>0.75359126032507329</v>
      </c>
    </row>
    <row r="33" spans="1:6">
      <c r="A33" s="23" t="s">
        <v>802</v>
      </c>
      <c r="B33" s="23" t="s">
        <v>867</v>
      </c>
      <c r="C33" s="23" t="s">
        <v>889</v>
      </c>
      <c r="D33" s="24">
        <v>16733000</v>
      </c>
      <c r="E33" s="24">
        <v>12470840</v>
      </c>
      <c r="F33" s="25">
        <f t="shared" si="0"/>
        <v>0.74528416900735073</v>
      </c>
    </row>
    <row r="34" spans="1:6">
      <c r="A34" s="23" t="s">
        <v>802</v>
      </c>
      <c r="B34" s="23" t="s">
        <v>859</v>
      </c>
      <c r="C34" s="23" t="s">
        <v>861</v>
      </c>
      <c r="D34" s="24">
        <v>1500000</v>
      </c>
      <c r="E34" s="24">
        <v>716550</v>
      </c>
      <c r="F34" s="25">
        <f t="shared" si="0"/>
        <v>0.47770000000000001</v>
      </c>
    </row>
    <row r="35" spans="1:6">
      <c r="A35" s="23" t="s">
        <v>896</v>
      </c>
      <c r="B35" s="23" t="s">
        <v>898</v>
      </c>
      <c r="C35" s="23" t="s">
        <v>900</v>
      </c>
      <c r="D35" s="24">
        <v>6000000</v>
      </c>
      <c r="E35" s="24">
        <v>0</v>
      </c>
      <c r="F35" s="25">
        <f t="shared" si="0"/>
        <v>0</v>
      </c>
    </row>
    <row r="36" spans="1:6">
      <c r="A36" s="23" t="s">
        <v>154</v>
      </c>
      <c r="B36" s="23" t="s">
        <v>230</v>
      </c>
      <c r="C36" s="23" t="s">
        <v>232</v>
      </c>
      <c r="D36" s="24">
        <v>36375000</v>
      </c>
      <c r="E36" s="24">
        <v>14715790</v>
      </c>
      <c r="F36" s="25">
        <f t="shared" si="0"/>
        <v>0.4045578006872852</v>
      </c>
    </row>
    <row r="37" spans="1:6">
      <c r="A37" s="23" t="s">
        <v>154</v>
      </c>
      <c r="B37" s="23" t="s">
        <v>156</v>
      </c>
      <c r="C37" s="23" t="s">
        <v>158</v>
      </c>
      <c r="D37" s="24">
        <v>484228000</v>
      </c>
      <c r="E37" s="24">
        <v>376030936</v>
      </c>
      <c r="F37" s="25">
        <f t="shared" si="0"/>
        <v>0.77655760509512051</v>
      </c>
    </row>
    <row r="38" spans="1:6">
      <c r="A38" s="23" t="s">
        <v>154</v>
      </c>
      <c r="B38" s="23" t="s">
        <v>196</v>
      </c>
      <c r="C38" s="23" t="s">
        <v>223</v>
      </c>
      <c r="D38" s="24">
        <v>2540000</v>
      </c>
      <c r="E38" s="24">
        <v>0</v>
      </c>
      <c r="F38" s="25">
        <f t="shared" si="0"/>
        <v>0</v>
      </c>
    </row>
    <row r="39" spans="1:6">
      <c r="A39" s="23" t="s">
        <v>154</v>
      </c>
      <c r="B39" s="23" t="s">
        <v>196</v>
      </c>
      <c r="C39" s="23" t="s">
        <v>198</v>
      </c>
      <c r="D39" s="24">
        <v>19526000</v>
      </c>
      <c r="E39" s="24">
        <v>14259300</v>
      </c>
      <c r="F39" s="25">
        <f t="shared" si="0"/>
        <v>0.73027245723650513</v>
      </c>
    </row>
    <row r="40" spans="1:6">
      <c r="A40" s="23" t="s">
        <v>154</v>
      </c>
      <c r="B40" s="23" t="s">
        <v>246</v>
      </c>
      <c r="C40" s="23" t="s">
        <v>248</v>
      </c>
      <c r="D40" s="24">
        <v>6320000</v>
      </c>
      <c r="E40" s="24">
        <v>2510340</v>
      </c>
      <c r="F40" s="25">
        <f t="shared" si="0"/>
        <v>0.39720569620253166</v>
      </c>
    </row>
    <row r="41" spans="1:6">
      <c r="A41" s="23" t="s">
        <v>154</v>
      </c>
      <c r="B41" s="23" t="s">
        <v>246</v>
      </c>
      <c r="C41" s="23" t="s">
        <v>260</v>
      </c>
      <c r="D41" s="24">
        <v>6510000</v>
      </c>
      <c r="E41" s="24">
        <v>5632000</v>
      </c>
      <c r="F41" s="25">
        <f t="shared" si="0"/>
        <v>0.86513056835637481</v>
      </c>
    </row>
    <row r="42" spans="1:6">
      <c r="A42" s="42" t="s">
        <v>928</v>
      </c>
      <c r="B42" s="43"/>
      <c r="C42" s="44"/>
      <c r="D42" s="15">
        <f>SUM(D4:D41)</f>
        <v>2341568000</v>
      </c>
      <c r="E42" s="15">
        <f>SUM(E4:E41)</f>
        <v>1311300066</v>
      </c>
      <c r="F42" s="19">
        <f>IFERROR(E42/D42,0)</f>
        <v>0.56000938943477196</v>
      </c>
    </row>
  </sheetData>
  <autoFilter ref="A3:F41" xr:uid="{BE44D03D-6FCA-4D9B-A6A8-F3016992ECCE}"/>
  <sortState xmlns:xlrd2="http://schemas.microsoft.com/office/spreadsheetml/2017/richdata2" ref="A4:F41">
    <sortCondition ref="A4:A41"/>
    <sortCondition ref="B4:B41"/>
    <sortCondition ref="C4:C41"/>
  </sortState>
  <mergeCells count="2">
    <mergeCell ref="A1:F1"/>
    <mergeCell ref="A42:C42"/>
  </mergeCells>
  <phoneticPr fontId="1" type="noConversion"/>
  <conditionalFormatting sqref="F4:F41">
    <cfRule type="cellIs" dxfId="0" priority="1" stopIfTrue="1" operator="lessThan">
      <formula>0.7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Sheet1</vt:lpstr>
      <vt:lpstr>불러온원본</vt:lpstr>
      <vt:lpstr>추경검토</vt:lpstr>
      <vt:lpstr>정리본</vt:lpstr>
      <vt:lpstr>단위사업별집계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2026-06-03T11:37:06Z</dcterms:created>
  <dcterms:modified xsi:type="dcterms:W3CDTF">2026-09-07T08:39:57Z</dcterms:modified>
</cp:coreProperties>
</file>